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D:\_Grad_School\CERG_2020\fobos\hardware\fobos-dut\dut-spartan7-s15-cpga196\"/>
    </mc:Choice>
  </mc:AlternateContent>
  <workbookProtection workbookAlgorithmName="SHA-512" workbookHashValue="3CAAZ8RS1ksTllnSWqmp5154FoHkPI+wHn15Gshp6TFuUURLLe9b8FsbBA9ABV5TsRLiPSb7sm2vDWhWe1Yn2A==" workbookSaltValue="hJyYFpePpG1LW3vMfOzA5Q==" workbookSpinCount="100000" lockStructure="1"/>
  <bookViews>
    <workbookView xWindow="0" yWindow="0" windowWidth="28800" windowHeight="12435" tabRatio="797" activeTab="3"/>
  </bookViews>
  <sheets>
    <sheet name="Project Info" sheetId="43" r:id="rId1"/>
    <sheet name="Instructions" sheetId="44" r:id="rId2"/>
    <sheet name="Checklist(0)" sheetId="41" state="hidden" r:id="rId3"/>
    <sheet name="Spartan 7" sheetId="48" r:id="rId4"/>
    <sheet name="Revision History" sheetId="15" r:id="rId5"/>
    <sheet name="Device_Selection" sheetId="3" state="hidden" r:id="rId6"/>
    <sheet name="Decap" sheetId="2" state="hidden" r:id="rId7"/>
    <sheet name="Migration" sheetId="4" state="hidden" r:id="rId8"/>
    <sheet name="IO_Type" sheetId="5" state="hidden" r:id="rId9"/>
    <sheet name="Checklist_Default" sheetId="31" state="hidden" r:id="rId10"/>
    <sheet name="Configuration" sheetId="6" state="hidden" r:id="rId11"/>
    <sheet name="CFGBVS" sheetId="8" state="hidden" r:id="rId12"/>
    <sheet name="Power" sheetId="12" state="hidden" r:id="rId13"/>
    <sheet name="XADC" sheetId="9" state="hidden" r:id="rId14"/>
    <sheet name="Warning Messages" sheetId="17" state="hidden" r:id="rId15"/>
    <sheet name="GTP" sheetId="16" state="hidden" r:id="rId16"/>
    <sheet name="GTH-GTX" sheetId="10" state="hidden" r:id="rId17"/>
    <sheet name="Other_items" sheetId="11" state="hidden" r:id="rId18"/>
    <sheet name="Zynq" sheetId="24" state="hidden" r:id="rId19"/>
    <sheet name="Bitstream_Length" sheetId="19" state="hidden" r:id="rId20"/>
    <sheet name="GTZ" sheetId="45" state="hidden" r:id="rId21"/>
    <sheet name="MIO Pins" sheetId="25" state="hidden" r:id="rId22"/>
    <sheet name="MIO Interfaces" sheetId="26" state="hidden" r:id="rId23"/>
  </sheets>
  <externalReferences>
    <externalReference r:id="rId24"/>
  </externalReferences>
  <definedNames>
    <definedName name="_xlnm._FilterDatabase" localSheetId="6" hidden="1">Decap!#REF!</definedName>
    <definedName name="AA7A100T">Device_Selection!$B$56:$B$59</definedName>
    <definedName name="AA7A12T">Device_Selection!$I$56:$I$57</definedName>
    <definedName name="AA7A15T">Device_Selection!$E$56:$E$60</definedName>
    <definedName name="AA7A200T">Device_Selection!$C$56:$C$59</definedName>
    <definedName name="AA7A25T">Device_Selection!$J$56:$J$57</definedName>
    <definedName name="AA7A350T">Device_Selection!$D$56:$D$58</definedName>
    <definedName name="AA7A35T">Device_Selection!$F$56:$F$60</definedName>
    <definedName name="AA7A50T">Device_Selection!$G$56:$G$60</definedName>
    <definedName name="AA7A75T">Device_Selection!$H$56:$H$59</definedName>
    <definedName name="AA7K160T">Device_Selection!$C$29:$C$31</definedName>
    <definedName name="AA7K325T">Device_Selection!$D$29:$D$32</definedName>
    <definedName name="AA7K355T">Device_Selection!$E$29</definedName>
    <definedName name="AA7K410T">Device_Selection!$F$29:$F$32</definedName>
    <definedName name="AA7K420T">Device_Selection!$G$29:$G$30</definedName>
    <definedName name="AA7K480T">Device_Selection!$H$29:$H$30</definedName>
    <definedName name="AA7K70T">Device_Selection!$B$29:$B$30</definedName>
    <definedName name="AA7S100">Device_Selection!$G$72:$G$73</definedName>
    <definedName name="AA7S15">Device_Selection!$C$72:$C$74</definedName>
    <definedName name="AA7S25">Device_Selection!$D$72:$D$74</definedName>
    <definedName name="AA7S50">Device_Selection!$E$72:$E$74</definedName>
    <definedName name="AA7S6">Device_Selection!$B$72:$B$74</definedName>
    <definedName name="AA7S75">Device_Selection!$F$72:$F$73</definedName>
    <definedName name="AA7V1500T">Device_Selection!$B$42</definedName>
    <definedName name="AA7V2000T">Device_Selection!$C$42:$C$43</definedName>
    <definedName name="AA7V585T">Device_Selection!$E$42:$E$43</definedName>
    <definedName name="AA7VH580T">Device_Selection!$L$42:$L$44</definedName>
    <definedName name="AA7VH870T">Device_Selection!$M$42:$M$42</definedName>
    <definedName name="AA7VX1140T">Device_Selection!$K$42:$K$44</definedName>
    <definedName name="AA7VX330T">Device_Selection!$F$42:$F$43</definedName>
    <definedName name="AA7VX415T">Device_Selection!$G$42:$G$44</definedName>
    <definedName name="AA7VX485T">Device_Selection!$D$42:$D$46</definedName>
    <definedName name="AA7VX550T">Device_Selection!$H$42:$H$43</definedName>
    <definedName name="AA7VX690T">Device_Selection!$I$42:$I$47</definedName>
    <definedName name="AA7VX980T">Device_Selection!$J$42:$J$44</definedName>
    <definedName name="AA7Z007S">Device_Selection!$I$64:$I$65</definedName>
    <definedName name="AA7Z010">Device_Selection!$B$64:$B$65</definedName>
    <definedName name="AA7Z012S">Device_Selection!$J$64</definedName>
    <definedName name="AA7Z014S">Device_Selection!$K$64:$K$65</definedName>
    <definedName name="AA7Z015">Device_Selection!$C$64</definedName>
    <definedName name="AA7Z020">Device_Selection!$D$64:$D$65</definedName>
    <definedName name="AA7Z030">Device_Selection!$E$64:$E$67</definedName>
    <definedName name="AA7Z035">Device_Selection!$F$64:$F$66</definedName>
    <definedName name="AA7Z045">Device_Selection!$G$64:$G$66</definedName>
    <definedName name="AA7Z100">Device_Selection!$H$64:$H$65</definedName>
    <definedName name="Artix7">Device_Selection!$D$10:$D$17</definedName>
    <definedName name="bank0" localSheetId="1">[1]Device_Selection!$H$3:$H$8</definedName>
    <definedName name="bank0" localSheetId="0">[1]Device_Selection!$H$3:$H$8</definedName>
    <definedName name="bank0">Device_Selection!$H$5:$H$8</definedName>
    <definedName name="Bank14Artix7">Device_Selection!$I$3:$I$8</definedName>
    <definedName name="bank14Kintex7">Device_Selection!$K$3:$K$8</definedName>
    <definedName name="Bank14Spartan7">Device_Selection!$O$3:$O$8</definedName>
    <definedName name="bank14Virtex7">Device_Selection!$M$3:$M$6</definedName>
    <definedName name="bank15Artix7">Device_Selection!$J$3:$J$8</definedName>
    <definedName name="bank15Kintex7">Device_Selection!$L$3:$L$8</definedName>
    <definedName name="Bank15Spartan7">Device_Selection!$P$3:$P$8</definedName>
    <definedName name="bank15Virtex7">Device_Selection!$N$3:$N$6</definedName>
    <definedName name="Bitstream_Length" localSheetId="1">[1]Bitstream_Length!$A$3:$B$50</definedName>
    <definedName name="Bitstream_Length" localSheetId="0">[1]Bitstream_Length!$A$3:$B$50</definedName>
    <definedName name="Bitstream_Length">Bitstream_Length!$A$3:$B$50</definedName>
    <definedName name="CFGBVS_Lookup" localSheetId="1">[1]CFGBVS!$D$1:$E$234</definedName>
    <definedName name="CFGBVS_Lookup" localSheetId="0">[1]CFGBVS!$D$1:$E$234</definedName>
    <definedName name="CFGBVS_Lookup">CFGBVS!$D$1:$E$372</definedName>
    <definedName name="Config_lookup" localSheetId="1">[1]Configuration!$A$21:$AI$33</definedName>
    <definedName name="Config_lookup" localSheetId="0">[1]Configuration!$A$21:$AI$33</definedName>
    <definedName name="Config_lookup">Configuration!$A$28:$AI$49</definedName>
    <definedName name="Config_Mode" localSheetId="1">[1]Configuration!$A$2:$A$14</definedName>
    <definedName name="Config_Mode" localSheetId="0">[1]Configuration!$A$2:$A$14</definedName>
    <definedName name="Config_Mode">Configuration!$A$2:$A$14</definedName>
    <definedName name="Config_Mode_Zynq">Configuration!$A$15:$A$23</definedName>
    <definedName name="Decap_Artix" localSheetId="1">[1]Decap!$C$103:$T$199</definedName>
    <definedName name="Decap_Artix" localSheetId="0">[1]Decap!$C$103:$T$199</definedName>
    <definedName name="Decap_Artix">Decap!$C$104:$AI$198</definedName>
    <definedName name="Decap_KV" localSheetId="1">[1]Decap!$C$3:$Q$99</definedName>
    <definedName name="Decap_KV" localSheetId="0">[1]Decap!$C$3:$Q$99</definedName>
    <definedName name="Decap_KV">Decap!$C$3:$AI$100</definedName>
    <definedName name="Decap_Total">Decap!$C$1:$C$198</definedName>
    <definedName name="discussion_log" localSheetId="9">Checklist_Default!#REF!</definedName>
    <definedName name="discussion_log" localSheetId="3">'Spartan 7'!#REF!</definedName>
    <definedName name="IO_Type_Lookup" localSheetId="1">[1]IO_Type!$C$3:$L$199</definedName>
    <definedName name="IO_Type_Lookup" localSheetId="0">[1]IO_Type!$C$3:$L$199</definedName>
    <definedName name="IO_Type_Lookup">IO_Type!$C$3:$N$201</definedName>
    <definedName name="Kintex7">Device_Selection!$B$10:$B$16</definedName>
    <definedName name="Migration_table" localSheetId="1">[1]Migration!$C$3:$I$199</definedName>
    <definedName name="Migration_table" localSheetId="0">[1]Migration!$C$3:$I$199</definedName>
    <definedName name="Migration_table">Migration!$C$3:$I$154</definedName>
    <definedName name="MIOCAN0">'MIO Pins'!$AN$31:$AN$41</definedName>
    <definedName name="MIOCAN0CLK">'MIO Pins'!$AN$42:$AN$95</definedName>
    <definedName name="MIOCAN1">'MIO Pins'!$AN$96:$AN$107</definedName>
    <definedName name="MIOCAN1CLK">'MIO Pins'!$AN$108:$AN$161</definedName>
    <definedName name="MIOETHERNET0">'MIO Pins'!$AN$479</definedName>
    <definedName name="MIOETHERNET1">'MIO Pins'!$AN$480:$AN$481</definedName>
    <definedName name="MIOETHERNETMDIO">'MIO Pins'!$AN$482</definedName>
    <definedName name="MIOIIC0">'MIO Pins'!$AN$2:$AN$12</definedName>
    <definedName name="MIOIIC1">'MIO Pins'!$AN$13:$AN$23</definedName>
    <definedName name="MIONAND16">'MIO Pins'!$AN$495</definedName>
    <definedName name="MIONAND8">'MIO Pins'!$AN$494</definedName>
    <definedName name="MIONORSRAM">'MIO Pins'!$AN$493</definedName>
    <definedName name="MIOPJTAG">'MIO Pins'!$AN$196:$AN$199</definedName>
    <definedName name="MIOQSPI01BIT">'MIO Pins'!$AN$483</definedName>
    <definedName name="MIOQSPI02BIT">'MIO Pins'!$AN$484</definedName>
    <definedName name="MIOQSPI04BIT">'MIO Pins'!$AN$485</definedName>
    <definedName name="MIOQSPI11BIT">'MIO Pins'!$AN$486</definedName>
    <definedName name="MIOQSPI12BIT">'MIO Pins'!$AN$487</definedName>
    <definedName name="MIOQSPI14BIT">'MIO Pins'!$AN$488</definedName>
    <definedName name="MIOQSPICS">'MIO Pins'!$AN$489</definedName>
    <definedName name="MIOQSPIFEEDBACKCLK">'MIO Pins'!$B$490</definedName>
    <definedName name="MIOSDIO0">'MIO Pins'!$AN$210:$AN$212</definedName>
    <definedName name="MIOSDIO0CD">'MIO Pins'!$AN$323:$AN$374</definedName>
    <definedName name="MIOSDIO0POWER">'MIO Pins'!$AN$217:$AN$243</definedName>
    <definedName name="MIOSDIO0WP">'MIO Pins'!$AN$271:$AN$322</definedName>
    <definedName name="MIOSDIO1">'MIO Pins'!$AN$213:$AN$216</definedName>
    <definedName name="MIOSDIO1CD">'MIO Pins'!$AN$427:$AN$478</definedName>
    <definedName name="MIOSDIO1POWER">'MIO Pins'!$AN$244:$AN$270</definedName>
    <definedName name="MIOSDIO1WP">'MIO Pins'!$AN$375:$AN$426</definedName>
    <definedName name="MIOSPI0">'MIO Pins'!$AN$24:$AN$26</definedName>
    <definedName name="MIOSPI1">'MIO Pins'!$AN$27:$AN$30</definedName>
    <definedName name="MIOSWDT">'MIO Pins'!$AN$191:$AN$195</definedName>
    <definedName name="MIOTRACE">'MIO Pins'!$AN$202:$AN$209</definedName>
    <definedName name="MIOTRACECTRL">'MIO Pins'!$AN$200:$AN$201</definedName>
    <definedName name="MIOTTC0">'MIO Pins'!$AN$185:$AN$187</definedName>
    <definedName name="MIOTTC1">'MIO Pins'!$AN$188:$AN$190</definedName>
    <definedName name="MIOUART0">'MIO Pins'!$AN$162:$AN$172</definedName>
    <definedName name="MIOUART1">'MIO Pins'!$AN$173:$AN$184</definedName>
    <definedName name="MIOUSB0">'MIO Pins'!$AN$491</definedName>
    <definedName name="MIOUSB1">'MIO Pins'!$AN$492</definedName>
    <definedName name="OLE_LINK1" localSheetId="9">Checklist_Default!$B$33</definedName>
    <definedName name="OLE_LINK1" localSheetId="3">'Spartan 7'!$B$33</definedName>
    <definedName name="SFamily" localSheetId="1">[1]Device_Selection!$B$3:$B$5</definedName>
    <definedName name="SFamily" localSheetId="0">[1]Device_Selection!$B$3:$B$5</definedName>
    <definedName name="SFamily">Device_Selection!$B$3:$B$7</definedName>
    <definedName name="Spartan7">Device_Selection!$F$10:$F$15</definedName>
    <definedName name="Status" localSheetId="1">[1]Device_Selection!$F$3:$F$7</definedName>
    <definedName name="Status" localSheetId="0">[1]Device_Selection!$F$3:$F$7</definedName>
    <definedName name="Status">Device_Selection!$F$3:$F$7</definedName>
    <definedName name="Virtex7">Device_Selection!$C$10:$C$20</definedName>
    <definedName name="Zynq7">Device_Selection!$E$10:$E$19</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286" i="48" l="1"/>
  <c r="B285" i="48"/>
  <c r="B284" i="48"/>
  <c r="B283" i="48"/>
  <c r="B282" i="48"/>
  <c r="B281" i="48"/>
  <c r="B280" i="48"/>
  <c r="B279" i="48"/>
  <c r="B278" i="48"/>
  <c r="B277" i="48"/>
  <c r="B276" i="48"/>
  <c r="B275" i="48"/>
  <c r="B274" i="48"/>
  <c r="B273" i="48"/>
  <c r="B272" i="48"/>
  <c r="B271" i="48"/>
  <c r="B270" i="48"/>
  <c r="B269" i="48"/>
  <c r="B268" i="48"/>
  <c r="B267" i="48"/>
  <c r="B266" i="48"/>
  <c r="B265" i="48"/>
  <c r="B264" i="48"/>
  <c r="B263" i="48"/>
  <c r="B262" i="48"/>
  <c r="B261" i="48"/>
  <c r="B260" i="48"/>
  <c r="B259" i="48"/>
  <c r="B258" i="48"/>
  <c r="B257" i="48"/>
  <c r="B256" i="48"/>
  <c r="B255" i="48"/>
  <c r="B254" i="48"/>
  <c r="B253" i="48"/>
  <c r="B252" i="48"/>
  <c r="B251" i="48"/>
  <c r="B250" i="48"/>
  <c r="B249" i="48"/>
  <c r="B248" i="48"/>
  <c r="B247" i="48"/>
  <c r="B246" i="48"/>
  <c r="B245" i="48"/>
  <c r="B244" i="48"/>
  <c r="B243" i="48"/>
  <c r="B242" i="48"/>
  <c r="B241" i="48"/>
  <c r="B240" i="48"/>
  <c r="B239" i="48"/>
  <c r="B238" i="48"/>
  <c r="B237" i="48"/>
  <c r="B236" i="48"/>
  <c r="B235" i="48"/>
  <c r="B234" i="48"/>
  <c r="B233" i="48"/>
  <c r="B232" i="48"/>
  <c r="B184" i="48"/>
  <c r="A184" i="48"/>
  <c r="B183" i="48"/>
  <c r="A183" i="48"/>
  <c r="B182" i="48"/>
  <c r="A182" i="48"/>
  <c r="B181" i="48"/>
  <c r="A181" i="48"/>
  <c r="E180" i="48"/>
  <c r="B180" i="48"/>
  <c r="A180" i="48"/>
  <c r="E179" i="48"/>
  <c r="B179" i="48"/>
  <c r="A179" i="48"/>
  <c r="E178" i="48"/>
  <c r="B178" i="48"/>
  <c r="A178" i="48"/>
  <c r="E172" i="48"/>
  <c r="B172" i="48"/>
  <c r="A172" i="48"/>
  <c r="E171" i="48"/>
  <c r="B171" i="48"/>
  <c r="A171" i="48"/>
  <c r="E170" i="48"/>
  <c r="B170" i="48"/>
  <c r="A170" i="48"/>
  <c r="E169" i="48"/>
  <c r="B169" i="48"/>
  <c r="A169" i="48"/>
  <c r="E168" i="48"/>
  <c r="B168" i="48"/>
  <c r="A168" i="48"/>
  <c r="E167" i="48"/>
  <c r="B167" i="48"/>
  <c r="A167" i="48"/>
  <c r="E166" i="48"/>
  <c r="B166" i="48"/>
  <c r="A166" i="48"/>
  <c r="E165" i="48"/>
  <c r="B165" i="48"/>
  <c r="A165" i="48"/>
  <c r="E164" i="48"/>
  <c r="B164" i="48"/>
  <c r="A164" i="48"/>
  <c r="E163" i="48"/>
  <c r="B163" i="48"/>
  <c r="A163" i="48"/>
  <c r="E155" i="48"/>
  <c r="B155" i="48"/>
  <c r="A155" i="48"/>
  <c r="E154" i="48"/>
  <c r="B154" i="48"/>
  <c r="A154" i="48"/>
  <c r="E153" i="48"/>
  <c r="B153" i="48"/>
  <c r="A153" i="48"/>
  <c r="E152" i="48"/>
  <c r="B152" i="48"/>
  <c r="A152" i="48"/>
  <c r="E151" i="48"/>
  <c r="B151" i="48"/>
  <c r="A151" i="48"/>
  <c r="E150" i="48"/>
  <c r="B150" i="48"/>
  <c r="A150" i="48"/>
  <c r="E149" i="48"/>
  <c r="B149" i="48"/>
  <c r="A149" i="48"/>
  <c r="E148" i="48"/>
  <c r="B148" i="48"/>
  <c r="A148" i="48"/>
  <c r="E147" i="48"/>
  <c r="B147" i="48"/>
  <c r="A147" i="48"/>
  <c r="E146" i="48"/>
  <c r="B146" i="48"/>
  <c r="A146" i="48"/>
  <c r="E145" i="48"/>
  <c r="B145" i="48"/>
  <c r="A145" i="48"/>
  <c r="E144" i="48"/>
  <c r="B144" i="48"/>
  <c r="A144" i="48"/>
  <c r="E143" i="48"/>
  <c r="B143" i="48"/>
  <c r="A143" i="48"/>
  <c r="B134" i="48"/>
  <c r="A134" i="48"/>
  <c r="B133" i="48"/>
  <c r="A133" i="48"/>
  <c r="B132" i="48"/>
  <c r="A132" i="48"/>
  <c r="B131" i="48"/>
  <c r="A131" i="48"/>
  <c r="E130" i="48"/>
  <c r="B130" i="48"/>
  <c r="A130" i="48"/>
  <c r="E129" i="48"/>
  <c r="B129" i="48"/>
  <c r="A129" i="48"/>
  <c r="E128" i="48"/>
  <c r="B128" i="48"/>
  <c r="A128" i="48"/>
  <c r="E127" i="48"/>
  <c r="B127" i="48"/>
  <c r="A127" i="48"/>
  <c r="E126" i="48"/>
  <c r="B126" i="48"/>
  <c r="A126" i="48"/>
  <c r="E125" i="48"/>
  <c r="B125" i="48"/>
  <c r="A125" i="48"/>
  <c r="E124" i="48"/>
  <c r="B124" i="48"/>
  <c r="A124" i="48"/>
  <c r="E117" i="48"/>
  <c r="B117" i="48"/>
  <c r="A117" i="48"/>
  <c r="E116" i="48"/>
  <c r="B116" i="48"/>
  <c r="A116" i="48"/>
  <c r="E115" i="48"/>
  <c r="B115" i="48"/>
  <c r="A115" i="48"/>
  <c r="E114" i="48"/>
  <c r="B114" i="48"/>
  <c r="A114" i="48"/>
  <c r="E113" i="48"/>
  <c r="B113" i="48"/>
  <c r="A113" i="48"/>
  <c r="E112" i="48"/>
  <c r="B112" i="48"/>
  <c r="A112" i="48"/>
  <c r="E111" i="48"/>
  <c r="B111" i="48"/>
  <c r="A111" i="48"/>
  <c r="E110" i="48"/>
  <c r="B110" i="48"/>
  <c r="A110" i="48"/>
  <c r="E109" i="48"/>
  <c r="B109" i="48"/>
  <c r="A109" i="48"/>
  <c r="E108" i="48"/>
  <c r="B108" i="48"/>
  <c r="A108" i="48"/>
  <c r="E107" i="48"/>
  <c r="B107" i="48"/>
  <c r="A107" i="48"/>
  <c r="E106" i="48"/>
  <c r="B106" i="48"/>
  <c r="A106" i="48"/>
  <c r="E105" i="48"/>
  <c r="B105" i="48"/>
  <c r="A105" i="48"/>
  <c r="E104" i="48"/>
  <c r="B104" i="48"/>
  <c r="A104" i="48"/>
  <c r="E103" i="48"/>
  <c r="B103" i="48"/>
  <c r="A103" i="48"/>
  <c r="E102" i="48"/>
  <c r="B102" i="48"/>
  <c r="A102" i="48"/>
  <c r="E95" i="48"/>
  <c r="B95" i="48"/>
  <c r="A95" i="48"/>
  <c r="E94" i="48"/>
  <c r="B94" i="48"/>
  <c r="A94" i="48"/>
  <c r="E93" i="48"/>
  <c r="B93" i="48"/>
  <c r="A93" i="48"/>
  <c r="E92" i="48"/>
  <c r="B92" i="48"/>
  <c r="A92" i="48"/>
  <c r="E91" i="48"/>
  <c r="B91" i="48"/>
  <c r="A91" i="48"/>
  <c r="E90" i="48"/>
  <c r="B90" i="48"/>
  <c r="A90" i="48"/>
  <c r="E89" i="48"/>
  <c r="B89" i="48"/>
  <c r="A89" i="48"/>
  <c r="E88" i="48"/>
  <c r="B88" i="48"/>
  <c r="A88" i="48"/>
  <c r="B85" i="48"/>
  <c r="E81" i="48"/>
  <c r="B81" i="48"/>
  <c r="A81" i="48"/>
  <c r="E80" i="48"/>
  <c r="B80" i="48"/>
  <c r="A80" i="48"/>
  <c r="E79" i="48"/>
  <c r="B79" i="48"/>
  <c r="A79" i="48"/>
  <c r="E78" i="48"/>
  <c r="B78" i="48"/>
  <c r="A78" i="48"/>
  <c r="E77" i="48"/>
  <c r="B77" i="48"/>
  <c r="A77" i="48"/>
  <c r="E76" i="48"/>
  <c r="B76" i="48"/>
  <c r="A76" i="48"/>
  <c r="E75" i="48"/>
  <c r="B75" i="48"/>
  <c r="A75" i="48"/>
  <c r="E74" i="48"/>
  <c r="B74" i="48"/>
  <c r="A74" i="48"/>
  <c r="B71" i="48"/>
  <c r="E66" i="48"/>
  <c r="B66" i="48"/>
  <c r="A66" i="48"/>
  <c r="E65" i="48"/>
  <c r="B65" i="48"/>
  <c r="B64" i="48"/>
  <c r="A64" i="48"/>
  <c r="E63" i="48"/>
  <c r="B63" i="48"/>
  <c r="A63" i="48"/>
  <c r="E62" i="48"/>
  <c r="B62" i="48"/>
  <c r="A62" i="48"/>
  <c r="E61" i="48"/>
  <c r="B61" i="48"/>
  <c r="A61" i="48"/>
  <c r="E60" i="48"/>
  <c r="B60" i="48"/>
  <c r="A60" i="48"/>
  <c r="E59" i="48"/>
  <c r="B59" i="48"/>
  <c r="A59" i="48"/>
  <c r="E58" i="48"/>
  <c r="B58" i="48"/>
  <c r="A58" i="48"/>
  <c r="E57" i="48"/>
  <c r="B57" i="48"/>
  <c r="A57" i="48"/>
  <c r="E56" i="48"/>
  <c r="B56" i="48"/>
  <c r="A56" i="48"/>
  <c r="E55" i="48"/>
  <c r="B55" i="48"/>
  <c r="A55" i="48"/>
  <c r="E54" i="48"/>
  <c r="B54" i="48"/>
  <c r="A54" i="48"/>
  <c r="E53" i="48"/>
  <c r="B53" i="48"/>
  <c r="A53" i="48"/>
  <c r="E52" i="48"/>
  <c r="B52" i="48"/>
  <c r="A52" i="48"/>
  <c r="E51" i="48"/>
  <c r="B51" i="48"/>
  <c r="A51" i="48"/>
  <c r="E50" i="48"/>
  <c r="B50" i="48"/>
  <c r="A50" i="48"/>
  <c r="E49" i="48"/>
  <c r="B49" i="48"/>
  <c r="A49" i="48"/>
  <c r="E48" i="48"/>
  <c r="B48" i="48"/>
  <c r="A48" i="48"/>
  <c r="E47" i="48"/>
  <c r="B47" i="48"/>
  <c r="A47" i="48"/>
  <c r="E46" i="48"/>
  <c r="B46" i="48"/>
  <c r="A46" i="48"/>
  <c r="E45" i="48"/>
  <c r="B45" i="48"/>
  <c r="A45" i="48"/>
  <c r="E44" i="48"/>
  <c r="B44" i="48"/>
  <c r="A44" i="48"/>
  <c r="E43" i="48"/>
  <c r="B43" i="48"/>
  <c r="A43" i="48"/>
  <c r="E42" i="48"/>
  <c r="B42" i="48"/>
  <c r="A42" i="48"/>
  <c r="E41" i="48"/>
  <c r="B41" i="48"/>
  <c r="A41" i="48"/>
  <c r="E40" i="48"/>
  <c r="B40" i="48"/>
  <c r="A40" i="48"/>
  <c r="E39" i="48"/>
  <c r="B39" i="48"/>
  <c r="A39" i="48"/>
  <c r="E38" i="48"/>
  <c r="B38" i="48"/>
  <c r="A38" i="48"/>
  <c r="E37" i="48"/>
  <c r="B37" i="48"/>
  <c r="A37" i="48"/>
  <c r="E36" i="48"/>
  <c r="B36" i="48"/>
  <c r="A36" i="48"/>
  <c r="E35" i="48"/>
  <c r="B35" i="48"/>
  <c r="E182" i="48" s="1"/>
  <c r="A35" i="48"/>
  <c r="E29" i="48"/>
  <c r="B29" i="48"/>
  <c r="A29" i="48"/>
  <c r="E28" i="48"/>
  <c r="B28" i="48"/>
  <c r="A28" i="48"/>
  <c r="E27" i="48"/>
  <c r="B27" i="48"/>
  <c r="A27" i="48"/>
  <c r="E26" i="48"/>
  <c r="B26" i="48"/>
  <c r="A26" i="48"/>
  <c r="B25" i="48"/>
  <c r="A25" i="48"/>
  <c r="B24" i="48"/>
  <c r="A24" i="48"/>
  <c r="E23" i="48"/>
  <c r="A23" i="48"/>
  <c r="B23" i="48" s="1"/>
  <c r="E22" i="48"/>
  <c r="A22" i="48"/>
  <c r="B22" i="48" s="1"/>
  <c r="E21" i="48"/>
  <c r="B21" i="48"/>
  <c r="A21" i="48"/>
  <c r="E20" i="48"/>
  <c r="B20" i="48"/>
  <c r="A20" i="48"/>
  <c r="E19" i="48"/>
  <c r="B19" i="48"/>
  <c r="A19" i="48"/>
  <c r="E18" i="48"/>
  <c r="B18" i="48"/>
  <c r="A18" i="48"/>
  <c r="B17" i="48"/>
  <c r="A17" i="48"/>
  <c r="E16" i="48"/>
  <c r="B16" i="48"/>
  <c r="A16" i="48"/>
  <c r="E15" i="48"/>
  <c r="B15" i="48"/>
  <c r="A15" i="48"/>
  <c r="C9" i="48"/>
  <c r="C8" i="48"/>
  <c r="C7" i="48"/>
  <c r="C6" i="48"/>
  <c r="C5" i="48"/>
  <c r="C4" i="48"/>
  <c r="E183" i="48" l="1"/>
  <c r="E184" i="48"/>
  <c r="E181" i="48"/>
  <c r="B65" i="31" l="1"/>
  <c r="B172" i="31" l="1"/>
  <c r="B25" i="31"/>
  <c r="A25" i="31"/>
  <c r="B285" i="31" l="1"/>
  <c r="B284" i="31"/>
  <c r="B283" i="31"/>
  <c r="B282" i="31"/>
  <c r="B281" i="31"/>
  <c r="B280" i="31"/>
  <c r="B279" i="31"/>
  <c r="B278" i="31"/>
  <c r="B277" i="31"/>
  <c r="B276" i="31"/>
  <c r="B275" i="31"/>
  <c r="B274" i="31"/>
  <c r="B273" i="31"/>
  <c r="B272" i="31"/>
  <c r="B271" i="31"/>
  <c r="B270" i="31"/>
  <c r="B269" i="31"/>
  <c r="B268" i="31"/>
  <c r="B267" i="31"/>
  <c r="B266" i="31"/>
  <c r="B265" i="31"/>
  <c r="B264" i="31"/>
  <c r="B263" i="31"/>
  <c r="B262" i="31"/>
  <c r="B261" i="31"/>
  <c r="B260" i="31"/>
  <c r="B259" i="31"/>
  <c r="B258" i="31"/>
  <c r="B257" i="31"/>
  <c r="B256" i="31"/>
  <c r="B255" i="31"/>
  <c r="B254" i="31"/>
  <c r="B253" i="31"/>
  <c r="B252" i="31"/>
  <c r="B251" i="31"/>
  <c r="B250" i="31"/>
  <c r="B249" i="31"/>
  <c r="B248" i="31"/>
  <c r="B247" i="31"/>
  <c r="B246" i="31"/>
  <c r="B245" i="31"/>
  <c r="B244" i="31"/>
  <c r="B243" i="31"/>
  <c r="B242" i="31"/>
  <c r="B241" i="31"/>
  <c r="B240" i="31"/>
  <c r="B239" i="31"/>
  <c r="B238" i="31"/>
  <c r="B237" i="31"/>
  <c r="B236" i="31"/>
  <c r="B235" i="31"/>
  <c r="B234" i="31"/>
  <c r="B233" i="31"/>
  <c r="B232" i="31"/>
  <c r="B144" i="31" l="1"/>
  <c r="B149" i="31" l="1"/>
  <c r="B148" i="31"/>
  <c r="B147" i="31"/>
  <c r="B146" i="31"/>
  <c r="B145" i="31"/>
  <c r="A23" i="31"/>
  <c r="A22" i="31"/>
  <c r="B23" i="31"/>
  <c r="B22" i="31"/>
  <c r="B21" i="31"/>
  <c r="B20" i="31"/>
  <c r="B19" i="31"/>
  <c r="B18" i="31"/>
  <c r="B17" i="31"/>
  <c r="B16" i="31"/>
  <c r="B15" i="31"/>
  <c r="C107" i="5" l="1"/>
  <c r="C108" i="5"/>
  <c r="C109" i="5"/>
  <c r="C110" i="5"/>
  <c r="C111" i="5"/>
  <c r="C112" i="5"/>
  <c r="C113" i="5"/>
  <c r="C114" i="5"/>
  <c r="C115" i="5"/>
  <c r="C116" i="5"/>
  <c r="C117" i="5"/>
  <c r="C118" i="5"/>
  <c r="C119" i="5"/>
  <c r="C120" i="5"/>
  <c r="C121" i="5"/>
  <c r="C122" i="5"/>
  <c r="C123" i="5"/>
  <c r="C124" i="5"/>
  <c r="C125" i="5"/>
  <c r="C126" i="5"/>
  <c r="C106" i="5"/>
  <c r="C105" i="5"/>
  <c r="C104" i="5"/>
  <c r="C103" i="5"/>
  <c r="C102" i="5"/>
  <c r="C157" i="2"/>
  <c r="C158" i="2"/>
  <c r="C159" i="2"/>
  <c r="C160" i="2"/>
  <c r="C161" i="2"/>
  <c r="C162" i="2"/>
  <c r="C163" i="2"/>
  <c r="C164" i="2"/>
  <c r="C165" i="2"/>
  <c r="C166" i="2"/>
  <c r="C167" i="2"/>
  <c r="C168" i="2"/>
  <c r="C169" i="2"/>
  <c r="C170" i="2"/>
  <c r="C171" i="2"/>
  <c r="C172" i="2"/>
  <c r="C153" i="2"/>
  <c r="C154" i="2"/>
  <c r="C155" i="2"/>
  <c r="C156" i="2"/>
  <c r="C148" i="2"/>
  <c r="C149" i="2"/>
  <c r="C150" i="2"/>
  <c r="C151" i="2"/>
  <c r="C152" i="2"/>
  <c r="C74" i="2"/>
  <c r="C6" i="2" l="1"/>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A172" i="31" l="1"/>
  <c r="E172" i="31"/>
  <c r="C6" i="31" l="1"/>
  <c r="E16" i="31" l="1"/>
  <c r="E15" i="31"/>
  <c r="B128" i="31" l="1"/>
  <c r="B286" i="31" l="1"/>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3" i="5"/>
  <c r="E42" i="31"/>
  <c r="E44" i="31"/>
  <c r="C4" i="2"/>
  <c r="C5" i="2"/>
  <c r="C3" i="2"/>
  <c r="C18" i="4" l="1"/>
  <c r="C15" i="4"/>
  <c r="C17" i="4"/>
  <c r="C39" i="4"/>
  <c r="C21" i="4"/>
  <c r="C22" i="4"/>
  <c r="C41" i="4"/>
  <c r="C23" i="4"/>
  <c r="C40" i="4"/>
  <c r="C42" i="4"/>
  <c r="C43" i="4"/>
  <c r="C24" i="4"/>
  <c r="C25" i="4"/>
  <c r="C34" i="4"/>
  <c r="C35" i="4"/>
  <c r="C36" i="4"/>
  <c r="C37" i="4"/>
  <c r="C38" i="4"/>
  <c r="C44" i="4"/>
  <c r="C45" i="4"/>
  <c r="C46" i="4"/>
  <c r="C47" i="4"/>
  <c r="C48" i="4"/>
  <c r="C49" i="4"/>
  <c r="C50" i="4"/>
  <c r="C51" i="4"/>
  <c r="C52" i="4"/>
  <c r="C53" i="4"/>
  <c r="C54" i="4"/>
  <c r="C31" i="4"/>
  <c r="C32" i="4"/>
  <c r="C33" i="4"/>
  <c r="C26" i="4"/>
  <c r="C27" i="4"/>
  <c r="C28" i="4"/>
  <c r="C29" i="4"/>
  <c r="C30" i="4"/>
  <c r="C3" i="4"/>
  <c r="C20" i="4"/>
  <c r="C4" i="4"/>
  <c r="C6" i="4"/>
  <c r="C11" i="4"/>
  <c r="C5" i="4"/>
  <c r="C8" i="4"/>
  <c r="C13" i="4"/>
  <c r="C7" i="4"/>
  <c r="C12" i="4"/>
  <c r="C9" i="4"/>
  <c r="C14" i="4"/>
  <c r="C10" i="4"/>
  <c r="C16" i="4"/>
  <c r="C19" i="4"/>
  <c r="B117" i="31"/>
  <c r="B116" i="31"/>
  <c r="B115" i="31"/>
  <c r="B114" i="31"/>
  <c r="B113" i="31"/>
  <c r="B112" i="31"/>
  <c r="B111" i="31"/>
  <c r="B110" i="31"/>
  <c r="B109" i="31"/>
  <c r="B108" i="31"/>
  <c r="B107" i="31"/>
  <c r="B106" i="31"/>
  <c r="B105" i="31"/>
  <c r="B104" i="31"/>
  <c r="B103" i="31"/>
  <c r="B102" i="31"/>
  <c r="A117" i="31"/>
  <c r="A116" i="31"/>
  <c r="A115" i="31"/>
  <c r="A114" i="31"/>
  <c r="A113" i="31"/>
  <c r="A112" i="31"/>
  <c r="A111" i="31"/>
  <c r="A110" i="31"/>
  <c r="A109" i="31"/>
  <c r="A108" i="31"/>
  <c r="A107" i="31"/>
  <c r="A106" i="31"/>
  <c r="A105" i="31"/>
  <c r="A104" i="31"/>
  <c r="A103" i="31"/>
  <c r="A102" i="31"/>
  <c r="E117" i="31"/>
  <c r="E116" i="31"/>
  <c r="E115" i="31"/>
  <c r="E114" i="31"/>
  <c r="E113" i="31"/>
  <c r="E112" i="31"/>
  <c r="E111" i="31"/>
  <c r="E110" i="31"/>
  <c r="E109" i="31"/>
  <c r="E108" i="31"/>
  <c r="E107" i="31"/>
  <c r="E106" i="31"/>
  <c r="E105" i="31"/>
  <c r="E104" i="31"/>
  <c r="E103" i="31"/>
  <c r="E102" i="31"/>
  <c r="E25" i="12"/>
  <c r="C4" i="31"/>
  <c r="C5" i="31"/>
  <c r="C7" i="31"/>
  <c r="C8" i="31"/>
  <c r="C9" i="31"/>
  <c r="A15" i="31"/>
  <c r="A16" i="31"/>
  <c r="A17" i="31"/>
  <c r="A18" i="31"/>
  <c r="E18" i="31"/>
  <c r="A19" i="31"/>
  <c r="E19" i="31"/>
  <c r="A20" i="31"/>
  <c r="E20" i="31"/>
  <c r="A21" i="31"/>
  <c r="E21" i="31"/>
  <c r="E22" i="31"/>
  <c r="E23" i="31"/>
  <c r="A24" i="31"/>
  <c r="B24" i="31"/>
  <c r="A26" i="31"/>
  <c r="B26" i="31"/>
  <c r="E26" i="31"/>
  <c r="A27" i="31"/>
  <c r="B27" i="31"/>
  <c r="E27" i="31"/>
  <c r="A28" i="31"/>
  <c r="B28" i="31"/>
  <c r="E28" i="31"/>
  <c r="A29" i="31"/>
  <c r="B29" i="31"/>
  <c r="E29" i="31"/>
  <c r="A35" i="31"/>
  <c r="B35" i="31"/>
  <c r="E183" i="31" s="1"/>
  <c r="E35" i="31"/>
  <c r="A36" i="31"/>
  <c r="B36" i="31"/>
  <c r="E36" i="31"/>
  <c r="A37" i="31"/>
  <c r="B37" i="31"/>
  <c r="E37" i="31"/>
  <c r="A38" i="31"/>
  <c r="B38" i="31"/>
  <c r="E38" i="31"/>
  <c r="A39" i="31"/>
  <c r="B39" i="31"/>
  <c r="E39" i="31"/>
  <c r="A40" i="31"/>
  <c r="B40" i="31"/>
  <c r="E40" i="31"/>
  <c r="A41" i="31"/>
  <c r="B41" i="31"/>
  <c r="E41" i="31"/>
  <c r="A42" i="31"/>
  <c r="B42" i="31"/>
  <c r="A43" i="31"/>
  <c r="B43" i="31"/>
  <c r="E43" i="31"/>
  <c r="A44" i="31"/>
  <c r="B44" i="31"/>
  <c r="A45" i="31"/>
  <c r="B45" i="31"/>
  <c r="E45" i="31"/>
  <c r="A46" i="31"/>
  <c r="B46" i="31"/>
  <c r="E46" i="31"/>
  <c r="A47" i="31"/>
  <c r="B47" i="31"/>
  <c r="E47" i="31"/>
  <c r="A48" i="31"/>
  <c r="B48" i="31"/>
  <c r="E48" i="31"/>
  <c r="A49" i="31"/>
  <c r="B49" i="31"/>
  <c r="E49" i="31"/>
  <c r="A50" i="31"/>
  <c r="B50" i="31"/>
  <c r="E50" i="31"/>
  <c r="A51" i="31"/>
  <c r="B51" i="31"/>
  <c r="E51" i="31"/>
  <c r="A52" i="31"/>
  <c r="B52" i="31"/>
  <c r="E52" i="31"/>
  <c r="A53" i="31"/>
  <c r="B53" i="31"/>
  <c r="E53" i="31"/>
  <c r="A54" i="31"/>
  <c r="B54" i="31"/>
  <c r="E54" i="31"/>
  <c r="A55" i="31"/>
  <c r="B55" i="31"/>
  <c r="E55" i="31"/>
  <c r="A56" i="31"/>
  <c r="B56" i="31"/>
  <c r="E56" i="31"/>
  <c r="A57" i="31"/>
  <c r="B57" i="31"/>
  <c r="E57" i="31"/>
  <c r="A58" i="31"/>
  <c r="B58" i="31"/>
  <c r="E58" i="31"/>
  <c r="A59" i="31"/>
  <c r="B59" i="31"/>
  <c r="E59" i="31"/>
  <c r="A60" i="31"/>
  <c r="B60" i="31"/>
  <c r="E60" i="31"/>
  <c r="A61" i="31"/>
  <c r="B61" i="31"/>
  <c r="E61" i="31"/>
  <c r="A62" i="31"/>
  <c r="B62" i="31"/>
  <c r="E62" i="31"/>
  <c r="A63" i="31"/>
  <c r="B63" i="31"/>
  <c r="E63" i="31"/>
  <c r="A64" i="31"/>
  <c r="B64" i="31"/>
  <c r="E65" i="31"/>
  <c r="A66" i="31"/>
  <c r="B66" i="31"/>
  <c r="E66" i="31"/>
  <c r="B71" i="31"/>
  <c r="A74" i="31"/>
  <c r="B74" i="31"/>
  <c r="E74" i="31"/>
  <c r="A75" i="31"/>
  <c r="B75" i="31"/>
  <c r="E75" i="31"/>
  <c r="A76" i="31"/>
  <c r="B76" i="31"/>
  <c r="E76" i="31"/>
  <c r="A77" i="31"/>
  <c r="B77" i="31"/>
  <c r="E77" i="31"/>
  <c r="A78" i="31"/>
  <c r="B78" i="31"/>
  <c r="E78" i="31"/>
  <c r="A79" i="31"/>
  <c r="B79" i="31"/>
  <c r="E79" i="31"/>
  <c r="A80" i="31"/>
  <c r="B80" i="31"/>
  <c r="E80" i="31"/>
  <c r="A81" i="31"/>
  <c r="B81" i="31"/>
  <c r="E81" i="31"/>
  <c r="B85" i="31"/>
  <c r="A88" i="31"/>
  <c r="B88" i="31"/>
  <c r="E88" i="31"/>
  <c r="A89" i="31"/>
  <c r="B89" i="31"/>
  <c r="E89" i="31"/>
  <c r="A90" i="31"/>
  <c r="B90" i="31"/>
  <c r="E90" i="31"/>
  <c r="A91" i="31"/>
  <c r="B91" i="31"/>
  <c r="E91" i="31"/>
  <c r="A92" i="31"/>
  <c r="B92" i="31"/>
  <c r="E92" i="31"/>
  <c r="A93" i="31"/>
  <c r="B93" i="31"/>
  <c r="E93" i="31"/>
  <c r="A94" i="31"/>
  <c r="B94" i="31"/>
  <c r="E94" i="31"/>
  <c r="A95" i="31"/>
  <c r="B95" i="31"/>
  <c r="E95" i="31"/>
  <c r="A124" i="31"/>
  <c r="B124" i="31"/>
  <c r="E124" i="31"/>
  <c r="A125" i="31"/>
  <c r="B125" i="31"/>
  <c r="E125" i="31"/>
  <c r="A126" i="31"/>
  <c r="B126" i="31"/>
  <c r="E126" i="31"/>
  <c r="A127" i="31"/>
  <c r="B127" i="31"/>
  <c r="E127" i="31"/>
  <c r="A128" i="31"/>
  <c r="E128" i="31"/>
  <c r="A129" i="31"/>
  <c r="B129" i="31"/>
  <c r="E129" i="31"/>
  <c r="A130" i="31"/>
  <c r="B130" i="31"/>
  <c r="E130" i="31"/>
  <c r="A131" i="31"/>
  <c r="B131" i="31"/>
  <c r="A132" i="31"/>
  <c r="B132" i="31"/>
  <c r="A133" i="31"/>
  <c r="B133" i="31"/>
  <c r="A134" i="31"/>
  <c r="B134" i="31"/>
  <c r="A143" i="31"/>
  <c r="B143" i="31"/>
  <c r="E143" i="31"/>
  <c r="A144" i="31"/>
  <c r="E144" i="31"/>
  <c r="A145" i="31"/>
  <c r="E145" i="31"/>
  <c r="A146" i="31"/>
  <c r="E146" i="31"/>
  <c r="A147" i="31"/>
  <c r="E147" i="31"/>
  <c r="A148" i="31"/>
  <c r="E148" i="31"/>
  <c r="A149" i="31"/>
  <c r="E149" i="31"/>
  <c r="A150" i="31"/>
  <c r="B150" i="31"/>
  <c r="E150" i="31"/>
  <c r="A151" i="31"/>
  <c r="B151" i="31"/>
  <c r="E151" i="31"/>
  <c r="A152" i="31"/>
  <c r="B152" i="31"/>
  <c r="E152" i="31"/>
  <c r="A153" i="31"/>
  <c r="B153" i="31"/>
  <c r="E153" i="31"/>
  <c r="A154" i="31"/>
  <c r="B154" i="31"/>
  <c r="E154" i="31"/>
  <c r="A155" i="31"/>
  <c r="B155" i="31"/>
  <c r="E155" i="31"/>
  <c r="A163" i="31"/>
  <c r="B163" i="31"/>
  <c r="E163" i="31"/>
  <c r="A164" i="31"/>
  <c r="B164" i="31"/>
  <c r="E164" i="31"/>
  <c r="A165" i="31"/>
  <c r="B165" i="31"/>
  <c r="E165" i="31"/>
  <c r="A166" i="31"/>
  <c r="B166" i="31"/>
  <c r="E166" i="31"/>
  <c r="A167" i="31"/>
  <c r="B167" i="31"/>
  <c r="E167" i="31"/>
  <c r="A168" i="31"/>
  <c r="B168" i="31"/>
  <c r="E168" i="31"/>
  <c r="A169" i="31"/>
  <c r="B169" i="31"/>
  <c r="E169" i="31"/>
  <c r="A170" i="31"/>
  <c r="B170" i="31"/>
  <c r="E170" i="31"/>
  <c r="A171" i="31"/>
  <c r="B171" i="31"/>
  <c r="E171" i="31"/>
  <c r="A178" i="31"/>
  <c r="B178" i="31"/>
  <c r="E178" i="31"/>
  <c r="A179" i="31"/>
  <c r="B179" i="31"/>
  <c r="E179" i="31"/>
  <c r="A180" i="31"/>
  <c r="B180" i="31"/>
  <c r="E180" i="31"/>
  <c r="A181" i="31"/>
  <c r="B181" i="31"/>
  <c r="A182" i="31"/>
  <c r="B182" i="31"/>
  <c r="A183" i="31"/>
  <c r="B183" i="31"/>
  <c r="A184" i="31"/>
  <c r="B184" i="31"/>
  <c r="C104" i="2"/>
  <c r="C105" i="2"/>
  <c r="C106" i="2"/>
  <c r="E184" i="31" l="1"/>
  <c r="E181" i="31"/>
  <c r="E182" i="31"/>
</calcChain>
</file>

<file path=xl/comments1.xml><?xml version="1.0" encoding="utf-8"?>
<comments xmlns="http://schemas.openxmlformats.org/spreadsheetml/2006/main">
  <authors>
    <author>John de Papp</author>
  </authors>
  <commentList>
    <comment ref="C11" authorId="0" shapeId="0">
      <text>
        <r>
          <rPr>
            <sz val="8"/>
            <color indexed="81"/>
            <rFont val="Tahoma"/>
            <family val="2"/>
          </rPr>
          <t>Include names of all Xilinx technical personnel that participated in the review:
e.g.
1. SAE
2. FAE
3. FAE Specialist
4. ...</t>
        </r>
        <r>
          <rPr>
            <sz val="8"/>
            <color indexed="81"/>
            <rFont val="Tahoma"/>
            <family val="2"/>
          </rPr>
          <t xml:space="preserve">
</t>
        </r>
      </text>
    </comment>
  </commentList>
</comments>
</file>

<file path=xl/comments2.xml><?xml version="1.0" encoding="utf-8"?>
<comments xmlns="http://schemas.openxmlformats.org/spreadsheetml/2006/main">
  <authors>
    <author>Windows User</author>
    <author>amjade</author>
  </authors>
  <commentList>
    <comment ref="B4" authorId="0" shapeId="0">
      <text>
        <r>
          <rPr>
            <b/>
            <sz val="9"/>
            <color indexed="81"/>
            <rFont val="Tahoma"/>
            <family val="2"/>
          </rPr>
          <t>Xilinx:
Select Device Family</t>
        </r>
      </text>
    </comment>
    <comment ref="B5" authorId="0" shapeId="0">
      <text>
        <r>
          <rPr>
            <b/>
            <sz val="9"/>
            <color indexed="81"/>
            <rFont val="Tahoma"/>
            <family val="2"/>
          </rPr>
          <t>Xilinx:
Select Die</t>
        </r>
      </text>
    </comment>
    <comment ref="B6" authorId="0" shapeId="0">
      <text>
        <r>
          <rPr>
            <b/>
            <sz val="9"/>
            <color indexed="81"/>
            <rFont val="Tahoma"/>
            <family val="2"/>
          </rPr>
          <t>Xilinx:
Select Package</t>
        </r>
      </text>
    </comment>
    <comment ref="B7" authorId="0" shapeId="0">
      <text>
        <r>
          <rPr>
            <b/>
            <sz val="9"/>
            <color indexed="81"/>
            <rFont val="Tahoma"/>
            <family val="2"/>
          </rPr>
          <t>Xilinx:
Select configuration mode</t>
        </r>
      </text>
    </comment>
    <comment ref="B8" authorId="0" shapeId="0">
      <text>
        <r>
          <rPr>
            <b/>
            <sz val="9"/>
            <color indexed="81"/>
            <rFont val="Tahoma"/>
            <family val="2"/>
          </rPr>
          <t>Xilinx:
Set the frequency of the configuration bus for programming time calculations</t>
        </r>
      </text>
    </comment>
    <comment ref="B9" authorId="1" shapeId="0">
      <text>
        <r>
          <rPr>
            <b/>
            <sz val="9"/>
            <color indexed="81"/>
            <rFont val="Tahoma"/>
            <family val="2"/>
          </rPr>
          <t>Xilinx:
Specify the schematic reference designator for this device</t>
        </r>
      </text>
    </comment>
    <comment ref="D15" authorId="0" shapeId="0">
      <text>
        <r>
          <rPr>
            <b/>
            <sz val="9"/>
            <color indexed="81"/>
            <rFont val="Tahoma"/>
            <family val="2"/>
          </rPr>
          <t>Xilinx:
Choose the current status of this line item.</t>
        </r>
      </text>
    </comment>
    <comment ref="D16" authorId="0" shapeId="0">
      <text>
        <r>
          <rPr>
            <b/>
            <sz val="9"/>
            <color indexed="81"/>
            <rFont val="Tahoma"/>
            <family val="2"/>
          </rPr>
          <t>Xilinx:
Choose the current status of this line item.</t>
        </r>
      </text>
    </comment>
    <comment ref="D17" authorId="0" shapeId="0">
      <text>
        <r>
          <rPr>
            <b/>
            <sz val="9"/>
            <color indexed="81"/>
            <rFont val="Tahoma"/>
            <family val="2"/>
          </rPr>
          <t>Xilinx:
Choose the current status of this line item.</t>
        </r>
      </text>
    </comment>
    <comment ref="D18" authorId="0" shapeId="0">
      <text>
        <r>
          <rPr>
            <b/>
            <sz val="9"/>
            <color indexed="81"/>
            <rFont val="Tahoma"/>
            <family val="2"/>
          </rPr>
          <t>Xilinx:
Choose the current status of this line item.</t>
        </r>
      </text>
    </comment>
    <comment ref="C19" authorId="0" shapeId="0">
      <text>
        <r>
          <rPr>
            <b/>
            <sz val="9"/>
            <color indexed="81"/>
            <rFont val="Tahoma"/>
            <family val="2"/>
          </rPr>
          <t xml:space="preserve">Xilinx:
The value for VCCO is used to determine what CFGBVS must be set to in order to avoid damage. </t>
        </r>
      </text>
    </comment>
    <comment ref="D19" authorId="0" shapeId="0">
      <text>
        <r>
          <rPr>
            <b/>
            <sz val="9"/>
            <color indexed="81"/>
            <rFont val="Tahoma"/>
            <family val="2"/>
          </rPr>
          <t>Xilinx:
Choose the current status of this line item.</t>
        </r>
      </text>
    </comment>
    <comment ref="D20" authorId="0" shapeId="0">
      <text>
        <r>
          <rPr>
            <b/>
            <sz val="9"/>
            <color indexed="81"/>
            <rFont val="Tahoma"/>
            <family val="2"/>
          </rPr>
          <t>Xilinx:
Choose the current status of this line item.</t>
        </r>
      </text>
    </comment>
    <comment ref="D21" authorId="0" shapeId="0">
      <text>
        <r>
          <rPr>
            <b/>
            <sz val="9"/>
            <color indexed="81"/>
            <rFont val="Tahoma"/>
            <family val="2"/>
          </rPr>
          <t>Xilinx:
Choose the current status of this line item.</t>
        </r>
      </text>
    </comment>
    <comment ref="D22" authorId="0" shapeId="0">
      <text>
        <r>
          <rPr>
            <b/>
            <sz val="9"/>
            <color indexed="81"/>
            <rFont val="Tahoma"/>
            <family val="2"/>
          </rPr>
          <t>Xilinx:
Choose the current status of this line item.</t>
        </r>
      </text>
    </comment>
    <comment ref="D23" authorId="0" shapeId="0">
      <text>
        <r>
          <rPr>
            <b/>
            <sz val="9"/>
            <color indexed="81"/>
            <rFont val="Tahoma"/>
            <family val="2"/>
          </rPr>
          <t>Xilinx:
Choose the current status of this line item.</t>
        </r>
      </text>
    </comment>
    <comment ref="D24" authorId="0" shapeId="0">
      <text>
        <r>
          <rPr>
            <b/>
            <sz val="9"/>
            <color indexed="81"/>
            <rFont val="Tahoma"/>
            <family val="2"/>
          </rPr>
          <t>Xilinx:
Choose the current status of this line item.</t>
        </r>
      </text>
    </comment>
    <comment ref="D26" authorId="0" shapeId="0">
      <text>
        <r>
          <rPr>
            <b/>
            <sz val="9"/>
            <color indexed="81"/>
            <rFont val="Tahoma"/>
            <family val="2"/>
          </rPr>
          <t>Xilinx:
Choose the current status of this line item.</t>
        </r>
      </text>
    </comment>
    <comment ref="D27" authorId="0" shapeId="0">
      <text>
        <r>
          <rPr>
            <b/>
            <sz val="9"/>
            <color indexed="81"/>
            <rFont val="Tahoma"/>
            <family val="2"/>
          </rPr>
          <t>Xilinx:
Choose the current status of this line item.</t>
        </r>
      </text>
    </comment>
    <comment ref="D28" authorId="0" shapeId="0">
      <text>
        <r>
          <rPr>
            <b/>
            <sz val="9"/>
            <color indexed="81"/>
            <rFont val="Tahoma"/>
            <family val="2"/>
          </rPr>
          <t>Xilinx:
Choose the current status of this line item.</t>
        </r>
      </text>
    </comment>
    <comment ref="D29" authorId="0" shapeId="0">
      <text>
        <r>
          <rPr>
            <b/>
            <sz val="9"/>
            <color indexed="81"/>
            <rFont val="Tahoma"/>
            <family val="2"/>
          </rPr>
          <t>Xilinx:
Choose the current status of this line item.</t>
        </r>
      </text>
    </comment>
    <comment ref="D35" authorId="0" shapeId="0">
      <text>
        <r>
          <rPr>
            <b/>
            <sz val="9"/>
            <color indexed="81"/>
            <rFont val="Tahoma"/>
            <family val="2"/>
          </rPr>
          <t>Xilinx:
Choose the current status of this line item.</t>
        </r>
      </text>
    </comment>
    <comment ref="D36" authorId="0" shapeId="0">
      <text>
        <r>
          <rPr>
            <b/>
            <sz val="9"/>
            <color indexed="81"/>
            <rFont val="Tahoma"/>
            <family val="2"/>
          </rPr>
          <t>Xilinx:
Choose the current status of this line item.</t>
        </r>
      </text>
    </comment>
    <comment ref="D37" authorId="0" shapeId="0">
      <text>
        <r>
          <rPr>
            <b/>
            <sz val="9"/>
            <color indexed="81"/>
            <rFont val="Tahoma"/>
            <family val="2"/>
          </rPr>
          <t>Xilinx:
Choose the current status of this line item.</t>
        </r>
      </text>
    </comment>
    <comment ref="D38" authorId="0" shapeId="0">
      <text>
        <r>
          <rPr>
            <b/>
            <sz val="9"/>
            <color indexed="81"/>
            <rFont val="Tahoma"/>
            <family val="2"/>
          </rPr>
          <t>Xilinx:
Choose the current status of this line item.</t>
        </r>
      </text>
    </comment>
    <comment ref="D39" authorId="0" shapeId="0">
      <text>
        <r>
          <rPr>
            <b/>
            <sz val="9"/>
            <color indexed="81"/>
            <rFont val="Tahoma"/>
            <family val="2"/>
          </rPr>
          <t>Xilinx:
Choose the current status of this line item.</t>
        </r>
      </text>
    </comment>
    <comment ref="D40" authorId="0" shapeId="0">
      <text>
        <r>
          <rPr>
            <b/>
            <sz val="9"/>
            <color indexed="81"/>
            <rFont val="Tahoma"/>
            <family val="2"/>
          </rPr>
          <t>Xilinx:
Choose the current status of this line item.</t>
        </r>
      </text>
    </comment>
    <comment ref="D41" authorId="0" shapeId="0">
      <text>
        <r>
          <rPr>
            <b/>
            <sz val="9"/>
            <color indexed="81"/>
            <rFont val="Tahoma"/>
            <family val="2"/>
          </rPr>
          <t>Xilinx:
Choose the current status of this line item.</t>
        </r>
      </text>
    </comment>
    <comment ref="D42" authorId="0" shapeId="0">
      <text>
        <r>
          <rPr>
            <b/>
            <sz val="9"/>
            <color indexed="81"/>
            <rFont val="Tahoma"/>
            <family val="2"/>
          </rPr>
          <t>Xilinx:
Choose the current status of this line item.</t>
        </r>
      </text>
    </comment>
    <comment ref="D43" authorId="0" shapeId="0">
      <text>
        <r>
          <rPr>
            <b/>
            <sz val="9"/>
            <color indexed="81"/>
            <rFont val="Tahoma"/>
            <family val="2"/>
          </rPr>
          <t>Xilinx:
Choose the current status of this line item.</t>
        </r>
      </text>
    </comment>
    <comment ref="D44" authorId="0" shapeId="0">
      <text>
        <r>
          <rPr>
            <b/>
            <sz val="9"/>
            <color indexed="81"/>
            <rFont val="Tahoma"/>
            <family val="2"/>
          </rPr>
          <t>Xilinx:
Choose the current status of this line item.</t>
        </r>
      </text>
    </comment>
    <comment ref="D45" authorId="0" shapeId="0">
      <text>
        <r>
          <rPr>
            <b/>
            <sz val="9"/>
            <color indexed="81"/>
            <rFont val="Tahoma"/>
            <family val="2"/>
          </rPr>
          <t>Xilinx:
Choose the current status of this line item.</t>
        </r>
      </text>
    </comment>
    <comment ref="D46" authorId="0" shapeId="0">
      <text>
        <r>
          <rPr>
            <b/>
            <sz val="9"/>
            <color indexed="81"/>
            <rFont val="Tahoma"/>
            <family val="2"/>
          </rPr>
          <t>Xilinx:
Choose the current status of this line item.</t>
        </r>
      </text>
    </comment>
    <comment ref="D47" authorId="0" shapeId="0">
      <text>
        <r>
          <rPr>
            <b/>
            <sz val="9"/>
            <color indexed="81"/>
            <rFont val="Tahoma"/>
            <family val="2"/>
          </rPr>
          <t>Xilinx:
Choose the current status of this line item.</t>
        </r>
      </text>
    </comment>
    <comment ref="D48" authorId="0" shapeId="0">
      <text>
        <r>
          <rPr>
            <b/>
            <sz val="9"/>
            <color indexed="81"/>
            <rFont val="Tahoma"/>
            <family val="2"/>
          </rPr>
          <t>Xilinx:
Choose the current status of this line item.</t>
        </r>
      </text>
    </comment>
    <comment ref="D49" authorId="0" shapeId="0">
      <text>
        <r>
          <rPr>
            <b/>
            <sz val="9"/>
            <color indexed="81"/>
            <rFont val="Tahoma"/>
            <family val="2"/>
          </rPr>
          <t>Xilinx:
Choose the current status of this line item.</t>
        </r>
      </text>
    </comment>
    <comment ref="D50" authorId="0" shapeId="0">
      <text>
        <r>
          <rPr>
            <b/>
            <sz val="9"/>
            <color indexed="81"/>
            <rFont val="Tahoma"/>
            <family val="2"/>
          </rPr>
          <t>Xilinx:
Choose the current status of this line item.</t>
        </r>
      </text>
    </comment>
    <comment ref="D51" authorId="0" shapeId="0">
      <text>
        <r>
          <rPr>
            <b/>
            <sz val="9"/>
            <color indexed="81"/>
            <rFont val="Tahoma"/>
            <family val="2"/>
          </rPr>
          <t>Xilinx:
Choose the current status of this line item.</t>
        </r>
      </text>
    </comment>
    <comment ref="D52" authorId="0" shapeId="0">
      <text>
        <r>
          <rPr>
            <b/>
            <sz val="9"/>
            <color indexed="81"/>
            <rFont val="Tahoma"/>
            <family val="2"/>
          </rPr>
          <t>Xilinx:
Choose the current status of this line item.</t>
        </r>
      </text>
    </comment>
    <comment ref="D53" authorId="0" shapeId="0">
      <text>
        <r>
          <rPr>
            <b/>
            <sz val="9"/>
            <color indexed="81"/>
            <rFont val="Tahoma"/>
            <family val="2"/>
          </rPr>
          <t>Xilinx:
Choose the current status of this line item.</t>
        </r>
      </text>
    </comment>
    <comment ref="D54" authorId="0" shapeId="0">
      <text>
        <r>
          <rPr>
            <b/>
            <sz val="9"/>
            <color indexed="81"/>
            <rFont val="Tahoma"/>
            <family val="2"/>
          </rPr>
          <t>Xilinx:
Choose the current status of this line item.</t>
        </r>
      </text>
    </comment>
    <comment ref="D55" authorId="0" shapeId="0">
      <text>
        <r>
          <rPr>
            <b/>
            <sz val="9"/>
            <color indexed="81"/>
            <rFont val="Tahoma"/>
            <family val="2"/>
          </rPr>
          <t>Xilinx:
Choose the current status of this line item.</t>
        </r>
      </text>
    </comment>
    <comment ref="D56" authorId="0" shapeId="0">
      <text>
        <r>
          <rPr>
            <b/>
            <sz val="9"/>
            <color indexed="81"/>
            <rFont val="Tahoma"/>
            <family val="2"/>
          </rPr>
          <t>Xilinx:
Choose the current status of this line item.</t>
        </r>
      </text>
    </comment>
    <comment ref="D57" authorId="0" shapeId="0">
      <text>
        <r>
          <rPr>
            <b/>
            <sz val="9"/>
            <color indexed="81"/>
            <rFont val="Tahoma"/>
            <family val="2"/>
          </rPr>
          <t>Xilinx:
Choose the current status of this line item.</t>
        </r>
      </text>
    </comment>
    <comment ref="D58" authorId="0" shapeId="0">
      <text>
        <r>
          <rPr>
            <b/>
            <sz val="9"/>
            <color indexed="81"/>
            <rFont val="Tahoma"/>
            <family val="2"/>
          </rPr>
          <t>Xilinx:
Choose the current status of this line item.</t>
        </r>
      </text>
    </comment>
    <comment ref="D59" authorId="0" shapeId="0">
      <text>
        <r>
          <rPr>
            <b/>
            <sz val="9"/>
            <color indexed="81"/>
            <rFont val="Tahoma"/>
            <family val="2"/>
          </rPr>
          <t>Xilinx:
Choose the current status of this line item.</t>
        </r>
      </text>
    </comment>
    <comment ref="D60" authorId="0" shapeId="0">
      <text>
        <r>
          <rPr>
            <b/>
            <sz val="9"/>
            <color indexed="81"/>
            <rFont val="Tahoma"/>
            <family val="2"/>
          </rPr>
          <t>Xilinx:
Choose the current status of this line item.</t>
        </r>
      </text>
    </comment>
    <comment ref="D61" authorId="0" shapeId="0">
      <text>
        <r>
          <rPr>
            <b/>
            <sz val="9"/>
            <color indexed="81"/>
            <rFont val="Tahoma"/>
            <family val="2"/>
          </rPr>
          <t>Xilinx:
Choose the current status of this line item.</t>
        </r>
      </text>
    </comment>
    <comment ref="D62" authorId="0" shapeId="0">
      <text>
        <r>
          <rPr>
            <b/>
            <sz val="9"/>
            <color indexed="81"/>
            <rFont val="Tahoma"/>
            <family val="2"/>
          </rPr>
          <t>Xilinx:
Choose the current status of this line item.</t>
        </r>
      </text>
    </comment>
    <comment ref="D63" authorId="0" shapeId="0">
      <text>
        <r>
          <rPr>
            <b/>
            <sz val="9"/>
            <color indexed="81"/>
            <rFont val="Tahoma"/>
            <family val="2"/>
          </rPr>
          <t>Xilinx:
Choose the current status of this line item.</t>
        </r>
      </text>
    </comment>
    <comment ref="D64" authorId="0" shapeId="0">
      <text>
        <r>
          <rPr>
            <b/>
            <sz val="9"/>
            <color indexed="81"/>
            <rFont val="Tahoma"/>
            <family val="2"/>
          </rPr>
          <t>Xilinx:
Choose the current status of this line item.</t>
        </r>
      </text>
    </comment>
    <comment ref="D65" authorId="0" shapeId="0">
      <text>
        <r>
          <rPr>
            <b/>
            <sz val="9"/>
            <color indexed="81"/>
            <rFont val="Tahoma"/>
            <family val="2"/>
          </rPr>
          <t>Xilinx:
Choose the current status of this line item.</t>
        </r>
      </text>
    </comment>
    <comment ref="D66" authorId="0" shapeId="0">
      <text>
        <r>
          <rPr>
            <b/>
            <sz val="9"/>
            <color indexed="81"/>
            <rFont val="Tahoma"/>
            <family val="2"/>
          </rPr>
          <t>Xilinx:
Choose the current status of this line item.</t>
        </r>
      </text>
    </comment>
    <comment ref="D74" authorId="0" shapeId="0">
      <text>
        <r>
          <rPr>
            <b/>
            <sz val="9"/>
            <color indexed="81"/>
            <rFont val="Tahoma"/>
            <family val="2"/>
          </rPr>
          <t>Xilinx:
Choose the current status of this line item.</t>
        </r>
      </text>
    </comment>
    <comment ref="D75" authorId="0" shapeId="0">
      <text>
        <r>
          <rPr>
            <b/>
            <sz val="9"/>
            <color indexed="81"/>
            <rFont val="Tahoma"/>
            <family val="2"/>
          </rPr>
          <t>Xilinx:
Choose the current status of this line item.</t>
        </r>
      </text>
    </comment>
    <comment ref="D76" authorId="0" shapeId="0">
      <text>
        <r>
          <rPr>
            <b/>
            <sz val="9"/>
            <color indexed="81"/>
            <rFont val="Tahoma"/>
            <family val="2"/>
          </rPr>
          <t>Xilinx:
Choose the current status of this line item.</t>
        </r>
      </text>
    </comment>
    <comment ref="D77" authorId="0" shapeId="0">
      <text>
        <r>
          <rPr>
            <b/>
            <sz val="9"/>
            <color indexed="81"/>
            <rFont val="Tahoma"/>
            <family val="2"/>
          </rPr>
          <t>Xilinx:
Choose the current status of this line item.</t>
        </r>
      </text>
    </comment>
    <comment ref="D78" authorId="0" shapeId="0">
      <text>
        <r>
          <rPr>
            <b/>
            <sz val="9"/>
            <color indexed="81"/>
            <rFont val="Tahoma"/>
            <family val="2"/>
          </rPr>
          <t>Xilinx:
Choose the current status of this line item.</t>
        </r>
      </text>
    </comment>
    <comment ref="D79" authorId="0" shapeId="0">
      <text>
        <r>
          <rPr>
            <b/>
            <sz val="9"/>
            <color indexed="81"/>
            <rFont val="Tahoma"/>
            <family val="2"/>
          </rPr>
          <t>Xilinx:
Choose the current status of this line item.</t>
        </r>
      </text>
    </comment>
    <comment ref="D80" authorId="0" shapeId="0">
      <text>
        <r>
          <rPr>
            <b/>
            <sz val="9"/>
            <color indexed="81"/>
            <rFont val="Tahoma"/>
            <family val="2"/>
          </rPr>
          <t>Xilinx:
Choose the current status of this line item.</t>
        </r>
      </text>
    </comment>
    <comment ref="D81" authorId="0" shapeId="0">
      <text>
        <r>
          <rPr>
            <b/>
            <sz val="9"/>
            <color indexed="81"/>
            <rFont val="Tahoma"/>
            <family val="2"/>
          </rPr>
          <t>Xilinx:
Choose the current status of this line item.</t>
        </r>
      </text>
    </comment>
    <comment ref="D88" authorId="0" shapeId="0">
      <text>
        <r>
          <rPr>
            <b/>
            <sz val="9"/>
            <color indexed="81"/>
            <rFont val="Tahoma"/>
            <family val="2"/>
          </rPr>
          <t>Xilinx:
Choose the current status of this line item.</t>
        </r>
      </text>
    </comment>
    <comment ref="D89" authorId="0" shapeId="0">
      <text>
        <r>
          <rPr>
            <b/>
            <sz val="9"/>
            <color indexed="81"/>
            <rFont val="Tahoma"/>
            <family val="2"/>
          </rPr>
          <t>Xilinx:
Choose the current status of this line item.</t>
        </r>
      </text>
    </comment>
    <comment ref="D90" authorId="0" shapeId="0">
      <text>
        <r>
          <rPr>
            <b/>
            <sz val="9"/>
            <color indexed="81"/>
            <rFont val="Tahoma"/>
            <family val="2"/>
          </rPr>
          <t>Xilinx:
Choose the current status of this line item.</t>
        </r>
      </text>
    </comment>
    <comment ref="D91" authorId="0" shapeId="0">
      <text>
        <r>
          <rPr>
            <b/>
            <sz val="9"/>
            <color indexed="81"/>
            <rFont val="Tahoma"/>
            <family val="2"/>
          </rPr>
          <t>Xilinx:
Choose the current status of this line item.</t>
        </r>
      </text>
    </comment>
    <comment ref="D92" authorId="0" shapeId="0">
      <text>
        <r>
          <rPr>
            <b/>
            <sz val="9"/>
            <color indexed="81"/>
            <rFont val="Tahoma"/>
            <family val="2"/>
          </rPr>
          <t>Xilinx:
Choose the current status of this line item.</t>
        </r>
      </text>
    </comment>
    <comment ref="D93" authorId="0" shapeId="0">
      <text>
        <r>
          <rPr>
            <b/>
            <sz val="9"/>
            <color indexed="81"/>
            <rFont val="Tahoma"/>
            <family val="2"/>
          </rPr>
          <t>Xilinx:
Choose the current status of this line item.</t>
        </r>
      </text>
    </comment>
    <comment ref="D94" authorId="0" shapeId="0">
      <text>
        <r>
          <rPr>
            <b/>
            <sz val="9"/>
            <color indexed="81"/>
            <rFont val="Tahoma"/>
            <family val="2"/>
          </rPr>
          <t>Xilinx:
Choose the current status of this line item.</t>
        </r>
      </text>
    </comment>
    <comment ref="D95" authorId="0" shapeId="0">
      <text>
        <r>
          <rPr>
            <b/>
            <sz val="9"/>
            <color indexed="81"/>
            <rFont val="Tahoma"/>
            <family val="2"/>
          </rPr>
          <t>Xilinx:
Choose the current status of this line item.</t>
        </r>
      </text>
    </comment>
    <comment ref="D102" authorId="0" shapeId="0">
      <text>
        <r>
          <rPr>
            <b/>
            <sz val="9"/>
            <color indexed="81"/>
            <rFont val="Tahoma"/>
            <family val="2"/>
          </rPr>
          <t>Xilinx:
Choose the current status of this line item.</t>
        </r>
      </text>
    </comment>
    <comment ref="D103" authorId="0" shapeId="0">
      <text>
        <r>
          <rPr>
            <b/>
            <sz val="9"/>
            <color indexed="81"/>
            <rFont val="Tahoma"/>
            <family val="2"/>
          </rPr>
          <t>Xilinx:
Choose the current status of this line item.</t>
        </r>
      </text>
    </comment>
    <comment ref="D104" authorId="0" shapeId="0">
      <text>
        <r>
          <rPr>
            <b/>
            <sz val="9"/>
            <color indexed="81"/>
            <rFont val="Tahoma"/>
            <family val="2"/>
          </rPr>
          <t>Xilinx:
Choose the current status of this line item.</t>
        </r>
      </text>
    </comment>
    <comment ref="D105" authorId="0" shapeId="0">
      <text>
        <r>
          <rPr>
            <b/>
            <sz val="9"/>
            <color indexed="81"/>
            <rFont val="Tahoma"/>
            <family val="2"/>
          </rPr>
          <t>Xilinx:
Choose the current status of this line item.</t>
        </r>
      </text>
    </comment>
    <comment ref="D106" authorId="0" shapeId="0">
      <text>
        <r>
          <rPr>
            <b/>
            <sz val="9"/>
            <color indexed="81"/>
            <rFont val="Tahoma"/>
            <family val="2"/>
          </rPr>
          <t>Xilinx:
Choose the current status of this line item.</t>
        </r>
      </text>
    </comment>
    <comment ref="D107" authorId="0" shapeId="0">
      <text>
        <r>
          <rPr>
            <b/>
            <sz val="9"/>
            <color indexed="81"/>
            <rFont val="Tahoma"/>
            <family val="2"/>
          </rPr>
          <t>Xilinx:
Choose the current status of this line item.</t>
        </r>
      </text>
    </comment>
    <comment ref="D108" authorId="0" shapeId="0">
      <text>
        <r>
          <rPr>
            <b/>
            <sz val="9"/>
            <color indexed="81"/>
            <rFont val="Tahoma"/>
            <family val="2"/>
          </rPr>
          <t>Xilinx:
Choose the current status of this line item.</t>
        </r>
      </text>
    </comment>
    <comment ref="D109" authorId="0" shapeId="0">
      <text>
        <r>
          <rPr>
            <b/>
            <sz val="9"/>
            <color indexed="81"/>
            <rFont val="Tahoma"/>
            <family val="2"/>
          </rPr>
          <t>Xilinx:
Choose the current status of this line item.</t>
        </r>
      </text>
    </comment>
    <comment ref="D110" authorId="0" shapeId="0">
      <text>
        <r>
          <rPr>
            <b/>
            <sz val="9"/>
            <color indexed="81"/>
            <rFont val="Tahoma"/>
            <family val="2"/>
          </rPr>
          <t>Xilinx:
Choose the current status of this line item.</t>
        </r>
      </text>
    </comment>
    <comment ref="D111" authorId="0" shapeId="0">
      <text>
        <r>
          <rPr>
            <b/>
            <sz val="9"/>
            <color indexed="81"/>
            <rFont val="Tahoma"/>
            <family val="2"/>
          </rPr>
          <t>Xilinx:
Choose the current status of this line item.</t>
        </r>
      </text>
    </comment>
    <comment ref="D112" authorId="0" shapeId="0">
      <text>
        <r>
          <rPr>
            <b/>
            <sz val="9"/>
            <color indexed="81"/>
            <rFont val="Tahoma"/>
            <family val="2"/>
          </rPr>
          <t>Xilinx:
Choose the current status of this line item.</t>
        </r>
      </text>
    </comment>
    <comment ref="D113" authorId="0" shapeId="0">
      <text>
        <r>
          <rPr>
            <b/>
            <sz val="9"/>
            <color indexed="81"/>
            <rFont val="Tahoma"/>
            <family val="2"/>
          </rPr>
          <t>Xilinx:
Choose the current status of this line item.</t>
        </r>
      </text>
    </comment>
    <comment ref="D114" authorId="0" shapeId="0">
      <text>
        <r>
          <rPr>
            <b/>
            <sz val="9"/>
            <color indexed="81"/>
            <rFont val="Tahoma"/>
            <family val="2"/>
          </rPr>
          <t>Xilinx:
Choose the current status of this line item.</t>
        </r>
      </text>
    </comment>
    <comment ref="D115" authorId="0" shapeId="0">
      <text>
        <r>
          <rPr>
            <b/>
            <sz val="9"/>
            <color indexed="81"/>
            <rFont val="Tahoma"/>
            <family val="2"/>
          </rPr>
          <t>Xilinx:
Choose the current status of this line item.</t>
        </r>
      </text>
    </comment>
    <comment ref="D116" authorId="0" shapeId="0">
      <text>
        <r>
          <rPr>
            <b/>
            <sz val="9"/>
            <color indexed="81"/>
            <rFont val="Tahoma"/>
            <family val="2"/>
          </rPr>
          <t>Xilinx:
Choose the current status of this line item.</t>
        </r>
      </text>
    </comment>
    <comment ref="D117" authorId="0" shapeId="0">
      <text>
        <r>
          <rPr>
            <b/>
            <sz val="9"/>
            <color indexed="81"/>
            <rFont val="Tahoma"/>
            <family val="2"/>
          </rPr>
          <t>Xilinx:
Choose the current status of this line item.</t>
        </r>
      </text>
    </comment>
    <comment ref="D124" authorId="0" shapeId="0">
      <text>
        <r>
          <rPr>
            <b/>
            <sz val="9"/>
            <color indexed="81"/>
            <rFont val="Tahoma"/>
            <family val="2"/>
          </rPr>
          <t>Xilinx:
Choose the current status of this line item.</t>
        </r>
      </text>
    </comment>
    <comment ref="D125" authorId="0" shapeId="0">
      <text>
        <r>
          <rPr>
            <b/>
            <sz val="9"/>
            <color indexed="81"/>
            <rFont val="Tahoma"/>
            <family val="2"/>
          </rPr>
          <t>Xilinx:
Choose the current status of this line item.</t>
        </r>
      </text>
    </comment>
    <comment ref="D126" authorId="0" shapeId="0">
      <text>
        <r>
          <rPr>
            <b/>
            <sz val="9"/>
            <color indexed="81"/>
            <rFont val="Tahoma"/>
            <family val="2"/>
          </rPr>
          <t>Xilinx:
Choose the current status of this line item.</t>
        </r>
      </text>
    </comment>
    <comment ref="D127" authorId="0" shapeId="0">
      <text>
        <r>
          <rPr>
            <b/>
            <sz val="9"/>
            <color indexed="81"/>
            <rFont val="Tahoma"/>
            <family val="2"/>
          </rPr>
          <t>Xilinx:
Choose the current status of this line item.</t>
        </r>
      </text>
    </comment>
    <comment ref="D128" authorId="0" shapeId="0">
      <text>
        <r>
          <rPr>
            <b/>
            <sz val="9"/>
            <color indexed="81"/>
            <rFont val="Tahoma"/>
            <family val="2"/>
          </rPr>
          <t>Xilinx:
Choose the current status of this line item.</t>
        </r>
      </text>
    </comment>
    <comment ref="D129" authorId="0" shapeId="0">
      <text>
        <r>
          <rPr>
            <b/>
            <sz val="9"/>
            <color indexed="81"/>
            <rFont val="Tahoma"/>
            <family val="2"/>
          </rPr>
          <t>Xilinx:
Choose the current status of this line item.</t>
        </r>
      </text>
    </comment>
    <comment ref="D130" authorId="0" shapeId="0">
      <text>
        <r>
          <rPr>
            <b/>
            <sz val="9"/>
            <color indexed="81"/>
            <rFont val="Tahoma"/>
            <family val="2"/>
          </rPr>
          <t>Xilinx:
Choose the current status of this line item.</t>
        </r>
      </text>
    </comment>
    <comment ref="D131" authorId="0" shapeId="0">
      <text>
        <r>
          <rPr>
            <b/>
            <sz val="9"/>
            <color indexed="81"/>
            <rFont val="Tahoma"/>
            <family val="2"/>
          </rPr>
          <t>Xilinx:
Choose the current status of this line item.</t>
        </r>
      </text>
    </comment>
    <comment ref="D132" authorId="0" shapeId="0">
      <text>
        <r>
          <rPr>
            <b/>
            <sz val="9"/>
            <color indexed="81"/>
            <rFont val="Tahoma"/>
            <family val="2"/>
          </rPr>
          <t>Xilinx:
Choose the current status of this line item.</t>
        </r>
      </text>
    </comment>
    <comment ref="D133" authorId="0" shapeId="0">
      <text>
        <r>
          <rPr>
            <b/>
            <sz val="9"/>
            <color indexed="81"/>
            <rFont val="Tahoma"/>
            <family val="2"/>
          </rPr>
          <t>Xilinx:
Choose the current status of this line item.</t>
        </r>
      </text>
    </comment>
    <comment ref="D134" authorId="0" shapeId="0">
      <text>
        <r>
          <rPr>
            <b/>
            <sz val="9"/>
            <color indexed="81"/>
            <rFont val="Tahoma"/>
            <family val="2"/>
          </rPr>
          <t>Xilinx:
Choose the current status of this line item.</t>
        </r>
      </text>
    </comment>
    <comment ref="D143" authorId="0" shapeId="0">
      <text>
        <r>
          <rPr>
            <b/>
            <sz val="9"/>
            <color indexed="81"/>
            <rFont val="Tahoma"/>
            <family val="2"/>
          </rPr>
          <t>Xilinx:
Choose the current status of this line item.</t>
        </r>
      </text>
    </comment>
    <comment ref="D144" authorId="0" shapeId="0">
      <text>
        <r>
          <rPr>
            <b/>
            <sz val="9"/>
            <color indexed="81"/>
            <rFont val="Tahoma"/>
            <family val="2"/>
          </rPr>
          <t>Xilinx:
Choose the current status of this line item.</t>
        </r>
      </text>
    </comment>
    <comment ref="D145" authorId="0" shapeId="0">
      <text>
        <r>
          <rPr>
            <b/>
            <sz val="9"/>
            <color indexed="81"/>
            <rFont val="Tahoma"/>
            <family val="2"/>
          </rPr>
          <t>Xilinx:
Choose the current status of this line item.</t>
        </r>
      </text>
    </comment>
    <comment ref="D146" authorId="0" shapeId="0">
      <text>
        <r>
          <rPr>
            <b/>
            <sz val="9"/>
            <color indexed="81"/>
            <rFont val="Tahoma"/>
            <family val="2"/>
          </rPr>
          <t>Xilinx:
Choose the current status of this line item.</t>
        </r>
      </text>
    </comment>
    <comment ref="D147" authorId="0" shapeId="0">
      <text>
        <r>
          <rPr>
            <b/>
            <sz val="9"/>
            <color indexed="81"/>
            <rFont val="Tahoma"/>
            <family val="2"/>
          </rPr>
          <t>Xilinx:
Choose the current status of this line item.</t>
        </r>
      </text>
    </comment>
    <comment ref="D148" authorId="0" shapeId="0">
      <text>
        <r>
          <rPr>
            <b/>
            <sz val="9"/>
            <color indexed="81"/>
            <rFont val="Tahoma"/>
            <family val="2"/>
          </rPr>
          <t>Xilinx:
Choose the current status of this line item.</t>
        </r>
      </text>
    </comment>
    <comment ref="D149" authorId="0" shapeId="0">
      <text>
        <r>
          <rPr>
            <b/>
            <sz val="9"/>
            <color indexed="81"/>
            <rFont val="Tahoma"/>
            <family val="2"/>
          </rPr>
          <t>Xilinx:
Choose the current status of this line item.</t>
        </r>
      </text>
    </comment>
    <comment ref="D150" authorId="0" shapeId="0">
      <text>
        <r>
          <rPr>
            <b/>
            <sz val="9"/>
            <color indexed="81"/>
            <rFont val="Tahoma"/>
            <family val="2"/>
          </rPr>
          <t>Xilinx:
Choose the current status of this line item.</t>
        </r>
      </text>
    </comment>
    <comment ref="D151" authorId="0" shapeId="0">
      <text>
        <r>
          <rPr>
            <b/>
            <sz val="9"/>
            <color indexed="81"/>
            <rFont val="Tahoma"/>
            <family val="2"/>
          </rPr>
          <t>Xilinx:
Choose the current status of this line item.</t>
        </r>
      </text>
    </comment>
    <comment ref="D152" authorId="0" shapeId="0">
      <text>
        <r>
          <rPr>
            <b/>
            <sz val="9"/>
            <color indexed="81"/>
            <rFont val="Tahoma"/>
            <family val="2"/>
          </rPr>
          <t>Xilinx:
Choose the current status of this line item.</t>
        </r>
      </text>
    </comment>
    <comment ref="D153" authorId="0" shapeId="0">
      <text>
        <r>
          <rPr>
            <b/>
            <sz val="9"/>
            <color indexed="81"/>
            <rFont val="Tahoma"/>
            <family val="2"/>
          </rPr>
          <t>Xilinx:
Choose the current status of this line item.</t>
        </r>
      </text>
    </comment>
    <comment ref="D154" authorId="0" shapeId="0">
      <text>
        <r>
          <rPr>
            <b/>
            <sz val="9"/>
            <color indexed="81"/>
            <rFont val="Tahoma"/>
            <family val="2"/>
          </rPr>
          <t>Xilinx:
Choose the current status of this line item.</t>
        </r>
      </text>
    </comment>
    <comment ref="D155" authorId="0" shapeId="0">
      <text>
        <r>
          <rPr>
            <b/>
            <sz val="9"/>
            <color indexed="81"/>
            <rFont val="Tahoma"/>
            <family val="2"/>
          </rPr>
          <t>Xilinx:
Choose the current status of this line item.</t>
        </r>
      </text>
    </comment>
    <comment ref="D163" authorId="0" shapeId="0">
      <text>
        <r>
          <rPr>
            <b/>
            <sz val="9"/>
            <color indexed="81"/>
            <rFont val="Tahoma"/>
            <family val="2"/>
          </rPr>
          <t>Xilinx:
Choose the current status of this line item.</t>
        </r>
      </text>
    </comment>
    <comment ref="D164" authorId="0" shapeId="0">
      <text>
        <r>
          <rPr>
            <b/>
            <sz val="9"/>
            <color indexed="81"/>
            <rFont val="Tahoma"/>
            <family val="2"/>
          </rPr>
          <t>Xilinx:
Choose the current status of this line item.</t>
        </r>
      </text>
    </comment>
    <comment ref="D165" authorId="0" shapeId="0">
      <text>
        <r>
          <rPr>
            <b/>
            <sz val="9"/>
            <color indexed="81"/>
            <rFont val="Tahoma"/>
            <family val="2"/>
          </rPr>
          <t>Xilinx:
Choose the current status of this line item.</t>
        </r>
      </text>
    </comment>
    <comment ref="D166" authorId="0" shapeId="0">
      <text>
        <r>
          <rPr>
            <b/>
            <sz val="9"/>
            <color indexed="81"/>
            <rFont val="Tahoma"/>
            <family val="2"/>
          </rPr>
          <t>Xilinx:
Choose the current status of this line item.</t>
        </r>
      </text>
    </comment>
    <comment ref="D167" authorId="0" shapeId="0">
      <text>
        <r>
          <rPr>
            <b/>
            <sz val="9"/>
            <color indexed="81"/>
            <rFont val="Tahoma"/>
            <family val="2"/>
          </rPr>
          <t>Xilinx:
Choose the current status of this line item.</t>
        </r>
      </text>
    </comment>
    <comment ref="D168" authorId="0" shapeId="0">
      <text>
        <r>
          <rPr>
            <b/>
            <sz val="9"/>
            <color indexed="81"/>
            <rFont val="Tahoma"/>
            <family val="2"/>
          </rPr>
          <t>Xilinx:
Choose the current status of this line item.</t>
        </r>
      </text>
    </comment>
    <comment ref="D169" authorId="0" shapeId="0">
      <text>
        <r>
          <rPr>
            <b/>
            <sz val="9"/>
            <color indexed="81"/>
            <rFont val="Tahoma"/>
            <family val="2"/>
          </rPr>
          <t>Xilinx:
Choose the current status of this line item.</t>
        </r>
      </text>
    </comment>
    <comment ref="D170" authorId="0" shapeId="0">
      <text>
        <r>
          <rPr>
            <b/>
            <sz val="9"/>
            <color indexed="81"/>
            <rFont val="Tahoma"/>
            <family val="2"/>
          </rPr>
          <t>Xilinx:
Choose the current status of this line item.</t>
        </r>
      </text>
    </comment>
    <comment ref="D171" authorId="0" shapeId="0">
      <text>
        <r>
          <rPr>
            <b/>
            <sz val="9"/>
            <color indexed="81"/>
            <rFont val="Tahoma"/>
            <family val="2"/>
          </rPr>
          <t>Xilinx:
Choose the current status of this line item.</t>
        </r>
      </text>
    </comment>
    <comment ref="D172" authorId="0" shapeId="0">
      <text>
        <r>
          <rPr>
            <b/>
            <sz val="9"/>
            <color indexed="81"/>
            <rFont val="Tahoma"/>
            <family val="2"/>
          </rPr>
          <t>Xilinx:
Choose the current status of this line item.</t>
        </r>
      </text>
    </comment>
    <comment ref="D178" authorId="0" shapeId="0">
      <text>
        <r>
          <rPr>
            <b/>
            <sz val="9"/>
            <color indexed="81"/>
            <rFont val="Tahoma"/>
            <family val="2"/>
          </rPr>
          <t>Xilinx:
Choose the current status of this line item.</t>
        </r>
      </text>
    </comment>
    <comment ref="D179" authorId="0" shapeId="0">
      <text>
        <r>
          <rPr>
            <b/>
            <sz val="9"/>
            <color indexed="81"/>
            <rFont val="Tahoma"/>
            <family val="2"/>
          </rPr>
          <t>Xilinx:
Choose the current status of this line item.</t>
        </r>
      </text>
    </comment>
    <comment ref="D180" authorId="0" shapeId="0">
      <text>
        <r>
          <rPr>
            <b/>
            <sz val="9"/>
            <color indexed="81"/>
            <rFont val="Tahoma"/>
            <family val="2"/>
          </rPr>
          <t>Xilinx:
Choose the current status of this line item.</t>
        </r>
      </text>
    </comment>
    <comment ref="D181" authorId="0" shapeId="0">
      <text>
        <r>
          <rPr>
            <b/>
            <sz val="9"/>
            <color indexed="81"/>
            <rFont val="Tahoma"/>
            <family val="2"/>
          </rPr>
          <t>Xilinx:
Choose the current status of this line item.</t>
        </r>
      </text>
    </comment>
    <comment ref="D182" authorId="0" shapeId="0">
      <text>
        <r>
          <rPr>
            <b/>
            <sz val="9"/>
            <color indexed="81"/>
            <rFont val="Tahoma"/>
            <family val="2"/>
          </rPr>
          <t>Xilinx:
Choose the current status of this line item.</t>
        </r>
      </text>
    </comment>
    <comment ref="D183" authorId="0" shapeId="0">
      <text>
        <r>
          <rPr>
            <b/>
            <sz val="9"/>
            <color indexed="81"/>
            <rFont val="Tahoma"/>
            <family val="2"/>
          </rPr>
          <t>Xilinx:
Choose the current status of this line item.</t>
        </r>
      </text>
    </comment>
    <comment ref="D184" authorId="0" shapeId="0">
      <text>
        <r>
          <rPr>
            <b/>
            <sz val="9"/>
            <color indexed="81"/>
            <rFont val="Tahoma"/>
            <family val="2"/>
          </rPr>
          <t>Xilinx:
Choose the current status of this line item.</t>
        </r>
      </text>
    </comment>
    <comment ref="D233" authorId="0" shapeId="0">
      <text>
        <r>
          <rPr>
            <b/>
            <sz val="9"/>
            <color indexed="81"/>
            <rFont val="Tahoma"/>
            <family val="2"/>
          </rPr>
          <t>Xilinx:
Choose the current status of this line item.</t>
        </r>
      </text>
    </comment>
    <comment ref="D234" authorId="0" shapeId="0">
      <text>
        <r>
          <rPr>
            <b/>
            <sz val="9"/>
            <color indexed="81"/>
            <rFont val="Tahoma"/>
            <family val="2"/>
          </rPr>
          <t>Xilinx:
Choose the current status of this line item.</t>
        </r>
      </text>
    </comment>
    <comment ref="D235" authorId="0" shapeId="0">
      <text>
        <r>
          <rPr>
            <b/>
            <sz val="9"/>
            <color indexed="81"/>
            <rFont val="Tahoma"/>
            <family val="2"/>
          </rPr>
          <t>Xilinx:
Choose the current status of this line item.</t>
        </r>
      </text>
    </comment>
    <comment ref="D236" authorId="0" shapeId="0">
      <text>
        <r>
          <rPr>
            <b/>
            <sz val="9"/>
            <color indexed="81"/>
            <rFont val="Tahoma"/>
            <family val="2"/>
          </rPr>
          <t>Xilinx:
Choose the current status of this line item.</t>
        </r>
      </text>
    </comment>
    <comment ref="D237" authorId="0" shapeId="0">
      <text>
        <r>
          <rPr>
            <b/>
            <sz val="9"/>
            <color indexed="81"/>
            <rFont val="Tahoma"/>
            <family val="2"/>
          </rPr>
          <t>Xilinx:
Choose the current status of this line item.</t>
        </r>
      </text>
    </comment>
    <comment ref="D238" authorId="0" shapeId="0">
      <text>
        <r>
          <rPr>
            <b/>
            <sz val="9"/>
            <color indexed="81"/>
            <rFont val="Tahoma"/>
            <family val="2"/>
          </rPr>
          <t>Xilinx:
Choose the current status of this line item.</t>
        </r>
      </text>
    </comment>
    <comment ref="D239" authorId="0" shapeId="0">
      <text>
        <r>
          <rPr>
            <b/>
            <sz val="9"/>
            <color indexed="81"/>
            <rFont val="Tahoma"/>
            <family val="2"/>
          </rPr>
          <t>Xilinx:
Choose the current status of this line item.</t>
        </r>
      </text>
    </comment>
    <comment ref="D240" authorId="0" shapeId="0">
      <text>
        <r>
          <rPr>
            <b/>
            <sz val="9"/>
            <color indexed="81"/>
            <rFont val="Tahoma"/>
            <family val="2"/>
          </rPr>
          <t>Xilinx:
Choose the current status of this line item.</t>
        </r>
      </text>
    </comment>
    <comment ref="D241" authorId="0" shapeId="0">
      <text>
        <r>
          <rPr>
            <b/>
            <sz val="9"/>
            <color indexed="81"/>
            <rFont val="Tahoma"/>
            <family val="2"/>
          </rPr>
          <t>Xilinx:
Choose the current status of this line item.</t>
        </r>
      </text>
    </comment>
    <comment ref="D242" authorId="0" shapeId="0">
      <text>
        <r>
          <rPr>
            <b/>
            <sz val="9"/>
            <color indexed="81"/>
            <rFont val="Tahoma"/>
            <family val="2"/>
          </rPr>
          <t>Xilinx:
Choose the current status of this line item.</t>
        </r>
      </text>
    </comment>
    <comment ref="D243" authorId="0" shapeId="0">
      <text>
        <r>
          <rPr>
            <b/>
            <sz val="9"/>
            <color indexed="81"/>
            <rFont val="Tahoma"/>
            <family val="2"/>
          </rPr>
          <t>Xilinx:
Choose the current status of this line item.</t>
        </r>
      </text>
    </comment>
    <comment ref="D244" authorId="0" shapeId="0">
      <text>
        <r>
          <rPr>
            <b/>
            <sz val="9"/>
            <color indexed="81"/>
            <rFont val="Tahoma"/>
            <family val="2"/>
          </rPr>
          <t>Xilinx:
Choose the current status of this line item.</t>
        </r>
      </text>
    </comment>
    <comment ref="D245" authorId="0" shapeId="0">
      <text>
        <r>
          <rPr>
            <b/>
            <sz val="9"/>
            <color indexed="81"/>
            <rFont val="Tahoma"/>
            <family val="2"/>
          </rPr>
          <t>Xilinx:
Choose the current status of this line item.</t>
        </r>
      </text>
    </comment>
    <comment ref="D246" authorId="0" shapeId="0">
      <text>
        <r>
          <rPr>
            <b/>
            <sz val="9"/>
            <color indexed="81"/>
            <rFont val="Tahoma"/>
            <family val="2"/>
          </rPr>
          <t>Xilinx:
Choose the current status of this line item.</t>
        </r>
      </text>
    </comment>
    <comment ref="D247" authorId="0" shapeId="0">
      <text>
        <r>
          <rPr>
            <b/>
            <sz val="9"/>
            <color indexed="81"/>
            <rFont val="Tahoma"/>
            <family val="2"/>
          </rPr>
          <t>Xilinx:
Choose the current status of this line item.</t>
        </r>
      </text>
    </comment>
    <comment ref="D248" authorId="0" shapeId="0">
      <text>
        <r>
          <rPr>
            <b/>
            <sz val="9"/>
            <color indexed="81"/>
            <rFont val="Tahoma"/>
            <family val="2"/>
          </rPr>
          <t>Xilinx:
Choose the current status of this line item.</t>
        </r>
      </text>
    </comment>
    <comment ref="D249" authorId="0" shapeId="0">
      <text>
        <r>
          <rPr>
            <b/>
            <sz val="9"/>
            <color indexed="81"/>
            <rFont val="Tahoma"/>
            <family val="2"/>
          </rPr>
          <t>Xilinx:
Choose the current status of this line item.</t>
        </r>
      </text>
    </comment>
    <comment ref="D250" authorId="0" shapeId="0">
      <text>
        <r>
          <rPr>
            <b/>
            <sz val="9"/>
            <color indexed="81"/>
            <rFont val="Tahoma"/>
            <family val="2"/>
          </rPr>
          <t>Xilinx:
Choose the current status of this line item.</t>
        </r>
      </text>
    </comment>
    <comment ref="D251" authorId="0" shapeId="0">
      <text>
        <r>
          <rPr>
            <b/>
            <sz val="9"/>
            <color indexed="81"/>
            <rFont val="Tahoma"/>
            <family val="2"/>
          </rPr>
          <t>Xilinx:
Choose the current status of this line item.</t>
        </r>
      </text>
    </comment>
    <comment ref="D252" authorId="0" shapeId="0">
      <text>
        <r>
          <rPr>
            <b/>
            <sz val="9"/>
            <color indexed="81"/>
            <rFont val="Tahoma"/>
            <family val="2"/>
          </rPr>
          <t>Xilinx:
Choose the current status of this line item.</t>
        </r>
      </text>
    </comment>
    <comment ref="D253" authorId="0" shapeId="0">
      <text>
        <r>
          <rPr>
            <b/>
            <sz val="9"/>
            <color indexed="81"/>
            <rFont val="Tahoma"/>
            <family val="2"/>
          </rPr>
          <t>Xilinx:
Choose the current status of this line item.</t>
        </r>
      </text>
    </comment>
    <comment ref="D254" authorId="0" shapeId="0">
      <text>
        <r>
          <rPr>
            <b/>
            <sz val="9"/>
            <color indexed="81"/>
            <rFont val="Tahoma"/>
            <family val="2"/>
          </rPr>
          <t>Xilinx:
Choose the current status of this line item.</t>
        </r>
      </text>
    </comment>
    <comment ref="D255" authorId="0" shapeId="0">
      <text>
        <r>
          <rPr>
            <b/>
            <sz val="9"/>
            <color indexed="81"/>
            <rFont val="Tahoma"/>
            <family val="2"/>
          </rPr>
          <t>Xilinx:
Choose the current status of this line item.</t>
        </r>
      </text>
    </comment>
    <comment ref="D256" authorId="0" shapeId="0">
      <text>
        <r>
          <rPr>
            <b/>
            <sz val="9"/>
            <color indexed="81"/>
            <rFont val="Tahoma"/>
            <family val="2"/>
          </rPr>
          <t>Xilinx:
Choose the current status of this line item.</t>
        </r>
      </text>
    </comment>
    <comment ref="D257" authorId="0" shapeId="0">
      <text>
        <r>
          <rPr>
            <b/>
            <sz val="9"/>
            <color indexed="81"/>
            <rFont val="Tahoma"/>
            <family val="2"/>
          </rPr>
          <t>Xilinx:
Choose the current status of this line item.</t>
        </r>
      </text>
    </comment>
    <comment ref="D258" authorId="0" shapeId="0">
      <text>
        <r>
          <rPr>
            <b/>
            <sz val="9"/>
            <color indexed="81"/>
            <rFont val="Tahoma"/>
            <family val="2"/>
          </rPr>
          <t>Xilinx:
Choose the current status of this line item.</t>
        </r>
      </text>
    </comment>
    <comment ref="D259" authorId="0" shapeId="0">
      <text>
        <r>
          <rPr>
            <b/>
            <sz val="9"/>
            <color indexed="81"/>
            <rFont val="Tahoma"/>
            <family val="2"/>
          </rPr>
          <t>Xilinx:
Choose the current status of this line item.</t>
        </r>
      </text>
    </comment>
    <comment ref="D260" authorId="0" shapeId="0">
      <text>
        <r>
          <rPr>
            <b/>
            <sz val="9"/>
            <color indexed="81"/>
            <rFont val="Tahoma"/>
            <family val="2"/>
          </rPr>
          <t>Xilinx:
Choose the current status of this line item.</t>
        </r>
      </text>
    </comment>
    <comment ref="D261" authorId="0" shapeId="0">
      <text>
        <r>
          <rPr>
            <b/>
            <sz val="9"/>
            <color indexed="81"/>
            <rFont val="Tahoma"/>
            <family val="2"/>
          </rPr>
          <t>Xilinx:
Choose the current status of this line item.</t>
        </r>
      </text>
    </comment>
    <comment ref="D262" authorId="0" shapeId="0">
      <text>
        <r>
          <rPr>
            <b/>
            <sz val="9"/>
            <color indexed="81"/>
            <rFont val="Tahoma"/>
            <family val="2"/>
          </rPr>
          <t>Xilinx:
Choose the current status of this line item.</t>
        </r>
      </text>
    </comment>
    <comment ref="D263" authorId="0" shapeId="0">
      <text>
        <r>
          <rPr>
            <b/>
            <sz val="9"/>
            <color indexed="81"/>
            <rFont val="Tahoma"/>
            <family val="2"/>
          </rPr>
          <t>Xilinx:
Choose the current status of this line item.</t>
        </r>
      </text>
    </comment>
    <comment ref="D264" authorId="0" shapeId="0">
      <text>
        <r>
          <rPr>
            <b/>
            <sz val="9"/>
            <color indexed="81"/>
            <rFont val="Tahoma"/>
            <family val="2"/>
          </rPr>
          <t>Xilinx:
Choose the current status of this line item.</t>
        </r>
      </text>
    </comment>
    <comment ref="D265" authorId="0" shapeId="0">
      <text>
        <r>
          <rPr>
            <b/>
            <sz val="9"/>
            <color indexed="81"/>
            <rFont val="Tahoma"/>
            <family val="2"/>
          </rPr>
          <t>Xilinx:
Choose the current status of this line item.</t>
        </r>
      </text>
    </comment>
    <comment ref="D266" authorId="0" shapeId="0">
      <text>
        <r>
          <rPr>
            <b/>
            <sz val="9"/>
            <color indexed="81"/>
            <rFont val="Tahoma"/>
            <family val="2"/>
          </rPr>
          <t>Xilinx:
Choose the current status of this line item.</t>
        </r>
      </text>
    </comment>
    <comment ref="D267" authorId="0" shapeId="0">
      <text>
        <r>
          <rPr>
            <b/>
            <sz val="9"/>
            <color indexed="81"/>
            <rFont val="Tahoma"/>
            <family val="2"/>
          </rPr>
          <t>Xilinx:
Choose the current status of this line item.</t>
        </r>
      </text>
    </comment>
    <comment ref="D268" authorId="0" shapeId="0">
      <text>
        <r>
          <rPr>
            <b/>
            <sz val="9"/>
            <color indexed="81"/>
            <rFont val="Tahoma"/>
            <family val="2"/>
          </rPr>
          <t>Xilinx:
Choose the current status of this line item.</t>
        </r>
      </text>
    </comment>
    <comment ref="D269" authorId="0" shapeId="0">
      <text>
        <r>
          <rPr>
            <b/>
            <sz val="9"/>
            <color indexed="81"/>
            <rFont val="Tahoma"/>
            <family val="2"/>
          </rPr>
          <t>Xilinx:
Choose the current status of this line item.</t>
        </r>
      </text>
    </comment>
    <comment ref="D270" authorId="0" shapeId="0">
      <text>
        <r>
          <rPr>
            <b/>
            <sz val="9"/>
            <color indexed="81"/>
            <rFont val="Tahoma"/>
            <family val="2"/>
          </rPr>
          <t>Xilinx:
Choose the current status of this line item.</t>
        </r>
      </text>
    </comment>
    <comment ref="D271" authorId="0" shapeId="0">
      <text>
        <r>
          <rPr>
            <b/>
            <sz val="9"/>
            <color indexed="81"/>
            <rFont val="Tahoma"/>
            <family val="2"/>
          </rPr>
          <t>Xilinx:
Choose the current status of this line item.</t>
        </r>
      </text>
    </comment>
    <comment ref="D272" authorId="0" shapeId="0">
      <text>
        <r>
          <rPr>
            <b/>
            <sz val="9"/>
            <color indexed="81"/>
            <rFont val="Tahoma"/>
            <family val="2"/>
          </rPr>
          <t>Xilinx:
Choose the current status of this line item.</t>
        </r>
      </text>
    </comment>
    <comment ref="D273" authorId="0" shapeId="0">
      <text>
        <r>
          <rPr>
            <b/>
            <sz val="9"/>
            <color indexed="81"/>
            <rFont val="Tahoma"/>
            <family val="2"/>
          </rPr>
          <t>Xilinx:
Choose the current status of this line item.</t>
        </r>
      </text>
    </comment>
    <comment ref="D274" authorId="0" shapeId="0">
      <text>
        <r>
          <rPr>
            <b/>
            <sz val="9"/>
            <color indexed="81"/>
            <rFont val="Tahoma"/>
            <family val="2"/>
          </rPr>
          <t>Xilinx:
Choose the current status of this line item.</t>
        </r>
      </text>
    </comment>
    <comment ref="D275" authorId="0" shapeId="0">
      <text>
        <r>
          <rPr>
            <b/>
            <sz val="9"/>
            <color indexed="81"/>
            <rFont val="Tahoma"/>
            <family val="2"/>
          </rPr>
          <t>Xilinx:
Choose the current status of this line item.</t>
        </r>
      </text>
    </comment>
    <comment ref="D276" authorId="0" shapeId="0">
      <text>
        <r>
          <rPr>
            <b/>
            <sz val="9"/>
            <color indexed="81"/>
            <rFont val="Tahoma"/>
            <family val="2"/>
          </rPr>
          <t>Xilinx:
Choose the current status of this line item.</t>
        </r>
      </text>
    </comment>
    <comment ref="D277" authorId="0" shapeId="0">
      <text>
        <r>
          <rPr>
            <b/>
            <sz val="9"/>
            <color indexed="81"/>
            <rFont val="Tahoma"/>
            <family val="2"/>
          </rPr>
          <t>Xilinx:
Choose the current status of this line item.</t>
        </r>
      </text>
    </comment>
    <comment ref="D278" authorId="0" shapeId="0">
      <text>
        <r>
          <rPr>
            <b/>
            <sz val="9"/>
            <color indexed="81"/>
            <rFont val="Tahoma"/>
            <family val="2"/>
          </rPr>
          <t>Xilinx:
Choose the current status of this line item.</t>
        </r>
      </text>
    </comment>
    <comment ref="D279" authorId="0" shapeId="0">
      <text>
        <r>
          <rPr>
            <b/>
            <sz val="9"/>
            <color indexed="81"/>
            <rFont val="Tahoma"/>
            <family val="2"/>
          </rPr>
          <t>Xilinx:
Choose the current status of this line item.</t>
        </r>
      </text>
    </comment>
    <comment ref="D280" authorId="0" shapeId="0">
      <text>
        <r>
          <rPr>
            <b/>
            <sz val="9"/>
            <color indexed="81"/>
            <rFont val="Tahoma"/>
            <family val="2"/>
          </rPr>
          <t>Xilinx:
Choose the current status of this line item.</t>
        </r>
      </text>
    </comment>
    <comment ref="D281" authorId="0" shapeId="0">
      <text>
        <r>
          <rPr>
            <b/>
            <sz val="9"/>
            <color indexed="81"/>
            <rFont val="Tahoma"/>
            <family val="2"/>
          </rPr>
          <t>Xilinx:
Choose the current status of this line item.</t>
        </r>
      </text>
    </comment>
    <comment ref="D282" authorId="0" shapeId="0">
      <text>
        <r>
          <rPr>
            <b/>
            <sz val="9"/>
            <color indexed="81"/>
            <rFont val="Tahoma"/>
            <family val="2"/>
          </rPr>
          <t>Xilinx:
Choose the current status of this line item.</t>
        </r>
      </text>
    </comment>
    <comment ref="D283" authorId="0" shapeId="0">
      <text>
        <r>
          <rPr>
            <b/>
            <sz val="9"/>
            <color indexed="81"/>
            <rFont val="Tahoma"/>
            <family val="2"/>
          </rPr>
          <t>Xilinx:
Choose the current status of this line item.</t>
        </r>
      </text>
    </comment>
    <comment ref="D284" authorId="0" shapeId="0">
      <text>
        <r>
          <rPr>
            <b/>
            <sz val="9"/>
            <color indexed="81"/>
            <rFont val="Tahoma"/>
            <family val="2"/>
          </rPr>
          <t>Xilinx:
Choose the current status of this line item.</t>
        </r>
      </text>
    </comment>
    <comment ref="D285" authorId="0" shapeId="0">
      <text>
        <r>
          <rPr>
            <b/>
            <sz val="9"/>
            <color indexed="81"/>
            <rFont val="Tahoma"/>
            <family val="2"/>
          </rPr>
          <t>Xilinx:
Choose the current status of this line item.</t>
        </r>
      </text>
    </comment>
    <comment ref="D286" authorId="0" shapeId="0">
      <text>
        <r>
          <rPr>
            <b/>
            <sz val="9"/>
            <color indexed="81"/>
            <rFont val="Tahoma"/>
            <family val="2"/>
          </rPr>
          <t>Xilinx:
Choose the current status of this line item.</t>
        </r>
      </text>
    </comment>
  </commentList>
</comments>
</file>

<file path=xl/comments3.xml><?xml version="1.0" encoding="utf-8"?>
<comments xmlns="http://schemas.openxmlformats.org/spreadsheetml/2006/main">
  <authors>
    <author>Windows User</author>
    <author>amjade</author>
  </authors>
  <commentList>
    <comment ref="B4" authorId="0" shapeId="0">
      <text>
        <r>
          <rPr>
            <b/>
            <sz val="9"/>
            <color indexed="81"/>
            <rFont val="Tahoma"/>
            <family val="2"/>
          </rPr>
          <t>Xilinx:
Select Device Family</t>
        </r>
      </text>
    </comment>
    <comment ref="B5" authorId="0" shapeId="0">
      <text>
        <r>
          <rPr>
            <b/>
            <sz val="9"/>
            <color indexed="81"/>
            <rFont val="Tahoma"/>
            <family val="2"/>
          </rPr>
          <t>Xilinx:
Select Die</t>
        </r>
      </text>
    </comment>
    <comment ref="B6" authorId="0" shapeId="0">
      <text>
        <r>
          <rPr>
            <b/>
            <sz val="9"/>
            <color indexed="81"/>
            <rFont val="Tahoma"/>
            <family val="2"/>
          </rPr>
          <t>Xilinx:
Select Package</t>
        </r>
      </text>
    </comment>
    <comment ref="B7" authorId="0" shapeId="0">
      <text>
        <r>
          <rPr>
            <b/>
            <sz val="9"/>
            <color indexed="81"/>
            <rFont val="Tahoma"/>
            <family val="2"/>
          </rPr>
          <t>Xilinx:
Select configuration mode</t>
        </r>
      </text>
    </comment>
    <comment ref="B8" authorId="0" shapeId="0">
      <text>
        <r>
          <rPr>
            <b/>
            <sz val="9"/>
            <color indexed="81"/>
            <rFont val="Tahoma"/>
            <family val="2"/>
          </rPr>
          <t>Xilinx:
Set the frequency of the configuration bus for programming time calculations</t>
        </r>
      </text>
    </comment>
    <comment ref="B9" authorId="1" shapeId="0">
      <text>
        <r>
          <rPr>
            <b/>
            <sz val="9"/>
            <color indexed="81"/>
            <rFont val="Tahoma"/>
            <family val="2"/>
          </rPr>
          <t>Xilinx:
Specify the schematic reference designator for this device</t>
        </r>
      </text>
    </comment>
    <comment ref="D15" authorId="0" shapeId="0">
      <text>
        <r>
          <rPr>
            <b/>
            <sz val="9"/>
            <color indexed="81"/>
            <rFont val="Tahoma"/>
            <family val="2"/>
          </rPr>
          <t>Xilinx:
Choose the current status of this line item.</t>
        </r>
      </text>
    </comment>
    <comment ref="D16" authorId="0" shapeId="0">
      <text>
        <r>
          <rPr>
            <b/>
            <sz val="9"/>
            <color indexed="81"/>
            <rFont val="Tahoma"/>
            <family val="2"/>
          </rPr>
          <t>Xilinx:
Choose the current status of this line item.</t>
        </r>
      </text>
    </comment>
    <comment ref="D17" authorId="0" shapeId="0">
      <text>
        <r>
          <rPr>
            <b/>
            <sz val="9"/>
            <color indexed="81"/>
            <rFont val="Tahoma"/>
            <family val="2"/>
          </rPr>
          <t>Xilinx:
Choose the current status of this line item.</t>
        </r>
      </text>
    </comment>
    <comment ref="D18" authorId="0" shapeId="0">
      <text>
        <r>
          <rPr>
            <b/>
            <sz val="9"/>
            <color indexed="81"/>
            <rFont val="Tahoma"/>
            <family val="2"/>
          </rPr>
          <t>Xilinx:
Choose the current status of this line item.</t>
        </r>
      </text>
    </comment>
    <comment ref="C19" authorId="0" shapeId="0">
      <text>
        <r>
          <rPr>
            <b/>
            <sz val="9"/>
            <color indexed="81"/>
            <rFont val="Tahoma"/>
            <family val="2"/>
          </rPr>
          <t xml:space="preserve">Xilinx:
The value for VCCO is used to determine what CFGBVS must be set to in order to avoid damage. </t>
        </r>
      </text>
    </comment>
    <comment ref="D19" authorId="0" shapeId="0">
      <text>
        <r>
          <rPr>
            <b/>
            <sz val="9"/>
            <color indexed="81"/>
            <rFont val="Tahoma"/>
            <family val="2"/>
          </rPr>
          <t>Xilinx:
Choose the current status of this line item.</t>
        </r>
      </text>
    </comment>
    <comment ref="D20" authorId="0" shapeId="0">
      <text>
        <r>
          <rPr>
            <b/>
            <sz val="9"/>
            <color indexed="81"/>
            <rFont val="Tahoma"/>
            <family val="2"/>
          </rPr>
          <t>Xilinx:
Choose the current status of this line item.</t>
        </r>
      </text>
    </comment>
    <comment ref="D21" authorId="0" shapeId="0">
      <text>
        <r>
          <rPr>
            <b/>
            <sz val="9"/>
            <color indexed="81"/>
            <rFont val="Tahoma"/>
            <family val="2"/>
          </rPr>
          <t>Xilinx:
Choose the current status of this line item.</t>
        </r>
      </text>
    </comment>
    <comment ref="D22" authorId="0" shapeId="0">
      <text>
        <r>
          <rPr>
            <b/>
            <sz val="9"/>
            <color indexed="81"/>
            <rFont val="Tahoma"/>
            <family val="2"/>
          </rPr>
          <t>Xilinx:
Choose the current status of this line item.</t>
        </r>
      </text>
    </comment>
    <comment ref="D23" authorId="0" shapeId="0">
      <text>
        <r>
          <rPr>
            <b/>
            <sz val="9"/>
            <color indexed="81"/>
            <rFont val="Tahoma"/>
            <family val="2"/>
          </rPr>
          <t>Xilinx:
Choose the current status of this line item.</t>
        </r>
      </text>
    </comment>
    <comment ref="D24" authorId="0" shapeId="0">
      <text>
        <r>
          <rPr>
            <b/>
            <sz val="9"/>
            <color indexed="81"/>
            <rFont val="Tahoma"/>
            <family val="2"/>
          </rPr>
          <t>Xilinx:
Choose the current status of this line item.</t>
        </r>
      </text>
    </comment>
    <comment ref="D26" authorId="0" shapeId="0">
      <text>
        <r>
          <rPr>
            <b/>
            <sz val="9"/>
            <color indexed="81"/>
            <rFont val="Tahoma"/>
            <family val="2"/>
          </rPr>
          <t>Xilinx:
Choose the current status of this line item.</t>
        </r>
      </text>
    </comment>
    <comment ref="D27" authorId="0" shapeId="0">
      <text>
        <r>
          <rPr>
            <b/>
            <sz val="9"/>
            <color indexed="81"/>
            <rFont val="Tahoma"/>
            <family val="2"/>
          </rPr>
          <t>Xilinx:
Choose the current status of this line item.</t>
        </r>
      </text>
    </comment>
    <comment ref="D28" authorId="0" shapeId="0">
      <text>
        <r>
          <rPr>
            <b/>
            <sz val="9"/>
            <color indexed="81"/>
            <rFont val="Tahoma"/>
            <family val="2"/>
          </rPr>
          <t>Xilinx:
Choose the current status of this line item.</t>
        </r>
      </text>
    </comment>
    <comment ref="D29" authorId="0" shapeId="0">
      <text>
        <r>
          <rPr>
            <b/>
            <sz val="9"/>
            <color indexed="81"/>
            <rFont val="Tahoma"/>
            <family val="2"/>
          </rPr>
          <t>Xilinx:
Choose the current status of this line item.</t>
        </r>
      </text>
    </comment>
    <comment ref="D35" authorId="0" shapeId="0">
      <text>
        <r>
          <rPr>
            <b/>
            <sz val="9"/>
            <color indexed="81"/>
            <rFont val="Tahoma"/>
            <family val="2"/>
          </rPr>
          <t>Xilinx:
Choose the current status of this line item.</t>
        </r>
      </text>
    </comment>
    <comment ref="D36" authorId="0" shapeId="0">
      <text>
        <r>
          <rPr>
            <b/>
            <sz val="9"/>
            <color indexed="81"/>
            <rFont val="Tahoma"/>
            <family val="2"/>
          </rPr>
          <t>Xilinx:
Choose the current status of this line item.</t>
        </r>
      </text>
    </comment>
    <comment ref="D37" authorId="0" shapeId="0">
      <text>
        <r>
          <rPr>
            <b/>
            <sz val="9"/>
            <color indexed="81"/>
            <rFont val="Tahoma"/>
            <family val="2"/>
          </rPr>
          <t>Xilinx:
Choose the current status of this line item.</t>
        </r>
      </text>
    </comment>
    <comment ref="D38" authorId="0" shapeId="0">
      <text>
        <r>
          <rPr>
            <b/>
            <sz val="9"/>
            <color indexed="81"/>
            <rFont val="Tahoma"/>
            <family val="2"/>
          </rPr>
          <t>Xilinx:
Choose the current status of this line item.</t>
        </r>
      </text>
    </comment>
    <comment ref="D39" authorId="0" shapeId="0">
      <text>
        <r>
          <rPr>
            <b/>
            <sz val="9"/>
            <color indexed="81"/>
            <rFont val="Tahoma"/>
            <family val="2"/>
          </rPr>
          <t>Xilinx:
Choose the current status of this line item.</t>
        </r>
      </text>
    </comment>
    <comment ref="D40" authorId="0" shapeId="0">
      <text>
        <r>
          <rPr>
            <b/>
            <sz val="9"/>
            <color indexed="81"/>
            <rFont val="Tahoma"/>
            <family val="2"/>
          </rPr>
          <t>Xilinx:
Choose the current status of this line item.</t>
        </r>
      </text>
    </comment>
    <comment ref="D41" authorId="0" shapeId="0">
      <text>
        <r>
          <rPr>
            <b/>
            <sz val="9"/>
            <color indexed="81"/>
            <rFont val="Tahoma"/>
            <family val="2"/>
          </rPr>
          <t>Xilinx:
Choose the current status of this line item.</t>
        </r>
      </text>
    </comment>
    <comment ref="D42" authorId="0" shapeId="0">
      <text>
        <r>
          <rPr>
            <b/>
            <sz val="9"/>
            <color indexed="81"/>
            <rFont val="Tahoma"/>
            <family val="2"/>
          </rPr>
          <t>Xilinx:
Choose the current status of this line item.</t>
        </r>
      </text>
    </comment>
    <comment ref="D43" authorId="0" shapeId="0">
      <text>
        <r>
          <rPr>
            <b/>
            <sz val="9"/>
            <color indexed="81"/>
            <rFont val="Tahoma"/>
            <family val="2"/>
          </rPr>
          <t>Xilinx:
Choose the current status of this line item.</t>
        </r>
      </text>
    </comment>
    <comment ref="D44" authorId="0" shapeId="0">
      <text>
        <r>
          <rPr>
            <b/>
            <sz val="9"/>
            <color indexed="81"/>
            <rFont val="Tahoma"/>
            <family val="2"/>
          </rPr>
          <t>Xilinx:
Choose the current status of this line item.</t>
        </r>
      </text>
    </comment>
    <comment ref="D45" authorId="0" shapeId="0">
      <text>
        <r>
          <rPr>
            <b/>
            <sz val="9"/>
            <color indexed="81"/>
            <rFont val="Tahoma"/>
            <family val="2"/>
          </rPr>
          <t>Xilinx:
Choose the current status of this line item.</t>
        </r>
      </text>
    </comment>
    <comment ref="D46" authorId="0" shapeId="0">
      <text>
        <r>
          <rPr>
            <b/>
            <sz val="9"/>
            <color indexed="81"/>
            <rFont val="Tahoma"/>
            <family val="2"/>
          </rPr>
          <t>Xilinx:
Choose the current status of this line item.</t>
        </r>
      </text>
    </comment>
    <comment ref="D47" authorId="0" shapeId="0">
      <text>
        <r>
          <rPr>
            <b/>
            <sz val="9"/>
            <color indexed="81"/>
            <rFont val="Tahoma"/>
            <family val="2"/>
          </rPr>
          <t>Xilinx:
Choose the current status of this line item.</t>
        </r>
      </text>
    </comment>
    <comment ref="D48" authorId="0" shapeId="0">
      <text>
        <r>
          <rPr>
            <b/>
            <sz val="9"/>
            <color indexed="81"/>
            <rFont val="Tahoma"/>
            <family val="2"/>
          </rPr>
          <t>Xilinx:
Choose the current status of this line item.</t>
        </r>
      </text>
    </comment>
    <comment ref="D49" authorId="0" shapeId="0">
      <text>
        <r>
          <rPr>
            <b/>
            <sz val="9"/>
            <color indexed="81"/>
            <rFont val="Tahoma"/>
            <family val="2"/>
          </rPr>
          <t>Xilinx:
Choose the current status of this line item.</t>
        </r>
      </text>
    </comment>
    <comment ref="D50" authorId="0" shapeId="0">
      <text>
        <r>
          <rPr>
            <b/>
            <sz val="9"/>
            <color indexed="81"/>
            <rFont val="Tahoma"/>
            <family val="2"/>
          </rPr>
          <t>Xilinx:
Choose the current status of this line item.</t>
        </r>
      </text>
    </comment>
    <comment ref="D51" authorId="0" shapeId="0">
      <text>
        <r>
          <rPr>
            <b/>
            <sz val="9"/>
            <color indexed="81"/>
            <rFont val="Tahoma"/>
            <family val="2"/>
          </rPr>
          <t>Xilinx:
Choose the current status of this line item.</t>
        </r>
      </text>
    </comment>
    <comment ref="D52" authorId="0" shapeId="0">
      <text>
        <r>
          <rPr>
            <b/>
            <sz val="9"/>
            <color indexed="81"/>
            <rFont val="Tahoma"/>
            <family val="2"/>
          </rPr>
          <t>Xilinx:
Choose the current status of this line item.</t>
        </r>
      </text>
    </comment>
    <comment ref="D53" authorId="0" shapeId="0">
      <text>
        <r>
          <rPr>
            <b/>
            <sz val="9"/>
            <color indexed="81"/>
            <rFont val="Tahoma"/>
            <family val="2"/>
          </rPr>
          <t>Xilinx:
Choose the current status of this line item.</t>
        </r>
      </text>
    </comment>
    <comment ref="D54" authorId="0" shapeId="0">
      <text>
        <r>
          <rPr>
            <b/>
            <sz val="9"/>
            <color indexed="81"/>
            <rFont val="Tahoma"/>
            <family val="2"/>
          </rPr>
          <t>Xilinx:
Choose the current status of this line item.</t>
        </r>
      </text>
    </comment>
    <comment ref="D55" authorId="0" shapeId="0">
      <text>
        <r>
          <rPr>
            <b/>
            <sz val="9"/>
            <color indexed="81"/>
            <rFont val="Tahoma"/>
            <family val="2"/>
          </rPr>
          <t>Xilinx:
Choose the current status of this line item.</t>
        </r>
      </text>
    </comment>
    <comment ref="D56" authorId="0" shapeId="0">
      <text>
        <r>
          <rPr>
            <b/>
            <sz val="9"/>
            <color indexed="81"/>
            <rFont val="Tahoma"/>
            <family val="2"/>
          </rPr>
          <t>Xilinx:
Choose the current status of this line item.</t>
        </r>
      </text>
    </comment>
    <comment ref="D57" authorId="0" shapeId="0">
      <text>
        <r>
          <rPr>
            <b/>
            <sz val="9"/>
            <color indexed="81"/>
            <rFont val="Tahoma"/>
            <family val="2"/>
          </rPr>
          <t>Xilinx:
Choose the current status of this line item.</t>
        </r>
      </text>
    </comment>
    <comment ref="D58" authorId="0" shapeId="0">
      <text>
        <r>
          <rPr>
            <b/>
            <sz val="9"/>
            <color indexed="81"/>
            <rFont val="Tahoma"/>
            <family val="2"/>
          </rPr>
          <t>Xilinx:
Choose the current status of this line item.</t>
        </r>
      </text>
    </comment>
    <comment ref="D59" authorId="0" shapeId="0">
      <text>
        <r>
          <rPr>
            <b/>
            <sz val="9"/>
            <color indexed="81"/>
            <rFont val="Tahoma"/>
            <family val="2"/>
          </rPr>
          <t>Xilinx:
Choose the current status of this line item.</t>
        </r>
      </text>
    </comment>
    <comment ref="D60" authorId="0" shapeId="0">
      <text>
        <r>
          <rPr>
            <b/>
            <sz val="9"/>
            <color indexed="81"/>
            <rFont val="Tahoma"/>
            <family val="2"/>
          </rPr>
          <t>Xilinx:
Choose the current status of this line item.</t>
        </r>
      </text>
    </comment>
    <comment ref="D61" authorId="0" shapeId="0">
      <text>
        <r>
          <rPr>
            <b/>
            <sz val="9"/>
            <color indexed="81"/>
            <rFont val="Tahoma"/>
            <family val="2"/>
          </rPr>
          <t>Xilinx:
Choose the current status of this line item.</t>
        </r>
      </text>
    </comment>
    <comment ref="D62" authorId="0" shapeId="0">
      <text>
        <r>
          <rPr>
            <b/>
            <sz val="9"/>
            <color indexed="81"/>
            <rFont val="Tahoma"/>
            <family val="2"/>
          </rPr>
          <t>Xilinx:
Choose the current status of this line item.</t>
        </r>
      </text>
    </comment>
    <comment ref="D63" authorId="0" shapeId="0">
      <text>
        <r>
          <rPr>
            <b/>
            <sz val="9"/>
            <color indexed="81"/>
            <rFont val="Tahoma"/>
            <family val="2"/>
          </rPr>
          <t>Xilinx:
Choose the current status of this line item.</t>
        </r>
      </text>
    </comment>
    <comment ref="D64" authorId="0" shapeId="0">
      <text>
        <r>
          <rPr>
            <b/>
            <sz val="9"/>
            <color indexed="81"/>
            <rFont val="Tahoma"/>
            <family val="2"/>
          </rPr>
          <t>Xilinx:
Choose the current status of this line item.</t>
        </r>
      </text>
    </comment>
    <comment ref="D65" authorId="0" shapeId="0">
      <text>
        <r>
          <rPr>
            <b/>
            <sz val="9"/>
            <color indexed="81"/>
            <rFont val="Tahoma"/>
            <family val="2"/>
          </rPr>
          <t>Xilinx:
Choose the current status of this line item.</t>
        </r>
      </text>
    </comment>
    <comment ref="D66" authorId="0" shapeId="0">
      <text>
        <r>
          <rPr>
            <b/>
            <sz val="9"/>
            <color indexed="81"/>
            <rFont val="Tahoma"/>
            <family val="2"/>
          </rPr>
          <t>Xilinx:
Choose the current status of this line item.</t>
        </r>
      </text>
    </comment>
    <comment ref="D74" authorId="0" shapeId="0">
      <text>
        <r>
          <rPr>
            <b/>
            <sz val="9"/>
            <color indexed="81"/>
            <rFont val="Tahoma"/>
            <family val="2"/>
          </rPr>
          <t>Xilinx:
Choose the current status of this line item.</t>
        </r>
      </text>
    </comment>
    <comment ref="D75" authorId="0" shapeId="0">
      <text>
        <r>
          <rPr>
            <b/>
            <sz val="9"/>
            <color indexed="81"/>
            <rFont val="Tahoma"/>
            <family val="2"/>
          </rPr>
          <t>Xilinx:
Choose the current status of this line item.</t>
        </r>
      </text>
    </comment>
    <comment ref="D76" authorId="0" shapeId="0">
      <text>
        <r>
          <rPr>
            <b/>
            <sz val="9"/>
            <color indexed="81"/>
            <rFont val="Tahoma"/>
            <family val="2"/>
          </rPr>
          <t>Xilinx:
Choose the current status of this line item.</t>
        </r>
      </text>
    </comment>
    <comment ref="D77" authorId="0" shapeId="0">
      <text>
        <r>
          <rPr>
            <b/>
            <sz val="9"/>
            <color indexed="81"/>
            <rFont val="Tahoma"/>
            <family val="2"/>
          </rPr>
          <t>Xilinx:
Choose the current status of this line item.</t>
        </r>
      </text>
    </comment>
    <comment ref="D78" authorId="0" shapeId="0">
      <text>
        <r>
          <rPr>
            <b/>
            <sz val="9"/>
            <color indexed="81"/>
            <rFont val="Tahoma"/>
            <family val="2"/>
          </rPr>
          <t>Xilinx:
Choose the current status of this line item.</t>
        </r>
      </text>
    </comment>
    <comment ref="D79" authorId="0" shapeId="0">
      <text>
        <r>
          <rPr>
            <b/>
            <sz val="9"/>
            <color indexed="81"/>
            <rFont val="Tahoma"/>
            <family val="2"/>
          </rPr>
          <t>Xilinx:
Choose the current status of this line item.</t>
        </r>
      </text>
    </comment>
    <comment ref="D80" authorId="0" shapeId="0">
      <text>
        <r>
          <rPr>
            <b/>
            <sz val="9"/>
            <color indexed="81"/>
            <rFont val="Tahoma"/>
            <family val="2"/>
          </rPr>
          <t>Xilinx:
Choose the current status of this line item.</t>
        </r>
      </text>
    </comment>
    <comment ref="D81" authorId="0" shapeId="0">
      <text>
        <r>
          <rPr>
            <b/>
            <sz val="9"/>
            <color indexed="81"/>
            <rFont val="Tahoma"/>
            <family val="2"/>
          </rPr>
          <t>Xilinx:
Choose the current status of this line item.</t>
        </r>
      </text>
    </comment>
    <comment ref="D88" authorId="0" shapeId="0">
      <text>
        <r>
          <rPr>
            <b/>
            <sz val="9"/>
            <color indexed="81"/>
            <rFont val="Tahoma"/>
            <family val="2"/>
          </rPr>
          <t>Xilinx:
Choose the current status of this line item.</t>
        </r>
      </text>
    </comment>
    <comment ref="D89" authorId="0" shapeId="0">
      <text>
        <r>
          <rPr>
            <b/>
            <sz val="9"/>
            <color indexed="81"/>
            <rFont val="Tahoma"/>
            <family val="2"/>
          </rPr>
          <t>Xilinx:
Choose the current status of this line item.</t>
        </r>
      </text>
    </comment>
    <comment ref="D90" authorId="0" shapeId="0">
      <text>
        <r>
          <rPr>
            <b/>
            <sz val="9"/>
            <color indexed="81"/>
            <rFont val="Tahoma"/>
            <family val="2"/>
          </rPr>
          <t>Xilinx:
Choose the current status of this line item.</t>
        </r>
      </text>
    </comment>
    <comment ref="D91" authorId="0" shapeId="0">
      <text>
        <r>
          <rPr>
            <b/>
            <sz val="9"/>
            <color indexed="81"/>
            <rFont val="Tahoma"/>
            <family val="2"/>
          </rPr>
          <t>Xilinx:
Choose the current status of this line item.</t>
        </r>
      </text>
    </comment>
    <comment ref="D92" authorId="0" shapeId="0">
      <text>
        <r>
          <rPr>
            <b/>
            <sz val="9"/>
            <color indexed="81"/>
            <rFont val="Tahoma"/>
            <family val="2"/>
          </rPr>
          <t>Xilinx:
Choose the current status of this line item.</t>
        </r>
      </text>
    </comment>
    <comment ref="D93" authorId="0" shapeId="0">
      <text>
        <r>
          <rPr>
            <b/>
            <sz val="9"/>
            <color indexed="81"/>
            <rFont val="Tahoma"/>
            <family val="2"/>
          </rPr>
          <t>Xilinx:
Choose the current status of this line item.</t>
        </r>
      </text>
    </comment>
    <comment ref="D94" authorId="0" shapeId="0">
      <text>
        <r>
          <rPr>
            <b/>
            <sz val="9"/>
            <color indexed="81"/>
            <rFont val="Tahoma"/>
            <family val="2"/>
          </rPr>
          <t>Xilinx:
Choose the current status of this line item.</t>
        </r>
      </text>
    </comment>
    <comment ref="D95" authorId="0" shapeId="0">
      <text>
        <r>
          <rPr>
            <b/>
            <sz val="9"/>
            <color indexed="81"/>
            <rFont val="Tahoma"/>
            <family val="2"/>
          </rPr>
          <t>Xilinx:
Choose the current status of this line item.</t>
        </r>
      </text>
    </comment>
    <comment ref="D102" authorId="0" shapeId="0">
      <text>
        <r>
          <rPr>
            <b/>
            <sz val="9"/>
            <color indexed="81"/>
            <rFont val="Tahoma"/>
            <family val="2"/>
          </rPr>
          <t>Xilinx:
Choose the current status of this line item.</t>
        </r>
      </text>
    </comment>
    <comment ref="D103" authorId="0" shapeId="0">
      <text>
        <r>
          <rPr>
            <b/>
            <sz val="9"/>
            <color indexed="81"/>
            <rFont val="Tahoma"/>
            <family val="2"/>
          </rPr>
          <t>Xilinx:
Choose the current status of this line item.</t>
        </r>
      </text>
    </comment>
    <comment ref="D104" authorId="0" shapeId="0">
      <text>
        <r>
          <rPr>
            <b/>
            <sz val="9"/>
            <color indexed="81"/>
            <rFont val="Tahoma"/>
            <family val="2"/>
          </rPr>
          <t>Xilinx:
Choose the current status of this line item.</t>
        </r>
      </text>
    </comment>
    <comment ref="D105" authorId="0" shapeId="0">
      <text>
        <r>
          <rPr>
            <b/>
            <sz val="9"/>
            <color indexed="81"/>
            <rFont val="Tahoma"/>
            <family val="2"/>
          </rPr>
          <t>Xilinx:
Choose the current status of this line item.</t>
        </r>
      </text>
    </comment>
    <comment ref="D106" authorId="0" shapeId="0">
      <text>
        <r>
          <rPr>
            <b/>
            <sz val="9"/>
            <color indexed="81"/>
            <rFont val="Tahoma"/>
            <family val="2"/>
          </rPr>
          <t>Xilinx:
Choose the current status of this line item.</t>
        </r>
      </text>
    </comment>
    <comment ref="D107" authorId="0" shapeId="0">
      <text>
        <r>
          <rPr>
            <b/>
            <sz val="9"/>
            <color indexed="81"/>
            <rFont val="Tahoma"/>
            <family val="2"/>
          </rPr>
          <t>Xilinx:
Choose the current status of this line item.</t>
        </r>
      </text>
    </comment>
    <comment ref="D108" authorId="0" shapeId="0">
      <text>
        <r>
          <rPr>
            <b/>
            <sz val="9"/>
            <color indexed="81"/>
            <rFont val="Tahoma"/>
            <family val="2"/>
          </rPr>
          <t>Xilinx:
Choose the current status of this line item.</t>
        </r>
      </text>
    </comment>
    <comment ref="D109" authorId="0" shapeId="0">
      <text>
        <r>
          <rPr>
            <b/>
            <sz val="9"/>
            <color indexed="81"/>
            <rFont val="Tahoma"/>
            <family val="2"/>
          </rPr>
          <t>Xilinx:
Choose the current status of this line item.</t>
        </r>
      </text>
    </comment>
    <comment ref="D110" authorId="0" shapeId="0">
      <text>
        <r>
          <rPr>
            <b/>
            <sz val="9"/>
            <color indexed="81"/>
            <rFont val="Tahoma"/>
            <family val="2"/>
          </rPr>
          <t>Xilinx:
Choose the current status of this line item.</t>
        </r>
      </text>
    </comment>
    <comment ref="D111" authorId="0" shapeId="0">
      <text>
        <r>
          <rPr>
            <b/>
            <sz val="9"/>
            <color indexed="81"/>
            <rFont val="Tahoma"/>
            <family val="2"/>
          </rPr>
          <t>Xilinx:
Choose the current status of this line item.</t>
        </r>
      </text>
    </comment>
    <comment ref="D112" authorId="0" shapeId="0">
      <text>
        <r>
          <rPr>
            <b/>
            <sz val="9"/>
            <color indexed="81"/>
            <rFont val="Tahoma"/>
            <family val="2"/>
          </rPr>
          <t>Xilinx:
Choose the current status of this line item.</t>
        </r>
      </text>
    </comment>
    <comment ref="D113" authorId="0" shapeId="0">
      <text>
        <r>
          <rPr>
            <b/>
            <sz val="9"/>
            <color indexed="81"/>
            <rFont val="Tahoma"/>
            <family val="2"/>
          </rPr>
          <t>Xilinx:
Choose the current status of this line item.</t>
        </r>
      </text>
    </comment>
    <comment ref="D114" authorId="0" shapeId="0">
      <text>
        <r>
          <rPr>
            <b/>
            <sz val="9"/>
            <color indexed="81"/>
            <rFont val="Tahoma"/>
            <family val="2"/>
          </rPr>
          <t>Xilinx:
Choose the current status of this line item.</t>
        </r>
      </text>
    </comment>
    <comment ref="D115" authorId="0" shapeId="0">
      <text>
        <r>
          <rPr>
            <b/>
            <sz val="9"/>
            <color indexed="81"/>
            <rFont val="Tahoma"/>
            <family val="2"/>
          </rPr>
          <t>Xilinx:
Choose the current status of this line item.</t>
        </r>
      </text>
    </comment>
    <comment ref="D116" authorId="0" shapeId="0">
      <text>
        <r>
          <rPr>
            <b/>
            <sz val="9"/>
            <color indexed="81"/>
            <rFont val="Tahoma"/>
            <family val="2"/>
          </rPr>
          <t>Xilinx:
Choose the current status of this line item.</t>
        </r>
      </text>
    </comment>
    <comment ref="D117" authorId="0" shapeId="0">
      <text>
        <r>
          <rPr>
            <b/>
            <sz val="9"/>
            <color indexed="81"/>
            <rFont val="Tahoma"/>
            <family val="2"/>
          </rPr>
          <t>Xilinx:
Choose the current status of this line item.</t>
        </r>
      </text>
    </comment>
    <comment ref="D124" authorId="0" shapeId="0">
      <text>
        <r>
          <rPr>
            <b/>
            <sz val="9"/>
            <color indexed="81"/>
            <rFont val="Tahoma"/>
            <family val="2"/>
          </rPr>
          <t>Xilinx:
Choose the current status of this line item.</t>
        </r>
      </text>
    </comment>
    <comment ref="D125" authorId="0" shapeId="0">
      <text>
        <r>
          <rPr>
            <b/>
            <sz val="9"/>
            <color indexed="81"/>
            <rFont val="Tahoma"/>
            <family val="2"/>
          </rPr>
          <t>Xilinx:
Choose the current status of this line item.</t>
        </r>
      </text>
    </comment>
    <comment ref="D126" authorId="0" shapeId="0">
      <text>
        <r>
          <rPr>
            <b/>
            <sz val="9"/>
            <color indexed="81"/>
            <rFont val="Tahoma"/>
            <family val="2"/>
          </rPr>
          <t>Xilinx:
Choose the current status of this line item.</t>
        </r>
      </text>
    </comment>
    <comment ref="D127" authorId="0" shapeId="0">
      <text>
        <r>
          <rPr>
            <b/>
            <sz val="9"/>
            <color indexed="81"/>
            <rFont val="Tahoma"/>
            <family val="2"/>
          </rPr>
          <t>Xilinx:
Choose the current status of this line item.</t>
        </r>
      </text>
    </comment>
    <comment ref="D128" authorId="0" shapeId="0">
      <text>
        <r>
          <rPr>
            <b/>
            <sz val="9"/>
            <color indexed="81"/>
            <rFont val="Tahoma"/>
            <family val="2"/>
          </rPr>
          <t>Xilinx:
Choose the current status of this line item.</t>
        </r>
      </text>
    </comment>
    <comment ref="D129" authorId="0" shapeId="0">
      <text>
        <r>
          <rPr>
            <b/>
            <sz val="9"/>
            <color indexed="81"/>
            <rFont val="Tahoma"/>
            <family val="2"/>
          </rPr>
          <t>Xilinx:
Choose the current status of this line item.</t>
        </r>
      </text>
    </comment>
    <comment ref="D130" authorId="0" shapeId="0">
      <text>
        <r>
          <rPr>
            <b/>
            <sz val="9"/>
            <color indexed="81"/>
            <rFont val="Tahoma"/>
            <family val="2"/>
          </rPr>
          <t>Xilinx:
Choose the current status of this line item.</t>
        </r>
      </text>
    </comment>
    <comment ref="D131" authorId="0" shapeId="0">
      <text>
        <r>
          <rPr>
            <b/>
            <sz val="9"/>
            <color indexed="81"/>
            <rFont val="Tahoma"/>
            <family val="2"/>
          </rPr>
          <t>Xilinx:
Choose the current status of this line item.</t>
        </r>
      </text>
    </comment>
    <comment ref="D132" authorId="0" shapeId="0">
      <text>
        <r>
          <rPr>
            <b/>
            <sz val="9"/>
            <color indexed="81"/>
            <rFont val="Tahoma"/>
            <family val="2"/>
          </rPr>
          <t>Xilinx:
Choose the current status of this line item.</t>
        </r>
      </text>
    </comment>
    <comment ref="D133" authorId="0" shapeId="0">
      <text>
        <r>
          <rPr>
            <b/>
            <sz val="9"/>
            <color indexed="81"/>
            <rFont val="Tahoma"/>
            <family val="2"/>
          </rPr>
          <t>Xilinx:
Choose the current status of this line item.</t>
        </r>
      </text>
    </comment>
    <comment ref="D134" authorId="0" shapeId="0">
      <text>
        <r>
          <rPr>
            <b/>
            <sz val="9"/>
            <color indexed="81"/>
            <rFont val="Tahoma"/>
            <family val="2"/>
          </rPr>
          <t>Xilinx:
Choose the current status of this line item.</t>
        </r>
      </text>
    </comment>
    <comment ref="D143" authorId="0" shapeId="0">
      <text>
        <r>
          <rPr>
            <b/>
            <sz val="9"/>
            <color indexed="81"/>
            <rFont val="Tahoma"/>
            <family val="2"/>
          </rPr>
          <t>Xilinx:
Choose the current status of this line item.</t>
        </r>
      </text>
    </comment>
    <comment ref="D144" authorId="0" shapeId="0">
      <text>
        <r>
          <rPr>
            <b/>
            <sz val="9"/>
            <color indexed="81"/>
            <rFont val="Tahoma"/>
            <family val="2"/>
          </rPr>
          <t>Xilinx:
Choose the current status of this line item.</t>
        </r>
      </text>
    </comment>
    <comment ref="D145" authorId="0" shapeId="0">
      <text>
        <r>
          <rPr>
            <b/>
            <sz val="9"/>
            <color indexed="81"/>
            <rFont val="Tahoma"/>
            <family val="2"/>
          </rPr>
          <t>Xilinx:
Choose the current status of this line item.</t>
        </r>
      </text>
    </comment>
    <comment ref="D146" authorId="0" shapeId="0">
      <text>
        <r>
          <rPr>
            <b/>
            <sz val="9"/>
            <color indexed="81"/>
            <rFont val="Tahoma"/>
            <family val="2"/>
          </rPr>
          <t>Xilinx:
Choose the current status of this line item.</t>
        </r>
      </text>
    </comment>
    <comment ref="D147" authorId="0" shapeId="0">
      <text>
        <r>
          <rPr>
            <b/>
            <sz val="9"/>
            <color indexed="81"/>
            <rFont val="Tahoma"/>
            <family val="2"/>
          </rPr>
          <t>Xilinx:
Choose the current status of this line item.</t>
        </r>
      </text>
    </comment>
    <comment ref="D148" authorId="0" shapeId="0">
      <text>
        <r>
          <rPr>
            <b/>
            <sz val="9"/>
            <color indexed="81"/>
            <rFont val="Tahoma"/>
            <family val="2"/>
          </rPr>
          <t>Xilinx:
Choose the current status of this line item.</t>
        </r>
      </text>
    </comment>
    <comment ref="D149" authorId="0" shapeId="0">
      <text>
        <r>
          <rPr>
            <b/>
            <sz val="9"/>
            <color indexed="81"/>
            <rFont val="Tahoma"/>
            <family val="2"/>
          </rPr>
          <t>Xilinx:
Choose the current status of this line item.</t>
        </r>
      </text>
    </comment>
    <comment ref="D150" authorId="0" shapeId="0">
      <text>
        <r>
          <rPr>
            <b/>
            <sz val="9"/>
            <color indexed="81"/>
            <rFont val="Tahoma"/>
            <family val="2"/>
          </rPr>
          <t>Xilinx:
Choose the current status of this line item.</t>
        </r>
      </text>
    </comment>
    <comment ref="D151" authorId="0" shapeId="0">
      <text>
        <r>
          <rPr>
            <b/>
            <sz val="9"/>
            <color indexed="81"/>
            <rFont val="Tahoma"/>
            <family val="2"/>
          </rPr>
          <t>Xilinx:
Choose the current status of this line item.</t>
        </r>
      </text>
    </comment>
    <comment ref="D152" authorId="0" shapeId="0">
      <text>
        <r>
          <rPr>
            <b/>
            <sz val="9"/>
            <color indexed="81"/>
            <rFont val="Tahoma"/>
            <family val="2"/>
          </rPr>
          <t>Xilinx:
Choose the current status of this line item.</t>
        </r>
      </text>
    </comment>
    <comment ref="D153" authorId="0" shapeId="0">
      <text>
        <r>
          <rPr>
            <b/>
            <sz val="9"/>
            <color indexed="81"/>
            <rFont val="Tahoma"/>
            <family val="2"/>
          </rPr>
          <t>Xilinx:
Choose the current status of this line item.</t>
        </r>
      </text>
    </comment>
    <comment ref="D154" authorId="0" shapeId="0">
      <text>
        <r>
          <rPr>
            <b/>
            <sz val="9"/>
            <color indexed="81"/>
            <rFont val="Tahoma"/>
            <family val="2"/>
          </rPr>
          <t>Xilinx:
Choose the current status of this line item.</t>
        </r>
      </text>
    </comment>
    <comment ref="D155" authorId="0" shapeId="0">
      <text>
        <r>
          <rPr>
            <b/>
            <sz val="9"/>
            <color indexed="81"/>
            <rFont val="Tahoma"/>
            <family val="2"/>
          </rPr>
          <t>Xilinx:
Choose the current status of this line item.</t>
        </r>
      </text>
    </comment>
    <comment ref="D163" authorId="0" shapeId="0">
      <text>
        <r>
          <rPr>
            <b/>
            <sz val="9"/>
            <color indexed="81"/>
            <rFont val="Tahoma"/>
            <family val="2"/>
          </rPr>
          <t>Xilinx:
Choose the current status of this line item.</t>
        </r>
      </text>
    </comment>
    <comment ref="D164" authorId="0" shapeId="0">
      <text>
        <r>
          <rPr>
            <b/>
            <sz val="9"/>
            <color indexed="81"/>
            <rFont val="Tahoma"/>
            <family val="2"/>
          </rPr>
          <t>Xilinx:
Choose the current status of this line item.</t>
        </r>
      </text>
    </comment>
    <comment ref="D165" authorId="0" shapeId="0">
      <text>
        <r>
          <rPr>
            <b/>
            <sz val="9"/>
            <color indexed="81"/>
            <rFont val="Tahoma"/>
            <family val="2"/>
          </rPr>
          <t>Xilinx:
Choose the current status of this line item.</t>
        </r>
      </text>
    </comment>
    <comment ref="D166" authorId="0" shapeId="0">
      <text>
        <r>
          <rPr>
            <b/>
            <sz val="9"/>
            <color indexed="81"/>
            <rFont val="Tahoma"/>
            <family val="2"/>
          </rPr>
          <t>Xilinx:
Choose the current status of this line item.</t>
        </r>
      </text>
    </comment>
    <comment ref="D167" authorId="0" shapeId="0">
      <text>
        <r>
          <rPr>
            <b/>
            <sz val="9"/>
            <color indexed="81"/>
            <rFont val="Tahoma"/>
            <family val="2"/>
          </rPr>
          <t>Xilinx:
Choose the current status of this line item.</t>
        </r>
      </text>
    </comment>
    <comment ref="D168" authorId="0" shapeId="0">
      <text>
        <r>
          <rPr>
            <b/>
            <sz val="9"/>
            <color indexed="81"/>
            <rFont val="Tahoma"/>
            <family val="2"/>
          </rPr>
          <t>Xilinx:
Choose the current status of this line item.</t>
        </r>
      </text>
    </comment>
    <comment ref="D169" authorId="0" shapeId="0">
      <text>
        <r>
          <rPr>
            <b/>
            <sz val="9"/>
            <color indexed="81"/>
            <rFont val="Tahoma"/>
            <family val="2"/>
          </rPr>
          <t>Xilinx:
Choose the current status of this line item.</t>
        </r>
      </text>
    </comment>
    <comment ref="D170" authorId="0" shapeId="0">
      <text>
        <r>
          <rPr>
            <b/>
            <sz val="9"/>
            <color indexed="81"/>
            <rFont val="Tahoma"/>
            <family val="2"/>
          </rPr>
          <t>Xilinx:
Choose the current status of this line item.</t>
        </r>
      </text>
    </comment>
    <comment ref="D171" authorId="0" shapeId="0">
      <text>
        <r>
          <rPr>
            <b/>
            <sz val="9"/>
            <color indexed="81"/>
            <rFont val="Tahoma"/>
            <family val="2"/>
          </rPr>
          <t>Xilinx:
Choose the current status of this line item.</t>
        </r>
      </text>
    </comment>
    <comment ref="D172" authorId="0" shapeId="0">
      <text>
        <r>
          <rPr>
            <b/>
            <sz val="9"/>
            <color indexed="81"/>
            <rFont val="Tahoma"/>
            <family val="2"/>
          </rPr>
          <t>Xilinx:
Choose the current status of this line item.</t>
        </r>
      </text>
    </comment>
    <comment ref="D178" authorId="0" shapeId="0">
      <text>
        <r>
          <rPr>
            <b/>
            <sz val="9"/>
            <color indexed="81"/>
            <rFont val="Tahoma"/>
            <family val="2"/>
          </rPr>
          <t>Xilinx:
Choose the current status of this line item.</t>
        </r>
      </text>
    </comment>
    <comment ref="D179" authorId="0" shapeId="0">
      <text>
        <r>
          <rPr>
            <b/>
            <sz val="9"/>
            <color indexed="81"/>
            <rFont val="Tahoma"/>
            <family val="2"/>
          </rPr>
          <t>Xilinx:
Choose the current status of this line item.</t>
        </r>
      </text>
    </comment>
    <comment ref="D180" authorId="0" shapeId="0">
      <text>
        <r>
          <rPr>
            <b/>
            <sz val="9"/>
            <color indexed="81"/>
            <rFont val="Tahoma"/>
            <family val="2"/>
          </rPr>
          <t>Xilinx:
Choose the current status of this line item.</t>
        </r>
      </text>
    </comment>
    <comment ref="D181" authorId="0" shapeId="0">
      <text>
        <r>
          <rPr>
            <b/>
            <sz val="9"/>
            <color indexed="81"/>
            <rFont val="Tahoma"/>
            <family val="2"/>
          </rPr>
          <t>Xilinx:
Choose the current status of this line item.</t>
        </r>
      </text>
    </comment>
    <comment ref="D182" authorId="0" shapeId="0">
      <text>
        <r>
          <rPr>
            <b/>
            <sz val="9"/>
            <color indexed="81"/>
            <rFont val="Tahoma"/>
            <family val="2"/>
          </rPr>
          <t>Xilinx:
Choose the current status of this line item.</t>
        </r>
      </text>
    </comment>
    <comment ref="D183" authorId="0" shapeId="0">
      <text>
        <r>
          <rPr>
            <b/>
            <sz val="9"/>
            <color indexed="81"/>
            <rFont val="Tahoma"/>
            <family val="2"/>
          </rPr>
          <t>Xilinx:
Choose the current status of this line item.</t>
        </r>
      </text>
    </comment>
    <comment ref="D184" authorId="0" shapeId="0">
      <text>
        <r>
          <rPr>
            <b/>
            <sz val="9"/>
            <color indexed="81"/>
            <rFont val="Tahoma"/>
            <family val="2"/>
          </rPr>
          <t>Xilinx:
Choose the current status of this line item.</t>
        </r>
      </text>
    </comment>
    <comment ref="D233" authorId="0" shapeId="0">
      <text>
        <r>
          <rPr>
            <b/>
            <sz val="9"/>
            <color indexed="81"/>
            <rFont val="Tahoma"/>
            <family val="2"/>
          </rPr>
          <t>Xilinx:
Choose the current status of this line item.</t>
        </r>
      </text>
    </comment>
    <comment ref="D234" authorId="0" shapeId="0">
      <text>
        <r>
          <rPr>
            <b/>
            <sz val="9"/>
            <color indexed="81"/>
            <rFont val="Tahoma"/>
            <family val="2"/>
          </rPr>
          <t>Xilinx:
Choose the current status of this line item.</t>
        </r>
      </text>
    </comment>
    <comment ref="D235" authorId="0" shapeId="0">
      <text>
        <r>
          <rPr>
            <b/>
            <sz val="9"/>
            <color indexed="81"/>
            <rFont val="Tahoma"/>
            <family val="2"/>
          </rPr>
          <t>Xilinx:
Choose the current status of this line item.</t>
        </r>
      </text>
    </comment>
    <comment ref="D236" authorId="0" shapeId="0">
      <text>
        <r>
          <rPr>
            <b/>
            <sz val="9"/>
            <color indexed="81"/>
            <rFont val="Tahoma"/>
            <family val="2"/>
          </rPr>
          <t>Xilinx:
Choose the current status of this line item.</t>
        </r>
      </text>
    </comment>
    <comment ref="D237" authorId="0" shapeId="0">
      <text>
        <r>
          <rPr>
            <b/>
            <sz val="9"/>
            <color indexed="81"/>
            <rFont val="Tahoma"/>
            <family val="2"/>
          </rPr>
          <t>Xilinx:
Choose the current status of this line item.</t>
        </r>
      </text>
    </comment>
    <comment ref="D238" authorId="0" shapeId="0">
      <text>
        <r>
          <rPr>
            <b/>
            <sz val="9"/>
            <color indexed="81"/>
            <rFont val="Tahoma"/>
            <family val="2"/>
          </rPr>
          <t>Xilinx:
Choose the current status of this line item.</t>
        </r>
      </text>
    </comment>
    <comment ref="D239" authorId="0" shapeId="0">
      <text>
        <r>
          <rPr>
            <b/>
            <sz val="9"/>
            <color indexed="81"/>
            <rFont val="Tahoma"/>
            <family val="2"/>
          </rPr>
          <t>Xilinx:
Choose the current status of this line item.</t>
        </r>
      </text>
    </comment>
    <comment ref="D240" authorId="0" shapeId="0">
      <text>
        <r>
          <rPr>
            <b/>
            <sz val="9"/>
            <color indexed="81"/>
            <rFont val="Tahoma"/>
            <family val="2"/>
          </rPr>
          <t>Xilinx:
Choose the current status of this line item.</t>
        </r>
      </text>
    </comment>
    <comment ref="D241" authorId="0" shapeId="0">
      <text>
        <r>
          <rPr>
            <b/>
            <sz val="9"/>
            <color indexed="81"/>
            <rFont val="Tahoma"/>
            <family val="2"/>
          </rPr>
          <t>Xilinx:
Choose the current status of this line item.</t>
        </r>
      </text>
    </comment>
    <comment ref="D242" authorId="0" shapeId="0">
      <text>
        <r>
          <rPr>
            <b/>
            <sz val="9"/>
            <color indexed="81"/>
            <rFont val="Tahoma"/>
            <family val="2"/>
          </rPr>
          <t>Xilinx:
Choose the current status of this line item.</t>
        </r>
      </text>
    </comment>
    <comment ref="D243" authorId="0" shapeId="0">
      <text>
        <r>
          <rPr>
            <b/>
            <sz val="9"/>
            <color indexed="81"/>
            <rFont val="Tahoma"/>
            <family val="2"/>
          </rPr>
          <t>Xilinx:
Choose the current status of this line item.</t>
        </r>
      </text>
    </comment>
    <comment ref="D244" authorId="0" shapeId="0">
      <text>
        <r>
          <rPr>
            <b/>
            <sz val="9"/>
            <color indexed="81"/>
            <rFont val="Tahoma"/>
            <family val="2"/>
          </rPr>
          <t>Xilinx:
Choose the current status of this line item.</t>
        </r>
      </text>
    </comment>
    <comment ref="D245" authorId="0" shapeId="0">
      <text>
        <r>
          <rPr>
            <b/>
            <sz val="9"/>
            <color indexed="81"/>
            <rFont val="Tahoma"/>
            <family val="2"/>
          </rPr>
          <t>Xilinx:
Choose the current status of this line item.</t>
        </r>
      </text>
    </comment>
    <comment ref="D246" authorId="0" shapeId="0">
      <text>
        <r>
          <rPr>
            <b/>
            <sz val="9"/>
            <color indexed="81"/>
            <rFont val="Tahoma"/>
            <family val="2"/>
          </rPr>
          <t>Xilinx:
Choose the current status of this line item.</t>
        </r>
      </text>
    </comment>
    <comment ref="D247" authorId="0" shapeId="0">
      <text>
        <r>
          <rPr>
            <b/>
            <sz val="9"/>
            <color indexed="81"/>
            <rFont val="Tahoma"/>
            <family val="2"/>
          </rPr>
          <t>Xilinx:
Choose the current status of this line item.</t>
        </r>
      </text>
    </comment>
    <comment ref="D248" authorId="0" shapeId="0">
      <text>
        <r>
          <rPr>
            <b/>
            <sz val="9"/>
            <color indexed="81"/>
            <rFont val="Tahoma"/>
            <family val="2"/>
          </rPr>
          <t>Xilinx:
Choose the current status of this line item.</t>
        </r>
      </text>
    </comment>
    <comment ref="D249" authorId="0" shapeId="0">
      <text>
        <r>
          <rPr>
            <b/>
            <sz val="9"/>
            <color indexed="81"/>
            <rFont val="Tahoma"/>
            <family val="2"/>
          </rPr>
          <t>Xilinx:
Choose the current status of this line item.</t>
        </r>
      </text>
    </comment>
    <comment ref="D250" authorId="0" shapeId="0">
      <text>
        <r>
          <rPr>
            <b/>
            <sz val="9"/>
            <color indexed="81"/>
            <rFont val="Tahoma"/>
            <family val="2"/>
          </rPr>
          <t>Xilinx:
Choose the current status of this line item.</t>
        </r>
      </text>
    </comment>
    <comment ref="D251" authorId="0" shapeId="0">
      <text>
        <r>
          <rPr>
            <b/>
            <sz val="9"/>
            <color indexed="81"/>
            <rFont val="Tahoma"/>
            <family val="2"/>
          </rPr>
          <t>Xilinx:
Choose the current status of this line item.</t>
        </r>
      </text>
    </comment>
    <comment ref="D252" authorId="0" shapeId="0">
      <text>
        <r>
          <rPr>
            <b/>
            <sz val="9"/>
            <color indexed="81"/>
            <rFont val="Tahoma"/>
            <family val="2"/>
          </rPr>
          <t>Xilinx:
Choose the current status of this line item.</t>
        </r>
      </text>
    </comment>
    <comment ref="D253" authorId="0" shapeId="0">
      <text>
        <r>
          <rPr>
            <b/>
            <sz val="9"/>
            <color indexed="81"/>
            <rFont val="Tahoma"/>
            <family val="2"/>
          </rPr>
          <t>Xilinx:
Choose the current status of this line item.</t>
        </r>
      </text>
    </comment>
    <comment ref="D254" authorId="0" shapeId="0">
      <text>
        <r>
          <rPr>
            <b/>
            <sz val="9"/>
            <color indexed="81"/>
            <rFont val="Tahoma"/>
            <family val="2"/>
          </rPr>
          <t>Xilinx:
Choose the current status of this line item.</t>
        </r>
      </text>
    </comment>
    <comment ref="D255" authorId="0" shapeId="0">
      <text>
        <r>
          <rPr>
            <b/>
            <sz val="9"/>
            <color indexed="81"/>
            <rFont val="Tahoma"/>
            <family val="2"/>
          </rPr>
          <t>Xilinx:
Choose the current status of this line item.</t>
        </r>
      </text>
    </comment>
    <comment ref="D256" authorId="0" shapeId="0">
      <text>
        <r>
          <rPr>
            <b/>
            <sz val="9"/>
            <color indexed="81"/>
            <rFont val="Tahoma"/>
            <family val="2"/>
          </rPr>
          <t>Xilinx:
Choose the current status of this line item.</t>
        </r>
      </text>
    </comment>
    <comment ref="D257" authorId="0" shapeId="0">
      <text>
        <r>
          <rPr>
            <b/>
            <sz val="9"/>
            <color indexed="81"/>
            <rFont val="Tahoma"/>
            <family val="2"/>
          </rPr>
          <t>Xilinx:
Choose the current status of this line item.</t>
        </r>
      </text>
    </comment>
    <comment ref="D258" authorId="0" shapeId="0">
      <text>
        <r>
          <rPr>
            <b/>
            <sz val="9"/>
            <color indexed="81"/>
            <rFont val="Tahoma"/>
            <family val="2"/>
          </rPr>
          <t>Xilinx:
Choose the current status of this line item.</t>
        </r>
      </text>
    </comment>
    <comment ref="D259" authorId="0" shapeId="0">
      <text>
        <r>
          <rPr>
            <b/>
            <sz val="9"/>
            <color indexed="81"/>
            <rFont val="Tahoma"/>
            <family val="2"/>
          </rPr>
          <t>Xilinx:
Choose the current status of this line item.</t>
        </r>
      </text>
    </comment>
    <comment ref="D260" authorId="0" shapeId="0">
      <text>
        <r>
          <rPr>
            <b/>
            <sz val="9"/>
            <color indexed="81"/>
            <rFont val="Tahoma"/>
            <family val="2"/>
          </rPr>
          <t>Xilinx:
Choose the current status of this line item.</t>
        </r>
      </text>
    </comment>
    <comment ref="D261" authorId="0" shapeId="0">
      <text>
        <r>
          <rPr>
            <b/>
            <sz val="9"/>
            <color indexed="81"/>
            <rFont val="Tahoma"/>
            <family val="2"/>
          </rPr>
          <t>Xilinx:
Choose the current status of this line item.</t>
        </r>
      </text>
    </comment>
    <comment ref="D262" authorId="0" shapeId="0">
      <text>
        <r>
          <rPr>
            <b/>
            <sz val="9"/>
            <color indexed="81"/>
            <rFont val="Tahoma"/>
            <family val="2"/>
          </rPr>
          <t>Xilinx:
Choose the current status of this line item.</t>
        </r>
      </text>
    </comment>
    <comment ref="D263" authorId="0" shapeId="0">
      <text>
        <r>
          <rPr>
            <b/>
            <sz val="9"/>
            <color indexed="81"/>
            <rFont val="Tahoma"/>
            <family val="2"/>
          </rPr>
          <t>Xilinx:
Choose the current status of this line item.</t>
        </r>
      </text>
    </comment>
    <comment ref="D264" authorId="0" shapeId="0">
      <text>
        <r>
          <rPr>
            <b/>
            <sz val="9"/>
            <color indexed="81"/>
            <rFont val="Tahoma"/>
            <family val="2"/>
          </rPr>
          <t>Xilinx:
Choose the current status of this line item.</t>
        </r>
      </text>
    </comment>
    <comment ref="D265" authorId="0" shapeId="0">
      <text>
        <r>
          <rPr>
            <b/>
            <sz val="9"/>
            <color indexed="81"/>
            <rFont val="Tahoma"/>
            <family val="2"/>
          </rPr>
          <t>Xilinx:
Choose the current status of this line item.</t>
        </r>
      </text>
    </comment>
    <comment ref="D266" authorId="0" shapeId="0">
      <text>
        <r>
          <rPr>
            <b/>
            <sz val="9"/>
            <color indexed="81"/>
            <rFont val="Tahoma"/>
            <family val="2"/>
          </rPr>
          <t>Xilinx:
Choose the current status of this line item.</t>
        </r>
      </text>
    </comment>
    <comment ref="D267" authorId="0" shapeId="0">
      <text>
        <r>
          <rPr>
            <b/>
            <sz val="9"/>
            <color indexed="81"/>
            <rFont val="Tahoma"/>
            <family val="2"/>
          </rPr>
          <t>Xilinx:
Choose the current status of this line item.</t>
        </r>
      </text>
    </comment>
    <comment ref="D268" authorId="0" shapeId="0">
      <text>
        <r>
          <rPr>
            <b/>
            <sz val="9"/>
            <color indexed="81"/>
            <rFont val="Tahoma"/>
            <family val="2"/>
          </rPr>
          <t>Xilinx:
Choose the current status of this line item.</t>
        </r>
      </text>
    </comment>
    <comment ref="D269" authorId="0" shapeId="0">
      <text>
        <r>
          <rPr>
            <b/>
            <sz val="9"/>
            <color indexed="81"/>
            <rFont val="Tahoma"/>
            <family val="2"/>
          </rPr>
          <t>Xilinx:
Choose the current status of this line item.</t>
        </r>
      </text>
    </comment>
    <comment ref="D270" authorId="0" shapeId="0">
      <text>
        <r>
          <rPr>
            <b/>
            <sz val="9"/>
            <color indexed="81"/>
            <rFont val="Tahoma"/>
            <family val="2"/>
          </rPr>
          <t>Xilinx:
Choose the current status of this line item.</t>
        </r>
      </text>
    </comment>
    <comment ref="D271" authorId="0" shapeId="0">
      <text>
        <r>
          <rPr>
            <b/>
            <sz val="9"/>
            <color indexed="81"/>
            <rFont val="Tahoma"/>
            <family val="2"/>
          </rPr>
          <t>Xilinx:
Choose the current status of this line item.</t>
        </r>
      </text>
    </comment>
    <comment ref="D272" authorId="0" shapeId="0">
      <text>
        <r>
          <rPr>
            <b/>
            <sz val="9"/>
            <color indexed="81"/>
            <rFont val="Tahoma"/>
            <family val="2"/>
          </rPr>
          <t>Xilinx:
Choose the current status of this line item.</t>
        </r>
      </text>
    </comment>
    <comment ref="D273" authorId="0" shapeId="0">
      <text>
        <r>
          <rPr>
            <b/>
            <sz val="9"/>
            <color indexed="81"/>
            <rFont val="Tahoma"/>
            <family val="2"/>
          </rPr>
          <t>Xilinx:
Choose the current status of this line item.</t>
        </r>
      </text>
    </comment>
    <comment ref="D274" authorId="0" shapeId="0">
      <text>
        <r>
          <rPr>
            <b/>
            <sz val="9"/>
            <color indexed="81"/>
            <rFont val="Tahoma"/>
            <family val="2"/>
          </rPr>
          <t>Xilinx:
Choose the current status of this line item.</t>
        </r>
      </text>
    </comment>
    <comment ref="D275" authorId="0" shapeId="0">
      <text>
        <r>
          <rPr>
            <b/>
            <sz val="9"/>
            <color indexed="81"/>
            <rFont val="Tahoma"/>
            <family val="2"/>
          </rPr>
          <t>Xilinx:
Choose the current status of this line item.</t>
        </r>
      </text>
    </comment>
    <comment ref="D276" authorId="0" shapeId="0">
      <text>
        <r>
          <rPr>
            <b/>
            <sz val="9"/>
            <color indexed="81"/>
            <rFont val="Tahoma"/>
            <family val="2"/>
          </rPr>
          <t>Xilinx:
Choose the current status of this line item.</t>
        </r>
      </text>
    </comment>
    <comment ref="D277" authorId="0" shapeId="0">
      <text>
        <r>
          <rPr>
            <b/>
            <sz val="9"/>
            <color indexed="81"/>
            <rFont val="Tahoma"/>
            <family val="2"/>
          </rPr>
          <t>Xilinx:
Choose the current status of this line item.</t>
        </r>
      </text>
    </comment>
    <comment ref="D278" authorId="0" shapeId="0">
      <text>
        <r>
          <rPr>
            <b/>
            <sz val="9"/>
            <color indexed="81"/>
            <rFont val="Tahoma"/>
            <family val="2"/>
          </rPr>
          <t>Xilinx:
Choose the current status of this line item.</t>
        </r>
      </text>
    </comment>
    <comment ref="D279" authorId="0" shapeId="0">
      <text>
        <r>
          <rPr>
            <b/>
            <sz val="9"/>
            <color indexed="81"/>
            <rFont val="Tahoma"/>
            <family val="2"/>
          </rPr>
          <t>Xilinx:
Choose the current status of this line item.</t>
        </r>
      </text>
    </comment>
    <comment ref="D280" authorId="0" shapeId="0">
      <text>
        <r>
          <rPr>
            <b/>
            <sz val="9"/>
            <color indexed="81"/>
            <rFont val="Tahoma"/>
            <family val="2"/>
          </rPr>
          <t>Xilinx:
Choose the current status of this line item.</t>
        </r>
      </text>
    </comment>
    <comment ref="D281" authorId="0" shapeId="0">
      <text>
        <r>
          <rPr>
            <b/>
            <sz val="9"/>
            <color indexed="81"/>
            <rFont val="Tahoma"/>
            <family val="2"/>
          </rPr>
          <t>Xilinx:
Choose the current status of this line item.</t>
        </r>
      </text>
    </comment>
    <comment ref="D282" authorId="0" shapeId="0">
      <text>
        <r>
          <rPr>
            <b/>
            <sz val="9"/>
            <color indexed="81"/>
            <rFont val="Tahoma"/>
            <family val="2"/>
          </rPr>
          <t>Xilinx:
Choose the current status of this line item.</t>
        </r>
      </text>
    </comment>
    <comment ref="D283" authorId="0" shapeId="0">
      <text>
        <r>
          <rPr>
            <b/>
            <sz val="9"/>
            <color indexed="81"/>
            <rFont val="Tahoma"/>
            <family val="2"/>
          </rPr>
          <t>Xilinx:
Choose the current status of this line item.</t>
        </r>
      </text>
    </comment>
    <comment ref="D284" authorId="0" shapeId="0">
      <text>
        <r>
          <rPr>
            <b/>
            <sz val="9"/>
            <color indexed="81"/>
            <rFont val="Tahoma"/>
            <family val="2"/>
          </rPr>
          <t>Xilinx:
Choose the current status of this line item.</t>
        </r>
      </text>
    </comment>
    <comment ref="D285" authorId="0" shapeId="0">
      <text>
        <r>
          <rPr>
            <b/>
            <sz val="9"/>
            <color indexed="81"/>
            <rFont val="Tahoma"/>
            <family val="2"/>
          </rPr>
          <t>Xilinx:
Choose the current status of this line item.</t>
        </r>
      </text>
    </comment>
    <comment ref="D286" authorId="0" shapeId="0">
      <text>
        <r>
          <rPr>
            <b/>
            <sz val="9"/>
            <color indexed="81"/>
            <rFont val="Tahoma"/>
            <family val="2"/>
          </rPr>
          <t>Xilinx:
Choose the current status of this line item.</t>
        </r>
      </text>
    </comment>
  </commentList>
</comments>
</file>

<file path=xl/sharedStrings.xml><?xml version="1.0" encoding="utf-8"?>
<sst xmlns="http://schemas.openxmlformats.org/spreadsheetml/2006/main" count="26299" uniqueCount="1816">
  <si>
    <t>For an isolated device or for the last device in a JTAG chain, connect TDO to the JTAG cable header's TDO input signal. Otherwise, when the FPGA is not the last device in a JTAG chain, connect to the TDI pin of the downstream JTAG device in the JTAG scan chain.
For the Xilinx 14-pin JTAG ribbon cable header, TDO is pin 8.</t>
  </si>
  <si>
    <t xml:space="preserve">For configuration from an external controller, connect CSI_B to the control signal of an external configuration controller that selects the FPGA for configuration from the SelectMAP bus.
For a parallel configuration daisy-chain, connect CSI_B to the CSO_B pin of the upstream FPGA. </t>
  </si>
  <si>
    <t xml:space="preserve">For configuration from an external controller, connect RDWR_B to the control signal of an external configuration controller that selects the FPGA for read or write operation over the SelectMAP bus. For a parallel configuration daisy-chain, connect RDWR_B directly, or via a 1 kΩ (or stronger) resistor, to GND. </t>
  </si>
  <si>
    <t>VREF</t>
  </si>
  <si>
    <t>Bitstream length</t>
  </si>
  <si>
    <t>Bitstream Length</t>
  </si>
  <si>
    <t>JTAG Connector Pinout</t>
  </si>
  <si>
    <t xml:space="preserve">DCI cascading </t>
  </si>
  <si>
    <t>3.3V level translation</t>
  </si>
  <si>
    <t>I/O Standard Compatibility</t>
  </si>
  <si>
    <t>SSO Analysis</t>
  </si>
  <si>
    <t>HP I/O support 1.2V, 1.5V, and 1.8V I/O standards.</t>
  </si>
  <si>
    <t>Part Number</t>
  </si>
  <si>
    <t xml:space="preserve">Connect the FPGA FCS_B to the BPI flash chip-select input pin and connect to an external 4.7 kΩ (or stronger) pull-up resistor to VCCO_14. </t>
  </si>
  <si>
    <t>Connect FCS_B to the SPI flash chip-select input pin and connect FCS_B to an external 4.7 KΩ (or stronger) pull-up to VCCO_14.</t>
  </si>
  <si>
    <t>Address Valid (bar) 
Multi-purpose output pin referenced to VCCO_15.
During BPI configuration, ADV_B is driven to control the BPI flash address latch enable (for flash that have an address latch enable input).</t>
  </si>
  <si>
    <t>Connect D02 to the SPI flash DQ2/IO2 pin and connect D02 to a 4.7 kΩ (or stronger) pull-up resistor to VCCO_14.
The external pull-up ensures the SPI dual-purpose pin does NOT enter a write-protect state.</t>
  </si>
  <si>
    <t>Connect D03 to the SPI flash DQ3/IO3 pin and connect D03 to a 4.7 kΩ (or stronger) pull-up resistor to VCCO_14. The external pull-up ensures the SPI dual-purpose pin does NOT enter a HOLD state.</t>
  </si>
  <si>
    <t>Suggest using Xilinx 14-pin ribbon cable header:
GND = pins 1, 3, 5, 7, 9, 11, 13; Vref = pin 2; NC = 12, 14;
TMS = pin 4; TCK = pin 6; TDO = pin 8; TDI = pin 10.
Connect all header GND pins to the ground plane.
Connect header Vref pin to same supply as FPGA VCCO_0.
Connect header TCK pin to all devices in the JTAG chain.
Connect header TMS pin to all devices in the JTAG chain.
Connect header TDI pin to the TDI pin of the first device in the JTAG scan chain.
Connect header TDO pin to the TDO pin of the last device in the JTAG scan chain.</t>
  </si>
  <si>
    <t>Connect to the JTAG cable header's TCK output signal.
For the Xilinx 14-pin JTAG ribbon cable header, TCK is pin 6.</t>
  </si>
  <si>
    <t>Connect to the JTAG cable header's TMS output signal.
For the Xilinx 14-pin JTAG ribbon cable header, TMS is pin 4.</t>
  </si>
  <si>
    <t>EMCCLK is ignored in the slave modes and can be left unconnected.</t>
  </si>
  <si>
    <t>EMCCLK is ignored in the JTAG mode and can be left unconnected.</t>
  </si>
  <si>
    <t>EMCCLK is ignored and can be left unconnected.</t>
  </si>
  <si>
    <t xml:space="preserve">Connect MOSI to the SPI flash serial data input pin. </t>
  </si>
  <si>
    <t>PURPOSE</t>
  </si>
  <si>
    <t>DISCLAIMER</t>
  </si>
  <si>
    <t>COPYRIGHT</t>
  </si>
  <si>
    <t>Conducting schematic reviews to ensure an FPGA design is optimally configured for first-time success is a difficult task. Part of the challenge stems from the many different sources of information that the designer needs to reference, including the device data sheet, family user guide, answer records, errata, etc., as well as the software design tools. This recommendations document provides a template for performing and recording the results of a schematic review.</t>
  </si>
  <si>
    <t>Company</t>
  </si>
  <si>
    <t>Customer Project</t>
  </si>
  <si>
    <t>Customer Contact</t>
  </si>
  <si>
    <t>Review Date</t>
  </si>
  <si>
    <t>Xilinx Reviewers</t>
  </si>
  <si>
    <t>SCHEMATIC REVIEW RECOMMENDATIONS</t>
  </si>
  <si>
    <t>General Instructions to the Reviewer</t>
  </si>
  <si>
    <t>1.</t>
  </si>
  <si>
    <t>3.</t>
  </si>
  <si>
    <t>4.</t>
  </si>
  <si>
    <t>5.</t>
  </si>
  <si>
    <t>6.</t>
  </si>
  <si>
    <t>Each cell in the Status column has a pull-down menu with the color-coded selections OK, CHECK, and PROBLEM. The Status column allows the customer to quickly see the results of the schematic review.
· OK: The item receives reviewer approval.
· CHECK: The reviewer does not have sufficient information to determine if the item is OK or poses a PROBLEM. The designer must research the item and provide additional information.
· PROBLEM: There is an issue with the item. PROBLEM flags the item for the designer, who needs to research the issue and find a solution.
· Not Checked: The item has not been checked and might require additional attention.
· N/A: The item is not applicable to this device or design.</t>
  </si>
  <si>
    <t>7.</t>
  </si>
  <si>
    <t>2.</t>
  </si>
  <si>
    <t>Connect to the appropriate voltage if the input standard requires a reference voltage.
VREF supply stabilization requires one capacitor per pin; values are in the 0.022 µF—0.47 µF range. If internal VREF is used no capacitor is required and the pin can be used as I/O.</t>
  </si>
  <si>
    <t>Bus Width</t>
  </si>
  <si>
    <t>Configuration Frequency (MHz)</t>
  </si>
  <si>
    <t>Bitstream Programing Time</t>
  </si>
  <si>
    <t>7V585T</t>
  </si>
  <si>
    <t>12,13</t>
  </si>
  <si>
    <t>14,15,16,17,18,19,31,32,33,34,35,36,37,38,39</t>
  </si>
  <si>
    <t>7A100T</t>
  </si>
  <si>
    <t>14,15,16,34,35</t>
  </si>
  <si>
    <t>14,15,34,35</t>
  </si>
  <si>
    <t>Reference Designator</t>
  </si>
  <si>
    <t>Package Artix7</t>
  </si>
  <si>
    <t>Artix-7</t>
  </si>
  <si>
    <t>7VX330T</t>
  </si>
  <si>
    <t>7VX415T</t>
  </si>
  <si>
    <t>7VX550T</t>
  </si>
  <si>
    <t>7VX690T</t>
  </si>
  <si>
    <t>7VX1140T</t>
  </si>
  <si>
    <t>7VH290T</t>
  </si>
  <si>
    <t>7VH580T</t>
  </si>
  <si>
    <t>7VH870T</t>
  </si>
  <si>
    <t>mm-dd-yyyy</t>
  </si>
  <si>
    <t>VCCAUX_IO_G#</t>
  </si>
  <si>
    <t>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t>
  </si>
  <si>
    <t>Comments</t>
  </si>
  <si>
    <t>Bitstream Programming Time</t>
  </si>
  <si>
    <t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t>
  </si>
  <si>
    <t>Connect to VCCO_0</t>
  </si>
  <si>
    <t>Device Migration</t>
  </si>
  <si>
    <t xml:space="preserve">Connect D00_MOSI to the SPI flash serial data input, DQ0/IO0 pin. </t>
  </si>
  <si>
    <t>Connect D00 to the SelectMAP data bus D[00] signal.</t>
  </si>
  <si>
    <t>Connect D00 to the BPI flash data bus D[00] signal.</t>
  </si>
  <si>
    <t>D01_DIN is ignored and can be left unconnected.</t>
  </si>
  <si>
    <t xml:space="preserve">Connect D01_DIN to the serial data output pin of the serial data source. </t>
  </si>
  <si>
    <t>Connect D01_DIN to the SPI flash serial data output pin.</t>
  </si>
  <si>
    <t>Connect D01_DIN to the SPI flash serial data output, DQ1/IO1 pin.</t>
  </si>
  <si>
    <t>Connect D01 to the SelectMAP data bus D[01] signal.</t>
  </si>
  <si>
    <t>Connect D01 to the BPI flash data bus D[01] signal.</t>
  </si>
  <si>
    <t>D[04-07]</t>
  </si>
  <si>
    <t>D02</t>
  </si>
  <si>
    <t>D03</t>
  </si>
  <si>
    <t>D02 is ignored and can be left unconnected.</t>
  </si>
  <si>
    <t>Connect D02 to the SelectMAP data bus D[02] signal.</t>
  </si>
  <si>
    <t>Connect D02 to the BPI flash data bus D[02] signal.</t>
  </si>
  <si>
    <t>D03 is ignored and can be left unconnected.</t>
  </si>
  <si>
    <t>Connect D03 to the SelectMAP data bus D[03] signal.</t>
  </si>
  <si>
    <t>Connect D03 to the BPI flash data bus D[03] signal.</t>
  </si>
  <si>
    <t>D[04-07] are ignored and can be left unconnected.</t>
  </si>
  <si>
    <t>D[08-15] are ignored and can be left unconnected.</t>
  </si>
  <si>
    <t>A[00-15]_D[16-31] are ignored and can be left unconnected.</t>
  </si>
  <si>
    <t>A[16-28] are ignored and can be left unconnected.</t>
  </si>
  <si>
    <t>Connect D[04-07] to the SelectMAP data bus D[04-07] signals.</t>
  </si>
  <si>
    <t>Connect D[04-07] to the BPI flash data bus D[04-07] signals.</t>
  </si>
  <si>
    <t>Connect D[08-15] to the SelectMAP data bus D[08-15] signals.</t>
  </si>
  <si>
    <t>Connect D[08-15] to the BPI flash data bus D[08-15] signals.</t>
  </si>
  <si>
    <t>Connect D[16-31] to the SelectMAP data bus D[16-31] signals.</t>
  </si>
  <si>
    <t>Connect INIT_B to the BPI flash active-low reset (RST#) pin and to a 4.7 kΩ (or stronger) pull-up resistor to VCCO_0 to ensure clean Low-to-High transitions.</t>
  </si>
  <si>
    <t>Kintex-7</t>
  </si>
  <si>
    <t>Virtex-7</t>
  </si>
  <si>
    <t>7K420T</t>
  </si>
  <si>
    <r>
      <t>V</t>
    </r>
    <r>
      <rPr>
        <vertAlign val="subscript"/>
        <sz val="10"/>
        <rFont val="Arial"/>
        <family val="2"/>
      </rPr>
      <t>CCINT</t>
    </r>
    <r>
      <rPr>
        <sz val="10"/>
        <rFont val="Arial"/>
        <family val="2"/>
      </rPr>
      <t>, V</t>
    </r>
    <r>
      <rPr>
        <vertAlign val="subscript"/>
        <sz val="10"/>
        <rFont val="Arial"/>
        <family val="2"/>
      </rPr>
      <t>CCAUX</t>
    </r>
    <r>
      <rPr>
        <sz val="10"/>
        <rFont val="Arial"/>
        <family val="2"/>
      </rPr>
      <t>, V</t>
    </r>
    <r>
      <rPr>
        <vertAlign val="subscript"/>
        <sz val="10"/>
        <rFont val="Arial"/>
        <family val="2"/>
      </rPr>
      <t>CCO</t>
    </r>
  </si>
  <si>
    <t>VCCBRAM</t>
  </si>
  <si>
    <t>Package</t>
  </si>
  <si>
    <t>Device</t>
  </si>
  <si>
    <t>7K70T</t>
  </si>
  <si>
    <t>7K160T</t>
  </si>
  <si>
    <t>7K325T</t>
  </si>
  <si>
    <t>7K410T</t>
  </si>
  <si>
    <t>7V1500T</t>
  </si>
  <si>
    <t>7V2000T</t>
  </si>
  <si>
    <t>Power Supply Ramp Time</t>
  </si>
  <si>
    <t>VCCO Bank 0</t>
  </si>
  <si>
    <t>Power Distribution System</t>
  </si>
  <si>
    <t>VCCINT</t>
  </si>
  <si>
    <t>VCCAUX</t>
  </si>
  <si>
    <t>See AR #11906.</t>
  </si>
  <si>
    <t>VCCO of unused I/O banks</t>
  </si>
  <si>
    <t>Power-up/down Sequence</t>
  </si>
  <si>
    <t>TMS</t>
  </si>
  <si>
    <t>TDI</t>
  </si>
  <si>
    <t>TCK</t>
  </si>
  <si>
    <t>TDO</t>
  </si>
  <si>
    <t>CFGBVS</t>
  </si>
  <si>
    <t>PROGRAM_B</t>
  </si>
  <si>
    <t>INIT_B</t>
  </si>
  <si>
    <t>DONE</t>
  </si>
  <si>
    <t>CCLK</t>
  </si>
  <si>
    <t>FCS_B</t>
  </si>
  <si>
    <t>FOE_B</t>
  </si>
  <si>
    <t>FWE_B</t>
  </si>
  <si>
    <t>RDWR_B</t>
  </si>
  <si>
    <t>CSI_B</t>
  </si>
  <si>
    <t>EMCCLK</t>
  </si>
  <si>
    <t>ADV_B</t>
  </si>
  <si>
    <t>PUDC_B</t>
  </si>
  <si>
    <t>M[2:0]</t>
  </si>
  <si>
    <t>RS0, RS1</t>
  </si>
  <si>
    <t>VCCBATT</t>
  </si>
  <si>
    <t>1. Each I/O is referenced to the VCCO supply voltage for the bank in which the I/O is located. For example "0", indicates the I/O is referenced to Bank 0's VCCO_0.</t>
  </si>
  <si>
    <t>Configuration</t>
  </si>
  <si>
    <t>General Comments:</t>
  </si>
  <si>
    <t>VCCADC_0</t>
  </si>
  <si>
    <t>GNDADC_0</t>
  </si>
  <si>
    <t>VREFP_0</t>
  </si>
  <si>
    <t>VREFN_0</t>
  </si>
  <si>
    <t>VP_0</t>
  </si>
  <si>
    <t>VN_0</t>
  </si>
  <si>
    <t>XADC</t>
  </si>
  <si>
    <t>DOUT_CSO_B</t>
  </si>
  <si>
    <t>D00_MOSI</t>
  </si>
  <si>
    <t>D01_DIN</t>
  </si>
  <si>
    <t>A[00-15]_D[16-31]</t>
  </si>
  <si>
    <t>A[16-28]</t>
  </si>
  <si>
    <t>Xilinx Recommendation</t>
  </si>
  <si>
    <t>Actual Implementation</t>
  </si>
  <si>
    <t>Status</t>
  </si>
  <si>
    <t>Die</t>
  </si>
  <si>
    <t>Part</t>
  </si>
  <si>
    <t>Family</t>
  </si>
  <si>
    <t>VCCO Bank 14</t>
  </si>
  <si>
    <t>VCCO Bank 15</t>
  </si>
  <si>
    <t>Config</t>
  </si>
  <si>
    <t>HR</t>
  </si>
  <si>
    <t>HP</t>
  </si>
  <si>
    <t>GTX</t>
  </si>
  <si>
    <t>33,34</t>
  </si>
  <si>
    <t>M1</t>
  </si>
  <si>
    <t>M2</t>
  </si>
  <si>
    <t>M3</t>
  </si>
  <si>
    <t>M4</t>
  </si>
  <si>
    <t>M5</t>
  </si>
  <si>
    <t>M6</t>
  </si>
  <si>
    <t>Item</t>
  </si>
  <si>
    <t>GTH</t>
  </si>
  <si>
    <t>0</t>
  </si>
  <si>
    <t>13,14,15,16</t>
  </si>
  <si>
    <t>115</t>
  </si>
  <si>
    <t>115,116</t>
  </si>
  <si>
    <t>12,13,14,15,16</t>
  </si>
  <si>
    <t>32,33,34</t>
  </si>
  <si>
    <t>12,13,14,15,16,17,18</t>
  </si>
  <si>
    <t>115,116,117,118</t>
  </si>
  <si>
    <t>7K355T</t>
  </si>
  <si>
    <t>12,13,14,15,16,17</t>
  </si>
  <si>
    <t>112,113,114,115,116,117</t>
  </si>
  <si>
    <t>111,112,113,114,115,116,117</t>
  </si>
  <si>
    <t>7K480T</t>
  </si>
  <si>
    <t>11,12,13,14,15,16,17,18</t>
  </si>
  <si>
    <t>111,112,113,114,115,116,117,118</t>
  </si>
  <si>
    <t>14,15,16,17,18,19,34,35,36,37,38,39</t>
  </si>
  <si>
    <t>114,115,116,117,118</t>
  </si>
  <si>
    <t>7VX485T</t>
  </si>
  <si>
    <t>111,112,113,114,115,116,117,118,119</t>
  </si>
  <si>
    <t>12,13,14,15,16,17,18,19,31,32,33,34,35,36,37,38,39</t>
  </si>
  <si>
    <t>113,114,115,116,117,118,119</t>
  </si>
  <si>
    <t>13,14,15,16,17,18,19,33,34,35,36,37,38,39</t>
  </si>
  <si>
    <t>11,12,13,14,15,16,17,18,19,20,21,22,31,32,33,34,35,36,37,38,39,40,41,42</t>
  </si>
  <si>
    <t>112,113,114,115</t>
  </si>
  <si>
    <t>14,15,16,17,34,35,36</t>
  </si>
  <si>
    <t>114,115,116,117,118,119,214,215,216,217,218,219</t>
  </si>
  <si>
    <t>113,114,115,116,117,118,119,213,214,215,216,217,218,219</t>
  </si>
  <si>
    <t>113,114,115,116,117,118</t>
  </si>
  <si>
    <t>Additional Information</t>
  </si>
  <si>
    <t xml:space="preserve">Connect PROGRAM_B to an external 4.7 kΩ (or stronger) pull-up resistor to VCCO_0 to ensure a stable High input, and recommend push-button to GND to enable manual configuration reset. </t>
  </si>
  <si>
    <t>Connect INIT_B to a 4.7 kΩ (or stronger) pull-up resistor to VCCO_0 to ensure clean Low-to-High transitions.</t>
  </si>
  <si>
    <t>Configuration Mode</t>
  </si>
  <si>
    <t>Items on the page are related to the following Device and Configuration Mode</t>
  </si>
  <si>
    <t xml:space="preserve">Connect CSI_B directly, or via a 1 kΩ (or stronger) resistor, to GND. </t>
  </si>
  <si>
    <t>CSI_B is ignored and can be left unconnected.</t>
  </si>
  <si>
    <t xml:space="preserve">Connect RDWR_B directly, or via a 1 kΩ (or stronger) resistor, to GND. </t>
  </si>
  <si>
    <t>RDWR_B is ignored and can be left unconnected.</t>
  </si>
  <si>
    <t>D[08-15]</t>
  </si>
  <si>
    <t xml:space="preserve">Connect the FPGA FOE_B to the flash output-enable input and connect to an external 4.7 kΩ (or stronger) pull-up resistor to VCCO_15. </t>
  </si>
  <si>
    <t>FOE_B is high-impedance and can be left unconnected.</t>
  </si>
  <si>
    <t xml:space="preserve">Connect the FPGA FWE_B to the flash write-enable input and connect to an external 4.7 kΩ (or stronger) pull-up resistor to VCCO_15. </t>
  </si>
  <si>
    <t xml:space="preserve">This is the analog supply pin for the ADCs and other analog circuits in the XADC. </t>
  </si>
  <si>
    <t xml:space="preserve">This is the ground reference pin for the ADCs and other analog circuits in the XADC. </t>
  </si>
  <si>
    <t>This is the positive input terminal of the dedicated differential analog input channel (VP/VN). The analog input channels are very flexible and support multiple analog input signal types. This pin should be connected to GND if not used.</t>
  </si>
  <si>
    <t>This is the negative input terminal of the dedicated differential analog input channel (VP/VN). The analog input channels are very flexible and support multiple analog input signal types.This pin should be connected to GND if not used.</t>
  </si>
  <si>
    <t>N/A</t>
  </si>
  <si>
    <t>Recommendations</t>
  </si>
  <si>
    <t>Additional Info</t>
  </si>
  <si>
    <t>Status Options</t>
  </si>
  <si>
    <t>OK</t>
  </si>
  <si>
    <t>CHECK</t>
  </si>
  <si>
    <t>PROBLEM</t>
  </si>
  <si>
    <t>Not Checked</t>
  </si>
  <si>
    <t xml:space="preserve"> </t>
  </si>
  <si>
    <t>Bank0</t>
  </si>
  <si>
    <t>Connect CCLK to the external configuration device's clock pin. CCLK is an output that drives the master serial configuration clock signal.</t>
  </si>
  <si>
    <t>MRCC</t>
  </si>
  <si>
    <t>SRCC</t>
  </si>
  <si>
    <t>VRN</t>
  </si>
  <si>
    <t>VRP</t>
  </si>
  <si>
    <t>DXP_0, DXN_0</t>
  </si>
  <si>
    <t>T0, T1, T2, or T3</t>
  </si>
  <si>
    <t>T0_DQS, T1_DQS,
T2_DQS, or T3_DQS</t>
  </si>
  <si>
    <t xml:space="preserve">Reserved. </t>
  </si>
  <si>
    <t>No Connection; leave floating.</t>
  </si>
  <si>
    <t xml:space="preserve">These are the clock capable I/Os driving BUFRs, BUFIOs, BUFGs, and MMCMs/PLLs. In addition, these pins can drive the BUFMR for multi-region BUFIO and BUFR support. These pins become regular user I/Os when not needed as a clock. </t>
  </si>
  <si>
    <t>These are the clock capable I/Os driving BUFRs, BUFIOs, and MMCMs/PLLs. These pins become regular user I/Os when not needed for clocks.</t>
  </si>
  <si>
    <t>Bank 14 Artix7</t>
  </si>
  <si>
    <t>Bank 15 Artix7</t>
  </si>
  <si>
    <t>Bank 14 Kintex7</t>
  </si>
  <si>
    <t>Bank 15 Kintex7</t>
  </si>
  <si>
    <t>Bank 14 Virtex7</t>
  </si>
  <si>
    <t>Bank 15 Virtex7</t>
  </si>
  <si>
    <t>Package Kintex7</t>
  </si>
  <si>
    <t>Package Virtex7</t>
  </si>
  <si>
    <t>Other Items</t>
  </si>
  <si>
    <t>MGTREFCLK0P
MGTREFCLK0N 
MGTREFCLK1P
MGTREFCLK1N</t>
  </si>
  <si>
    <t>MGTRXP0/MGTRXN0 
MGTRXP1/MGTRXN1 
MGTRXP2/MGTRXN2 
MGTRXP3/MGTRXN3</t>
  </si>
  <si>
    <t>MGTTXP0/MGTTXN0
MGTTXP1/MGTTXN1
MGTTXP2/MGTTXN2 
MGTTXP3/MGTTXN3</t>
  </si>
  <si>
    <t>MGTAVTTRCAL</t>
  </si>
  <si>
    <t>MGTRREF</t>
  </si>
  <si>
    <t>MGTAVTT_G[N]</t>
  </si>
  <si>
    <t>MGTVCCAUX_G[N]</t>
  </si>
  <si>
    <t>MGT</t>
  </si>
  <si>
    <t>Connect to GND</t>
  </si>
  <si>
    <t>680 µF</t>
  </si>
  <si>
    <t>330 µF</t>
  </si>
  <si>
    <t>4.7 µF</t>
  </si>
  <si>
    <t>660 µF</t>
  </si>
  <si>
    <t>100 µF</t>
  </si>
  <si>
    <t>47 µF</t>
  </si>
  <si>
    <t>VCCAUX_IO per Group</t>
  </si>
  <si>
    <t>VCCO per Bank</t>
  </si>
  <si>
    <t>Customer Items</t>
  </si>
  <si>
    <t>VCCint</t>
  </si>
  <si>
    <t>VCCaux</t>
  </si>
  <si>
    <t>VCCo per Bank</t>
  </si>
  <si>
    <t>680 uF</t>
  </si>
  <si>
    <t>330 uF</t>
  </si>
  <si>
    <t>100 uF</t>
  </si>
  <si>
    <t>47 uF</t>
  </si>
  <si>
    <t>4.7 uF</t>
  </si>
  <si>
    <t>0.47 uF</t>
  </si>
  <si>
    <t>47uF</t>
  </si>
  <si>
    <t>7A200T</t>
  </si>
  <si>
    <t>7A350T</t>
  </si>
  <si>
    <t>7VX980T</t>
  </si>
  <si>
    <t>7Z010</t>
  </si>
  <si>
    <t>7Z020</t>
  </si>
  <si>
    <t>GTP</t>
  </si>
  <si>
    <t>PS</t>
  </si>
  <si>
    <t>13,14,15,16,34,35</t>
  </si>
  <si>
    <t>116</t>
  </si>
  <si>
    <t>113,116</t>
  </si>
  <si>
    <t>216</t>
  </si>
  <si>
    <t>12,13,14,15,16,33,34,35</t>
  </si>
  <si>
    <t>213,216</t>
  </si>
  <si>
    <t>12,13,14,15,16,32,33,34,35,36</t>
  </si>
  <si>
    <t>113,116,213,216</t>
  </si>
  <si>
    <t>12,13,14,15,16,17,32,33,34,35,36,37</t>
  </si>
  <si>
    <t>13,14,15,16,33,34,35,36,37,38</t>
  </si>
  <si>
    <t>110,111,112,113,114,115,116,117,118,119,120,121,210,211,212,213,214,215,216,217,218,219,220,221</t>
  </si>
  <si>
    <t>10,11,12,13,14,15,16,17,18,19,20,21,30,31,32,33,34,35,36,37,38,39</t>
  </si>
  <si>
    <t>13</t>
  </si>
  <si>
    <t>14,15,16,17,18,19,33,34,35,36,37,38,39</t>
  </si>
  <si>
    <t>10,11,12,13,14,15,16,17,30,31,32,33,34,35,36</t>
  </si>
  <si>
    <t>111,112,113,114,115,116,117,118,211,212,213,214,215,216,217,218</t>
  </si>
  <si>
    <t>10,11,12,13,14,15,16,17,18,19,30,31,32,33,34,35,36,37,38,39</t>
  </si>
  <si>
    <t>110,111,112,113,114,115,116,117,118,210,211,212,213,214,215,216,217,218</t>
  </si>
  <si>
    <t>10,11,12,13,14,15,16,17,18,30,31,32,33,34,35,36,37,38</t>
  </si>
  <si>
    <t>34,35</t>
  </si>
  <si>
    <t>500,501,502</t>
  </si>
  <si>
    <t>13,34,35</t>
  </si>
  <si>
    <t>13,33,34,35</t>
  </si>
  <si>
    <t>No Caps needed, supply is not used.</t>
  </si>
  <si>
    <t>HP banks for Artix (B23)</t>
  </si>
  <si>
    <t>Migration for FB to FF (E17)</t>
  </si>
  <si>
    <t>VCCaux_IO for Artix (B17)</t>
  </si>
  <si>
    <t>HR warning for bank 13 on 7VX330T (E22)</t>
  </si>
  <si>
    <t>HP warning for bank 13 when moving to 7VX330T (E23)</t>
  </si>
  <si>
    <t>Data from 4/4/2012</t>
  </si>
  <si>
    <t>Data from 4/6/2012</t>
  </si>
  <si>
    <t>Die selection (B67)</t>
  </si>
  <si>
    <t>Configuration frequency (B68)</t>
  </si>
  <si>
    <t>combo of device, and package</t>
  </si>
  <si>
    <t>combo of family, device, and package</t>
  </si>
  <si>
    <t>Device information</t>
  </si>
  <si>
    <t>Package information</t>
  </si>
  <si>
    <t>Family information</t>
  </si>
  <si>
    <t>Link</t>
  </si>
  <si>
    <t>http://www.xilinx.com/support/documentation/application_notes/xapp520_7Series_HPIO.pdf</t>
  </si>
  <si>
    <t>MIG</t>
  </si>
  <si>
    <t>HR memory termination</t>
  </si>
  <si>
    <t>AD0P to AD15P</t>
  </si>
  <si>
    <t>AD0N to AD15N</t>
  </si>
  <si>
    <t>JTAG (Only) (Mode 101)</t>
  </si>
  <si>
    <t>Slave Serial (and JTAG) (Mode 111)</t>
  </si>
  <si>
    <t>Master Serial (and JTAG) (Mode 000)</t>
  </si>
  <si>
    <t>Master SPI X1 (and JTAG) (Mode (001)</t>
  </si>
  <si>
    <t>Master SPI X2 (and JTAG) (Mode 001)</t>
  </si>
  <si>
    <t>Master SPI X4 (and JTAG) (Mode 001)</t>
  </si>
  <si>
    <t>Master SelectMAP X8 (and JTAG) (Mode 100)</t>
  </si>
  <si>
    <t>Master SelectMAP X16 (and JTAG) (Mode 100)</t>
  </si>
  <si>
    <t>Slave SelectMAP X8 (and JTAG) (Mode 110)</t>
  </si>
  <si>
    <t>Slave SelectMAP X16 (and JTAG) (Mode 110)</t>
  </si>
  <si>
    <t>Slave SelectMAP X32 (and JTAG) (Mode 110)</t>
  </si>
  <si>
    <t>Master BPI X8 (and JTAG) (Mode 010)</t>
  </si>
  <si>
    <t>Master BPI X16 (and JTAG) (Mode 010)</t>
  </si>
  <si>
    <t>UNSUPPORTED configuration mode with voltage selection. Check configuration mode and voltages on banks 0.</t>
  </si>
  <si>
    <t>CFGBVS (B35)</t>
  </si>
  <si>
    <t>Device does not have MGT</t>
  </si>
  <si>
    <t>VCCO_0 Setting</t>
  </si>
  <si>
    <t>Zynq-7000</t>
  </si>
  <si>
    <t>Package Zynq7</t>
  </si>
  <si>
    <t>RSVDVCC</t>
  </si>
  <si>
    <t>RSVDGND</t>
  </si>
  <si>
    <t>VCCO_MIO0</t>
  </si>
  <si>
    <t>VCCO_MIO1</t>
  </si>
  <si>
    <t>VCCO_DDR</t>
  </si>
  <si>
    <t>VCCPINT</t>
  </si>
  <si>
    <t>VCCPAUX</t>
  </si>
  <si>
    <t>VCCPLL</t>
  </si>
  <si>
    <t>Interface pin number</t>
  </si>
  <si>
    <t>IIC0</t>
  </si>
  <si>
    <t>IIC1</t>
  </si>
  <si>
    <t>SPI0</t>
  </si>
  <si>
    <t>SPI1</t>
  </si>
  <si>
    <t>CAN0</t>
  </si>
  <si>
    <t>CAN0 CLK</t>
  </si>
  <si>
    <t>CAN1</t>
  </si>
  <si>
    <t>CAN1 CLK</t>
  </si>
  <si>
    <t>UART0</t>
  </si>
  <si>
    <t>UART1</t>
  </si>
  <si>
    <t>TTC0</t>
  </si>
  <si>
    <t>TTC1</t>
  </si>
  <si>
    <t>SWDT</t>
  </si>
  <si>
    <t>PJTAG</t>
  </si>
  <si>
    <t>TRACE CTRL</t>
  </si>
  <si>
    <t>TRACE</t>
  </si>
  <si>
    <t>SDIO0</t>
  </si>
  <si>
    <t>SDIO1</t>
  </si>
  <si>
    <t>SDIO0 POWER</t>
  </si>
  <si>
    <t>SDIO1 POWER</t>
  </si>
  <si>
    <t>SDIO0 WP</t>
  </si>
  <si>
    <t>SDIO0 CD</t>
  </si>
  <si>
    <t>SDIO1 WP</t>
  </si>
  <si>
    <t>SDIO1 CD</t>
  </si>
  <si>
    <t>ETHERNET0</t>
  </si>
  <si>
    <t>ETHERNET1</t>
  </si>
  <si>
    <t>ETHERNET MDIO</t>
  </si>
  <si>
    <t>QSPI0 1BIT</t>
  </si>
  <si>
    <t>QSPI0 2BIT</t>
  </si>
  <si>
    <t>QSPI0 4BIT</t>
  </si>
  <si>
    <t>QSPI1 1BIT</t>
  </si>
  <si>
    <t>QSPI1 2BIT</t>
  </si>
  <si>
    <t>QSPI1 4BIT</t>
  </si>
  <si>
    <t>QSPI CS</t>
  </si>
  <si>
    <t>USB0</t>
  </si>
  <si>
    <t>NOR/SRAM</t>
  </si>
  <si>
    <t>NAND</t>
  </si>
  <si>
    <t>USB1</t>
  </si>
  <si>
    <t>SDIO0 Power Control</t>
  </si>
  <si>
    <t>SDIO1 Power Control</t>
  </si>
  <si>
    <t>NOR/SRAM CS0</t>
  </si>
  <si>
    <t>PJTAG TDO</t>
  </si>
  <si>
    <t>TRACE CTL</t>
  </si>
  <si>
    <t>NOR/SRAM CS1/ADDR25</t>
  </si>
  <si>
    <t>NOR/SRAM Output Enable</t>
  </si>
  <si>
    <t>NOR/SRAM Wait</t>
  </si>
  <si>
    <t>10, 11</t>
  </si>
  <si>
    <t>14, 15</t>
  </si>
  <si>
    <t>18, 19</t>
  </si>
  <si>
    <t>22, 23</t>
  </si>
  <si>
    <t>26, 27</t>
  </si>
  <si>
    <t>30, 31</t>
  </si>
  <si>
    <t>34, 35</t>
  </si>
  <si>
    <t>38, 39</t>
  </si>
  <si>
    <t>42, 43</t>
  </si>
  <si>
    <t>46, 47</t>
  </si>
  <si>
    <t>50, 51</t>
  </si>
  <si>
    <t>12, 13</t>
  </si>
  <si>
    <t>16, 17</t>
  </si>
  <si>
    <t>20, 21</t>
  </si>
  <si>
    <t>24, 25</t>
  </si>
  <si>
    <t>28, 29</t>
  </si>
  <si>
    <t>32, 33</t>
  </si>
  <si>
    <t>36, 37</t>
  </si>
  <si>
    <t>40, 41</t>
  </si>
  <si>
    <t>44, 45</t>
  </si>
  <si>
    <t>48, 49</t>
  </si>
  <si>
    <t>52, 53</t>
  </si>
  <si>
    <t>16, 21, 17, 18, 19, 20</t>
  </si>
  <si>
    <t>28, 33, 29, 30, 31, 32</t>
  </si>
  <si>
    <t>40, 45, 41, 42, 43, 44</t>
  </si>
  <si>
    <t>10, 11, 12, 13, 14, 15</t>
  </si>
  <si>
    <t>22, 23, 24, 25, 26, 27</t>
  </si>
  <si>
    <t>34, 35, 36, 37, 38, 39</t>
  </si>
  <si>
    <t>46, 47, 48, 49, 50, 51</t>
  </si>
  <si>
    <t>8, 9</t>
  </si>
  <si>
    <t>10, 11, 12, 13</t>
  </si>
  <si>
    <t>22, 23, 24, 25</t>
  </si>
  <si>
    <t>34, 35, 36, 37</t>
  </si>
  <si>
    <t>46, 47, 48, 49</t>
  </si>
  <si>
    <t>14, 15, 10, 11</t>
  </si>
  <si>
    <t>26, 27, 22, 23</t>
  </si>
  <si>
    <t>14, 15, 10, 11, 16, 17, 18, 19</t>
  </si>
  <si>
    <t>14, 15, 10, 11, 16, 17, 18, 19, 2, 3, 4, 5, 6, 7, 8, 9</t>
  </si>
  <si>
    <t>16, 17, 18, 19, 20, 21</t>
  </si>
  <si>
    <t>28, 29, 30, 31, 32, 33</t>
  </si>
  <si>
    <t>40, 41, 42, 43, 44, 45</t>
  </si>
  <si>
    <t>16, 17, 18, 19, 20, 21, 22, 23, 24, 25, 26, 27</t>
  </si>
  <si>
    <t>28, 29, 30, 31, 32, 33, 34, 35, 36, 37, 38, 39</t>
  </si>
  <si>
    <t>40, 41, 42, 43, 44, 45, 46, 47, 48, 49, 50, 51</t>
  </si>
  <si>
    <t>2, 3, 4, 5, 6</t>
  </si>
  <si>
    <t>9, 10, 11, 12, 13</t>
  </si>
  <si>
    <t>0, 1, 3, 4, 5, 6, 7, 8, 9, 10, 11, 12, 13, 15, 16, 17, 18, 19, 20, 21, 22, 23, 24, 25, 26, 27, 28, 29, 30, 31, 32, 33, 34, 35, 36, 37, 38, 39</t>
  </si>
  <si>
    <t>0, 2, 3, 4, 5, 6, 7, 8, 9, 10, 11, 12, 13, 14, 16, 17, 18, 19, 20, 21, 22, 23</t>
  </si>
  <si>
    <t>7Z030</t>
  </si>
  <si>
    <t>7Z045</t>
  </si>
  <si>
    <t>VCCPint</t>
  </si>
  <si>
    <t>VCCPaux</t>
  </si>
  <si>
    <t>VCCDDR</t>
  </si>
  <si>
    <t>VCCPo0</t>
  </si>
  <si>
    <t>VCCPo1</t>
  </si>
  <si>
    <t>PS_DDR_VREF0 and PS_DDR_VREF1 provide a voltage reference for the PS_DDR_DQ and PS_DDR_DQS differential input receivers.</t>
  </si>
  <si>
    <t>PS_MIO_VREF</t>
  </si>
  <si>
    <t>PS_DDR_VRP</t>
  </si>
  <si>
    <t>PS_DDR_VRN</t>
  </si>
  <si>
    <t>VCCO_DDR/2, generally with 3 of 10uF, 3 of 4.7uF and 12 of 0.1uF.
Recommendation should be based on address and control width (these signals require external terminations to VTT).
- One high frequency cap (0.1uF) for every 2 to 3 terminations
- One bulk (4.7uF and 10uF) for every 10-12 terminations
For instance for DDR3 using 23 signals, i.e. 15-bit address, 3-bit BA, 5 controls (WE_B/CAS_B/RAS_B/ODT/CS_B), the recommendation would be :
- 10 to 12 of 0.1uF caps, close to terminated signals
- 2 to 3 of 4.7uF caps, close to terminated signals
- 2 to 3 of 10uF caps close to tracking regulator or Vtt source</t>
  </si>
  <si>
    <t>LPDDR2 simulation</t>
  </si>
  <si>
    <t>Power-On/Off Sequence</t>
  </si>
  <si>
    <t>200 µs &lt; VCCPINT  ramp &lt; 50 ms
200 µs &lt; VCCPAUX ramp &lt; 50 ms
200 µs &lt; VCCO_DDR    ramp &lt; 50 ms
200 µs &lt; VCCO_MIO    ramp &lt; 50 ms
VCCO2VCCAUX &lt; 500 ms @ TJ 100C
VCCO2VCCAUX &lt; 800 ms @ TJ 85C</t>
  </si>
  <si>
    <t>Power</t>
  </si>
  <si>
    <t>PS_CLK</t>
  </si>
  <si>
    <t>PS_CLK shall be connected to a clock generator providing a 30-60 MHz clock. The clock must be a single-ended LVCMOS signal, using the same voltage level as the VCCO I/O voltage for bank MIO0 (VCCO_MIO0).</t>
  </si>
  <si>
    <t>PS_POR_B
PS power-on reset</t>
  </si>
  <si>
    <t>PS_SRST_B
PS system reset</t>
  </si>
  <si>
    <t>vmode [1:0] = MIO[8:7]
I/O bank voltage</t>
  </si>
  <si>
    <t xml:space="preserve">BOOT_MODE[3] = MIO[2]
JTAG mode
</t>
  </si>
  <si>
    <t>BOOT_MODE[2:0] = MIO[5:3]
Boot devices</t>
  </si>
  <si>
    <t>BOOT_MODE[4] = MIO[6] PLL mode</t>
  </si>
  <si>
    <t>CASCADED JTAG</t>
  </si>
  <si>
    <t>Use dedicated pins on PL</t>
  </si>
  <si>
    <t>INDEPENDENT JTAG</t>
  </si>
  <si>
    <t>Use dedicated pins on PL. ARM DAP can be routed to MIO or EMIO pins</t>
  </si>
  <si>
    <t>DDR Termination</t>
  </si>
  <si>
    <t>DDR_CK_P
DDR_CK_N</t>
  </si>
  <si>
    <t xml:space="preserve">DDR topology
</t>
  </si>
  <si>
    <t>See  UG933, Chapter 5, section "PS_SRST_B – External System Reset"</t>
  </si>
  <si>
    <t>See  Zynq 7000 TRM for PCB layout recommandations, Table 6-2</t>
  </si>
  <si>
    <t>Does not apply to selected family or device</t>
  </si>
  <si>
    <t>Does not apply to family</t>
  </si>
  <si>
    <t>Does not apply to device</t>
  </si>
  <si>
    <t>Does not apply to package</t>
  </si>
  <si>
    <t>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t>
  </si>
  <si>
    <t>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t>
  </si>
  <si>
    <t>VRN is pulled High with a reference resistor, the value of reference resistor is dependent on the DCI I/O Standard used in the bank. VRN functionality does not apply to HR banks. NOTE: resistor values have changed from prior generations.</t>
  </si>
  <si>
    <t>VRP is pulled Low with a reference resistor, the value of reference resistor is dependent on the DCI I/O Standard used in the bank. VRP functionality does not apply to HR banks. NOTE: resistor values have changed from prior generations.</t>
  </si>
  <si>
    <t>Number of VCCAUX_IO Groups</t>
  </si>
  <si>
    <t>No</t>
  </si>
  <si>
    <t>33,34,35</t>
  </si>
  <si>
    <t>112</t>
  </si>
  <si>
    <t>111,112</t>
  </si>
  <si>
    <t>9,10,11,12</t>
  </si>
  <si>
    <t>109,110,111,112</t>
  </si>
  <si>
    <r>
      <t xml:space="preserve">·Connect to a 100 Ω 1% resistor that is also connected to MGTAVTT. 
·If no quads will be used in a GTP column, MGTRREF should be connected to ground.
·See “Termination Resistor Calibration Circuit” section of UG482, </t>
    </r>
    <r>
      <rPr>
        <i/>
        <sz val="10"/>
        <rFont val="Arial"/>
        <family val="2"/>
      </rPr>
      <t>7 Series FPGAs GTP Transceivers User Guide</t>
    </r>
    <r>
      <rPr>
        <sz val="10"/>
        <rFont val="Arial"/>
        <family val="2"/>
      </rPr>
      <t>.</t>
    </r>
  </si>
  <si>
    <r>
      <t xml:space="preserve">·Use AC coupling capacitors for connection to oscillator.
·For AC coupling capacitors, see the "Reference Clock Interface" section of UG476, </t>
    </r>
    <r>
      <rPr>
        <i/>
        <sz val="10"/>
        <rFont val="Arial"/>
        <family val="2"/>
      </rPr>
      <t>7 Series FPGAs GTX/GTH Transceivers User Guide</t>
    </r>
    <r>
      <rPr>
        <sz val="10"/>
        <rFont val="Arial"/>
        <family val="2"/>
      </rPr>
      <t xml:space="preserve">.
·Reference clock traces should be provided enough clearance to eliminate crosstalk from adjacent signals.
·Reference clock oscillator output must comply with the min/max input amplitude requirements for these input pins.  See "GTX Transceiver Clock DC Input Level Specifications" in DS182, </t>
    </r>
    <r>
      <rPr>
        <i/>
        <sz val="10"/>
        <rFont val="Arial"/>
        <family val="2"/>
      </rPr>
      <t>Kintex-7 FPGAs Data Sheet: DC and Switching Characteristics</t>
    </r>
    <r>
      <rPr>
        <sz val="10"/>
        <rFont val="Arial"/>
        <family val="2"/>
      </rPr>
      <t xml:space="preserve"> or DS183, </t>
    </r>
    <r>
      <rPr>
        <i/>
        <sz val="10"/>
        <rFont val="Arial"/>
        <family val="2"/>
      </rPr>
      <t>Virtex-7 FPGAs Data Sheet: DC and Switching Characteristics</t>
    </r>
    <r>
      <rPr>
        <sz val="10"/>
        <rFont val="Arial"/>
        <family val="2"/>
      </rPr>
      <t>.
·If reference clock input is not used leave the associated pin pair unconnected.</t>
    </r>
  </si>
  <si>
    <r>
      <t xml:space="preserve">·Connect to MGTAVTT and to a 100 Ω 1% resistor that is also connected to MGTRREF. Use identical trace geometry for the connection between the resistor and  this pin and for the connection from the other pin of the resistor to MGTRREF.
·If no quads will be used in a GTX/GTH column, MGTAVTTRCAL should be connected to ground.
·See the “Termination Resistor Calibration Circuit” section of UG476, </t>
    </r>
    <r>
      <rPr>
        <i/>
        <sz val="10"/>
        <rFont val="Arial"/>
        <family val="2"/>
      </rPr>
      <t>7 Series FPGAs GTX/GTH Transceivers User Guide</t>
    </r>
    <r>
      <rPr>
        <sz val="10"/>
        <rFont val="Arial"/>
        <family val="2"/>
      </rPr>
      <t>.</t>
    </r>
  </si>
  <si>
    <r>
      <t xml:space="preserve">·Connect to a 100 Ω 1% resistor that is also connected to MGTAVTTRCAL.   Use identical trace geometry for the connection between the resistor to this pin and for the connection from the other pin of the resistor to MGTAVTTRCAL. 
·If no quads will be used in a GTX/GTH column, MGTRREF should be connected to ground.
·See the “Termination Resistor Calibration Circuit” section of UG476, </t>
    </r>
    <r>
      <rPr>
        <i/>
        <sz val="10"/>
        <rFont val="Arial"/>
        <family val="2"/>
      </rPr>
      <t>7 Series FPGAs GTX/GTH Transceivers User Guide</t>
    </r>
    <r>
      <rPr>
        <sz val="10"/>
        <rFont val="Arial"/>
        <family val="2"/>
      </rPr>
      <t>.</t>
    </r>
  </si>
  <si>
    <r>
      <t xml:space="preserve">·For the GTX transceiver QPLL frequency range &gt; 10.3125 GHz, the nominal voltage is 1.05 VDC. For all other conditions, the nominal voltage is 1.0 VDC.
·See DS182, </t>
    </r>
    <r>
      <rPr>
        <i/>
        <sz val="10"/>
        <rFont val="Arial"/>
        <family val="2"/>
      </rPr>
      <t>Kintex-7 FPGAs Data Sheet: DC and Switching Characteristics</t>
    </r>
    <r>
      <rPr>
        <sz val="10"/>
        <rFont val="Arial"/>
        <family val="2"/>
      </rPr>
      <t xml:space="preserve"> or DS183, </t>
    </r>
    <r>
      <rPr>
        <i/>
        <sz val="10"/>
        <rFont val="Arial"/>
        <family val="2"/>
      </rPr>
      <t>Virtex-7 FPGAs Data Sheet: DC and Switching Characteristics</t>
    </r>
    <r>
      <rPr>
        <sz val="10"/>
        <rFont val="Arial"/>
        <family val="2"/>
      </rPr>
      <t xml:space="preserve">, for power supply voltage tolerances.
·The power supply regulator for this voltage should not be shared with non-MGT loads.
·Many packages have multiple groups of power supply connections in the package for MGTAVCC. Refer to the "Analog Power Supply Pins" section of UG476, </t>
    </r>
    <r>
      <rPr>
        <i/>
        <sz val="10"/>
        <rFont val="Arial"/>
        <family val="2"/>
      </rPr>
      <t>7 Series FPGAs GTX/GTH Transceivers User Guide</t>
    </r>
    <r>
      <rPr>
        <sz val="10"/>
        <rFont val="Arial"/>
        <family val="2"/>
      </rPr>
      <t xml:space="preserve"> to identify in which power supply group a specific GTX/GTH Quad is located. Information on pin locations for each package can be found in Chapter 2 of UG475, </t>
    </r>
    <r>
      <rPr>
        <i/>
        <sz val="10"/>
        <rFont val="Arial"/>
        <family val="2"/>
      </rPr>
      <t>7 Series FPGAs Packaging and Pinout Specifications</t>
    </r>
    <r>
      <rPr>
        <sz val="10"/>
        <rFont val="Arial"/>
        <family val="2"/>
      </rPr>
      <t>.
·The following set of filter capacitors for each power supply group are recommended:
     o 1 of 4.7 µF 10% ceramic
·For optimal performance power supply noise must be less than 10mVpp.
·If all of the Quads in a power supply group are not used the associated power pins can be left unconnected or tied to ground.
·For power consumption refer to “7 Series XPower Estimator” at www.xilinx.com/power .</t>
    </r>
  </si>
  <si>
    <t>·The nominal voltage is 1.2 VDC.
·See DS182, Kintex-7 FPGAs Data Sheet: DC and Switching Characteristics or DS183, Virtex-7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UG476, 7 Series FPGAs GTX/GTH Transceivers User Guide to identify in which power supply group a specific GTX/GTH Quad is located. Information on pin locations for each package can be found in Chapter 2 of UG475, 7 Series FPGAs Packaging and Pinout Specifications.
·The following set of filter capacitors for each power supply group are recommended:
     o 1 of 4.7 µF 10% ceramic
·For optimal performance power supply noise must be less than 10mVpp.
·If all of the Quads in a power supply group are not used the associated power pins can be left unconnected or tied to ground.
·For power consumption refer to “7 Series XPower Estimator” at www.xilinx.com/power .</t>
  </si>
  <si>
    <t>·The nominal voltage is 1.8 VDC.
·See DS182, Kintex-7 FPGAs Data Sheet: DC and Switching Characteristics or DS183, Virtex-7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UG476, 7 Series FPGAs GTX/GTH Transceivers User Guide to identify in which power supply group a specific GTX/GTH Quad is located. Information on pin locations for each package can be found in Chapter 2 of UG475, 7 Series FPGAs Packaging and Pinout Specifications.
·The following set of filter capacitors for each power supply group are recommended:
     o 1 of 4.7 µF 10% ceramic
·For optimal performance power supply noise must be less than 10mVpp.
·If all of the QPLLs in this power supply group are not used but the Quads will be used, the filter capacitors are not necessary and these pins can be connected to VCCAUX.
·If all of the Quads in a power supply group are not used the associated pins can be left unconnected or tied to ground.</t>
  </si>
  <si>
    <t>Version</t>
  </si>
  <si>
    <t>This spreadsheet is intended to provide a list of what has been checked (and what has not been checked) during a customer schematic review. It is not intended to be a comprehensive checklist.</t>
  </si>
  <si>
    <t>The Checklist pages are intended to collect information for a single FPGA and its supporting device (such as a configuration PROM). At the top of the Checklist page, the device part number and reference designator need to be recorded. If there are multiple devices, a workbook should be created for each device.</t>
  </si>
  <si>
    <t>The Actual Implementation column can be used to provide additional clarification. This information is especially important if the item is tagged with CHECK or PROBLEM.</t>
  </si>
  <si>
    <t>Connect each mode pin either directly or via a 1 kΩ (or stronger) resistor to VCCO_0 or GND. M[2:0] = 101</t>
  </si>
  <si>
    <t>For an isolated device or for the first device in a JTAG chain, connect TDI to the JTAG cable header's TDI output signal. Otherwise, when the FPGA is not the first device in a JTAG chain, connect to the TDO pin of the upstream JTAG device in the JTAG scan chain.
For the Xilinx 14-pin JTAG ribbon cable header, TDI is pin 10.</t>
  </si>
  <si>
    <t>PUDC_B must be tied either directly or via a 1 kΩ (or stronger) resistor to VCCO_14 or GND.</t>
  </si>
  <si>
    <t>CCLK is high impedance and can be left unconnected.</t>
  </si>
  <si>
    <t xml:space="preserve">DOUT_CSO_B is high impedance and can be left unconnected. </t>
  </si>
  <si>
    <t>D00_MOSI is ignored and kept in a high-impedance state during JTAG configuration. It can be left unconnected.</t>
  </si>
  <si>
    <t>FCS_B is high impedance and can be left unconnected.</t>
  </si>
  <si>
    <t>FWE_B is high impedance and can be left unconnected.</t>
  </si>
  <si>
    <t>ADV_B is high impedance and can be left unconnected.</t>
  </si>
  <si>
    <t>RS0 and RS1 are high impedance and can be left unconnected.</t>
  </si>
  <si>
    <t>Connect each mode pin either directly or via a 1 kΩ (or stronger) resistor to VCCO_0 or GND. M[2:0] = 111</t>
  </si>
  <si>
    <t>Connect CCLK to an external configuration clock source. CCLK is an input that receives the slave serial configuration clock signal.</t>
  </si>
  <si>
    <t xml:space="preserve">For an upstream device in a serial configuration daisy-chain, connect DOUT to the DIN of the downstream slave-serial FPGA. Otherwise, DOUT_CSO_B is high impedance and can be left unconnected. </t>
  </si>
  <si>
    <t>D00_MOSI is ignored and kept in a high-impedance state during configuration. It can be left unconnected.</t>
  </si>
  <si>
    <t>Connect each mode pin either directly or via a 1 kΩ (or stronger) resistor to VCCO_0 or GND. M[2:0] = 000</t>
  </si>
  <si>
    <t>Connect each mode pin either directly or via a 1 kΩ (or stronger) resistor to VCCO_0 or GND. M[2:0] = 001</t>
  </si>
  <si>
    <t>Connect INIT_B to a 4.7 kΩ (or stronger) pull-up resistor to VCCO_0 to ensure clean Low-to-High transitions.
If the SPI flash has an active-Low reset input pin, also connect INIT_B to the SPI flash reset pin. (Most SPI flash do NOT have a reset pin.)</t>
  </si>
  <si>
    <t>Connect CCLK to the SPI flash clock input pin. CCLK is an output.</t>
  </si>
  <si>
    <t>DOUT_CSO_B is high impedance and can be left unconnected.</t>
  </si>
  <si>
    <t>Connect each mode pin either directly or via a 1 kΩ (or stronger) resistor to VCCO_0 or GND. M[2:0] = 100</t>
  </si>
  <si>
    <t>Connect CCLK to the master SelectMAP device's clock input. CCLK is an output that drives the configuration clock signal.</t>
  </si>
  <si>
    <t>For an upstream device in a parallel configuration daisy-chain, connect CSO_B to an external 330Ω pull-up to VCCO_14 and connect to the CSI_B input of the downstream device. Otherwise, DOUT_CSO_B is high impedance and can be left unconnected.</t>
  </si>
  <si>
    <t>Connect each mode pin either directly or via a 1 kΩ (or stronger) resistor to VCCO_0 or GND. M[2:0] = 110</t>
  </si>
  <si>
    <t xml:space="preserve">Connect CCLK to the external configuration clock source. CCLK is an input that receives the slave SelectMAP configuration clock signal. </t>
  </si>
  <si>
    <t>Connect each mode pin either directly or via a 1 kΩ (or stronger) resistor to VCCO_0 or GND. M[2:0] = 010</t>
  </si>
  <si>
    <t>If the BPI flash has a clock input pin and supports synchronous read mode, connect CCLK to the BPI flash clock input pin. Otherwise, leave CCLK unconnected.
CCLK is an output that drives the configuration clock signal.</t>
  </si>
  <si>
    <t>Connect A[00-28] to the BPI flash address pins. A00 is the least significant bit of the FPGA's BPI address bus and must be connected to the least significant bit of the BPI flash's address bus. Check the BPI flash data sheet for the least signficant bit. In BPIx8 mode, the BPI flash LSB pin can be A-1, A0, or A1.
Note: Do not connect, the FPGA's upper address pins that exceed the address bus width of the parallel NOR flash.</t>
  </si>
  <si>
    <t>Connect A[00-28] to the BPI flash address pins. A00 is the least significant bit of the FPGA's BPI address bus and must be connected to the least significant bit of the BPI flash's address bus. Check the BPI flash data sheet for the least signficant bit. In BPIx8 mode, the BPI flash LSB pin can be A-1, A0, or A1.
Note: Do not connect the FPGA's upper address pins that exceed the address bus width of the parallel NOR flash.</t>
  </si>
  <si>
    <t>If flash supports an address valid input: connect the FPGA ADV_B to the parallel NOR flash address valid input pin and connect to an external 4.7 kΩ (or stronger) pull-up resistor to VCCO_15. If flash does not support an address valid input: Do not connect the ADV_B pin, leave unconnected.</t>
  </si>
  <si>
    <t>For basic Fallback control of the BPI address, connect RS0 to the most significant address pin of the BPI flash (instead of connecting the FPGA address pin) and connect RS0 pins to an external 4.7 kΩ (or stronger) pull-up resistor to VCCO_15.  
Otherwise, when the FPGA Fallback feature is not enabled, RS1 and RS0 are high impedance during configuration and can be left unconnected.</t>
  </si>
  <si>
    <t>Connect A[00-28] to the BPI flash address pins. A00 is the least significant bit of the FPGA's BPI address bus and must be connected to the least significant bit of the BPI flash's address bus. Check the BPI flash data sheet for the least signficant bit. In BPIx16 mode, the BPI flash LSB pin can be A0 or A1.
Note: Do not connect the FPGA's upper address pins that exceed the address bus width of the parallel NOR flash.</t>
  </si>
  <si>
    <t>Connect A[00-28] to the BPI flash address pins. A00 is the least significant bit of the FPGA's BPI address bus and must be connected to the least significant bit of the BPI flash's address bus. Check the BPI flash data sheet for the least signficant bit. In BPIx16 mode, the BPI flash LSB pin can be A0 or A1.
Note: Do not connect, the FPGA's upper address pins that exceed the address bus width of the parallel NOR flash.</t>
  </si>
  <si>
    <t>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t>
  </si>
  <si>
    <t>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t>
  </si>
  <si>
    <t>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t>
  </si>
  <si>
    <t>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t>
  </si>
  <si>
    <t>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t>
  </si>
  <si>
    <t>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t>
  </si>
  <si>
    <t>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t>
  </si>
  <si>
    <t>RSVD</t>
  </si>
  <si>
    <t>Use MIG tool.</t>
  </si>
  <si>
    <r>
      <t xml:space="preserve">This pin belongs to the memory byte group 0-3. See UG586, </t>
    </r>
    <r>
      <rPr>
        <i/>
        <sz val="10"/>
        <rFont val="Arial"/>
        <family val="2"/>
      </rPr>
      <t xml:space="preserve">7 Series FPGAs Memory Interface Solutions User Guide </t>
    </r>
    <r>
      <rPr>
        <sz val="10"/>
        <rFont val="Arial"/>
        <family val="2"/>
      </rPr>
      <t>for more information.</t>
    </r>
  </si>
  <si>
    <r>
      <t xml:space="preserve">The DDR DQS strobe pin that belongs to the memory byte group T0–T3. See UG586, </t>
    </r>
    <r>
      <rPr>
        <i/>
        <sz val="10"/>
        <rFont val="Arial"/>
        <family val="2"/>
      </rPr>
      <t>7 Series FPGAs Memory Interface Solutions User Guide</t>
    </r>
    <r>
      <rPr>
        <sz val="10"/>
        <rFont val="Arial"/>
        <family val="2"/>
      </rPr>
      <t xml:space="preserve"> for more information on pin usage. See UG475, </t>
    </r>
    <r>
      <rPr>
        <i/>
        <sz val="10"/>
        <rFont val="Arial"/>
        <family val="2"/>
      </rPr>
      <t>7 Series FPGAs Packaging and Pinout Specification</t>
    </r>
    <r>
      <rPr>
        <sz val="10"/>
        <rFont val="Arial"/>
        <family val="2"/>
      </rPr>
      <t xml:space="preserve"> on locations in the device.</t>
    </r>
  </si>
  <si>
    <r>
      <t xml:space="preserve">If you are using DCI Cascade then see UG471, </t>
    </r>
    <r>
      <rPr>
        <i/>
        <sz val="10"/>
        <rFont val="Arial"/>
        <family val="2"/>
      </rPr>
      <t>7 Series FPGAs SelectIO Resources User Guide</t>
    </r>
    <r>
      <rPr>
        <sz val="10"/>
        <rFont val="Arial"/>
        <family val="2"/>
      </rPr>
      <t>. Make sure the DCI Cascade rules are followed.</t>
    </r>
  </si>
  <si>
    <r>
      <t xml:space="preserve">See XAPP520, </t>
    </r>
    <r>
      <rPr>
        <i/>
        <sz val="10"/>
        <color indexed="63"/>
        <rFont val="Arial"/>
        <family val="2"/>
      </rPr>
      <t xml:space="preserve">Interfacing 7 Series FPGAs High-Performance I/O Banks with 2.5V and 3.3V I/O Standards </t>
    </r>
    <r>
      <rPr>
        <sz val="10"/>
        <color indexed="63"/>
        <rFont val="Arial"/>
        <family val="2"/>
      </rPr>
      <t>for 3.3V translation solutions.</t>
    </r>
  </si>
  <si>
    <t>Use MIG tool to verify pin placement rules.</t>
  </si>
  <si>
    <t>The HR I/O have uncalibrated termination for HSTL and SSTL standards built in. Therefore, external termination is not necessary.</t>
  </si>
  <si>
    <r>
      <t>These are multi-function pins that can support analog inputs or can be used as regular digital I/O. These pins support up to 16 positive input terminals of the differential auxiliary analog input channels (V</t>
    </r>
    <r>
      <rPr>
        <vertAlign val="subscript"/>
        <sz val="9.5"/>
        <rFont val="Palatino"/>
        <family val="1"/>
      </rPr>
      <t>AUXP</t>
    </r>
    <r>
      <rPr>
        <sz val="9.5"/>
        <rFont val="Palatino"/>
        <family val="1"/>
      </rPr>
      <t>/V</t>
    </r>
    <r>
      <rPr>
        <vertAlign val="subscript"/>
        <sz val="9.5"/>
        <rFont val="Palatino"/>
        <family val="1"/>
      </rPr>
      <t>AUXN</t>
    </r>
    <r>
      <rPr>
        <sz val="9.5"/>
        <rFont val="Palatino"/>
        <family val="1"/>
      </rPr>
      <t>). The analog input channels are very flexible and support multiple analog input signal types. When not being used as analog inputs, these pins can be treated like any other digital I/O.</t>
    </r>
  </si>
  <si>
    <r>
      <t>These are multi-function pins that can support analog inputs or can be used as regular digital I/O. These pins support up to 16 negative input terminals of the differential auxiliary analog input channels (V</t>
    </r>
    <r>
      <rPr>
        <vertAlign val="subscript"/>
        <sz val="9.5"/>
        <rFont val="Palatino"/>
        <family val="1"/>
      </rPr>
      <t>AUXP</t>
    </r>
    <r>
      <rPr>
        <sz val="9.5"/>
        <rFont val="Palatino"/>
        <family val="1"/>
      </rPr>
      <t>/V</t>
    </r>
    <r>
      <rPr>
        <vertAlign val="subscript"/>
        <sz val="9.5"/>
        <rFont val="Palatino"/>
        <family val="1"/>
      </rPr>
      <t>AUXN</t>
    </r>
    <r>
      <rPr>
        <sz val="9.5"/>
        <rFont val="Palatino"/>
        <family val="1"/>
      </rPr>
      <t>). The analog input channels are very flexible and support multiple analog input signal types. When not being used as analog inputs, these pins can be treated like any other digital I/O.</t>
    </r>
  </si>
  <si>
    <t>These are the devices that are pin compatible with the device that was chosen.</t>
  </si>
  <si>
    <r>
      <t>Connect to V</t>
    </r>
    <r>
      <rPr>
        <vertAlign val="subscript"/>
        <sz val="10"/>
        <rFont val="Arial"/>
        <family val="2"/>
      </rPr>
      <t>CCAUX</t>
    </r>
    <r>
      <rPr>
        <sz val="10"/>
        <rFont val="Arial"/>
        <family val="2"/>
      </rPr>
      <t xml:space="preserve"> or any available V</t>
    </r>
    <r>
      <rPr>
        <vertAlign val="subscript"/>
        <sz val="10"/>
        <rFont val="Arial"/>
        <family val="2"/>
      </rPr>
      <t>CCO</t>
    </r>
    <r>
      <rPr>
        <sz val="10"/>
        <rFont val="Arial"/>
        <family val="2"/>
      </rPr>
      <t>, but do not require decoupling. If you plan on migration, connect the unbounded I/O banks to the appropriate VCCO supplies. Make sure the voltage limits are followed for the HR and HP I/O's.</t>
    </r>
  </si>
  <si>
    <t>See Power Sequencing in data sheet.</t>
  </si>
  <si>
    <t>See the "Power Supply Ramp Time" table in the family data sheet for details.</t>
  </si>
  <si>
    <t>If migration is planned to a FF package make sure this supply is connected to the correct power supply and the decaps for the destination device are present.</t>
  </si>
  <si>
    <t xml:space="preserve">If migrating to a 7VX330T, bank 13 will become an HR bank.  </t>
  </si>
  <si>
    <t>There are no HP banks in this device.</t>
  </si>
  <si>
    <t>Insufficient or incorrect data selection: Check family, device, and package selections.</t>
  </si>
  <si>
    <t>Insufficient or incorrect data selection: Check device, and package selections.</t>
  </si>
  <si>
    <t>If migrating to a different die, bank 13 will become an HP bank.</t>
  </si>
  <si>
    <t>Insufficient data selection: Check configuration mode.</t>
  </si>
  <si>
    <t>Insufficient data selection: Check device selection.</t>
  </si>
  <si>
    <t>Insufficient data selection: Family information is blank.</t>
  </si>
  <si>
    <t>Insufficient data selection: Device information is blank.</t>
  </si>
  <si>
    <t>Insufficient data selection: Package information is blank.</t>
  </si>
  <si>
    <t>Insufficient or incorrect data selection: Check family, Configuration Mode, and Bank0 Voltage.</t>
  </si>
  <si>
    <t>Insufficient data selection: Check configuration frequency (may be set to 0).</t>
  </si>
  <si>
    <t>Does not apply to selected family.</t>
  </si>
  <si>
    <t>Does not apply to selected family or device.</t>
  </si>
  <si>
    <t>Does not apply to selected family, device, or package.</t>
  </si>
  <si>
    <t>!</t>
  </si>
  <si>
    <t>Macros must be enabled for full functionality.</t>
  </si>
  <si>
    <t>Date</t>
  </si>
  <si>
    <t>Revision</t>
  </si>
  <si>
    <t>(Zynq) PS Power Distribution System</t>
  </si>
  <si>
    <t>See Zynq Documentation Site</t>
  </si>
  <si>
    <t>(Zynq) PS Configuration</t>
  </si>
  <si>
    <t>(Zynq) PS DDR Interface</t>
  </si>
  <si>
    <t>(Zynq) PS MIO Interfaces</t>
  </si>
  <si>
    <t>MIO Interface Type</t>
  </si>
  <si>
    <t>MIO Pin Selection</t>
  </si>
  <si>
    <t>MIO0</t>
  </si>
  <si>
    <t>MIO1</t>
  </si>
  <si>
    <t>MIO2</t>
  </si>
  <si>
    <t>MIO3</t>
  </si>
  <si>
    <t>MIO4</t>
  </si>
  <si>
    <t>MIO5</t>
  </si>
  <si>
    <t>MIO6</t>
  </si>
  <si>
    <t>MIO7</t>
  </si>
  <si>
    <t>MIO8</t>
  </si>
  <si>
    <t>MIO9</t>
  </si>
  <si>
    <t>MIO10</t>
  </si>
  <si>
    <t>MIO11</t>
  </si>
  <si>
    <t>MIO12</t>
  </si>
  <si>
    <t>MIO13</t>
  </si>
  <si>
    <t>MIO14</t>
  </si>
  <si>
    <t>MIO15</t>
  </si>
  <si>
    <t>MIO16</t>
  </si>
  <si>
    <t>MIO17</t>
  </si>
  <si>
    <t>MIO18</t>
  </si>
  <si>
    <t>MIO19</t>
  </si>
  <si>
    <t>MIO20</t>
  </si>
  <si>
    <t>MIO21</t>
  </si>
  <si>
    <t>MIO22</t>
  </si>
  <si>
    <t>MIO23</t>
  </si>
  <si>
    <t>MIO24</t>
  </si>
  <si>
    <t>MIO25</t>
  </si>
  <si>
    <t>MIO26</t>
  </si>
  <si>
    <t>MIO27</t>
  </si>
  <si>
    <t>MIO28</t>
  </si>
  <si>
    <t>MIO29</t>
  </si>
  <si>
    <t>MIO30</t>
  </si>
  <si>
    <t>MIO31</t>
  </si>
  <si>
    <t>MIO32</t>
  </si>
  <si>
    <t>MIO33</t>
  </si>
  <si>
    <t>MIO34</t>
  </si>
  <si>
    <t>MIO35</t>
  </si>
  <si>
    <t>MIO36</t>
  </si>
  <si>
    <t>MIO37</t>
  </si>
  <si>
    <t>MIO38</t>
  </si>
  <si>
    <t>MIO39</t>
  </si>
  <si>
    <t>MIO40</t>
  </si>
  <si>
    <t>MIO41</t>
  </si>
  <si>
    <t>MIO42</t>
  </si>
  <si>
    <t>MIO43</t>
  </si>
  <si>
    <t>MIO44</t>
  </si>
  <si>
    <t>MIO45</t>
  </si>
  <si>
    <t>MIO46</t>
  </si>
  <si>
    <t>MIO47</t>
  </si>
  <si>
    <t>MIO48</t>
  </si>
  <si>
    <t>MIO49</t>
  </si>
  <si>
    <t>MIO50</t>
  </si>
  <si>
    <t>MIO51</t>
  </si>
  <si>
    <t>MIO52</t>
  </si>
  <si>
    <t>MIO53</t>
  </si>
  <si>
    <t>MGTAVCC_G(N)</t>
  </si>
  <si>
    <t>Auxiliary channels 6, 7, 13, 14, and 15 are not supported on Kintex-7 devices.</t>
  </si>
  <si>
    <r>
      <t>This pin can be tied to the system ground via an isolating ferrite bead. In a mixed-signal system this pin should be tied to an analog ground plane if available, in which case the ferrite bead is not required. See the "Analog Power Supply and Ground (V</t>
    </r>
    <r>
      <rPr>
        <vertAlign val="subscript"/>
        <sz val="9.5"/>
        <rFont val="Palatino"/>
        <family val="1"/>
      </rPr>
      <t>CCADC</t>
    </r>
    <r>
      <rPr>
        <sz val="9.5"/>
        <rFont val="Palatino"/>
        <family val="1"/>
      </rPr>
      <t xml:space="preserve"> and GNDADC)" section of UG480, </t>
    </r>
    <r>
      <rPr>
        <i/>
        <sz val="9.5"/>
        <rFont val="Palatino"/>
        <family val="1"/>
      </rPr>
      <t xml:space="preserve">7 Series FPGAs XADC Dual 12-Bit 1MSPS Analog-to-Digital Converter User Guide </t>
    </r>
    <r>
      <rPr>
        <sz val="9.5"/>
        <rFont val="Palatino"/>
        <family val="1"/>
      </rPr>
      <t>for more information. This pin should always be tied to GND even if the XADC is not being used.</t>
    </r>
  </si>
  <si>
    <r>
      <t>This pin should be tied to the GND pin of an external 1.25V accurate reference source (±0.2%) for best performance of the ADCs. It should be treated as an analog signal that together with the V</t>
    </r>
    <r>
      <rPr>
        <vertAlign val="subscript"/>
        <sz val="9.5"/>
        <rFont val="Palatino"/>
        <family val="1"/>
      </rPr>
      <t>REFP_0</t>
    </r>
    <r>
      <rPr>
        <sz val="9.5"/>
        <rFont val="Palatino"/>
        <family val="1"/>
      </rPr>
      <t xml:space="preserve"> signal provides a differential 1.25V voltage. This pin should always be connected to GNDADC even if an external reference is not supplied.</t>
    </r>
  </si>
  <si>
    <t>The recommended power-on sequence is VCCPINT, VCCPAUX and VCCPLL together, then the PS VCCO supplies (VCCO_MIO0, VCCO_MIO1, and VCCO_DDR) to achieve minimum current draw and ensure that the I/Os are 3-stated at power-on. The recommended power-off sequence is the reverse of the power-on sequence.
If VCCPAUX, VCCPLL and the PS VCCO supplies (VCCO_MIO0, VCCO_MIO1, and VCCO_DDR) have the same recommended voltage levels, then they can be powered by the same supply and ramped simultaneously.
Xilinx recommends powering VCCPLL with the same supply as VCCPAUX, with an optional ferrite bead filter.
For VCCO_MIO0 and VCCO_MIO1 voltages of 3.3V:
- The voltage difference between VCCO_MIO0 /VCCO_MIO1 and VCCPAUX must not exceed 2.625V for longer than
TVCCO2VCCAUX for each power-on/off cycle to maintain device reliability levels.
- The TVCCO2VCCAUX time can be allocated in any percentage between the power-on and power-off ramps.</t>
  </si>
  <si>
    <t>The PS and PL power supplies are fully independent. 
There are no sequencing requirements for the PS and PL  power supplies.</t>
  </si>
  <si>
    <t xml:space="preserve">VCCO_DDR/2, 0.01 uF.
They need to be tied to a termination voltage (VTT) equal to VCCO_DDR/2. A resistor divider can be used to generate PS_DDR_VREF0 and PS_DDR_VREF1. A 0.01 uF capacitor shall be added for decoupling.
When no PS DDR memory is used, PS_DDR_VREF0 and PS_DDR_VREF1 shall be left floating. </t>
  </si>
  <si>
    <t>NAND 8BIT</t>
  </si>
  <si>
    <t>NAND 16BIT</t>
  </si>
  <si>
    <t>0, 2, 3, 4, 5, 6, 7, 8, 9, 10, 11, 12, 13, 14</t>
  </si>
  <si>
    <t>NAND 8BIT CS</t>
  </si>
  <si>
    <t>NAND 8BIT ALE</t>
  </si>
  <si>
    <t>NAND 8BIT CLE</t>
  </si>
  <si>
    <t>NAND 8BIT BUSY</t>
  </si>
  <si>
    <t>NAND 16BIT CS</t>
  </si>
  <si>
    <t>NAND 16BIT ALE</t>
  </si>
  <si>
    <t>NAND 16BIT CLE</t>
  </si>
  <si>
    <t>NAND 16BIT BUSY</t>
  </si>
  <si>
    <t>Checklist_Default</t>
  </si>
  <si>
    <t>- Corrected error in ETHERNET0/ETHERNET1 MIO interface</t>
  </si>
  <si>
    <t>- Changed recommendation for PS_DDR_CKE termination</t>
  </si>
  <si>
    <t>- Changed recommendation for PS_MIO_VREF</t>
  </si>
  <si>
    <t>- Changed MGTAVCC_N/S to MGTAVCC_G(N)</t>
  </si>
  <si>
    <t>- Added pins to QSPI MIO interfaces</t>
  </si>
  <si>
    <t>- Updated color scheme</t>
  </si>
  <si>
    <t>- Initial Draft</t>
  </si>
  <si>
    <t>- Added ability to add or remove checklist sheets</t>
  </si>
  <si>
    <t>- Added XC7VX690T-FFG1158 support</t>
  </si>
  <si>
    <t>- Changed connection recommendation for unused MGT receive pins</t>
  </si>
  <si>
    <t>- Removed XC7V1500T and XC7A350T</t>
  </si>
  <si>
    <t>- Added to MRCC and SRCC recommendations</t>
  </si>
  <si>
    <t>- Added to VRN and VRP recommendations</t>
  </si>
  <si>
    <t>- Added 7VX1140T-FLG1926 support</t>
  </si>
  <si>
    <t>- Added 7A200T-SBG484 support</t>
  </si>
  <si>
    <t>- Updated recommendations for MGT pins to show document titles</t>
  </si>
  <si>
    <t>Revision History</t>
  </si>
  <si>
    <t>PS_DDR_VREF0
PS_DDR_VREF1</t>
  </si>
  <si>
    <t>VTT</t>
  </si>
  <si>
    <t>TRACE Data 0:
The clock to data skew should be 2.8ns to center align the clock to the data for all voltages</t>
  </si>
  <si>
    <t>TRACE CLK:
The clock to data skew should be 2.8ns to center align the clock to the data for all voltages</t>
  </si>
  <si>
    <t>TRACE Data 1:
The clock to data skew should be 2.8ns to center align the clock to the data for all voltages</t>
  </si>
  <si>
    <t>TRACE Data 2:
The clock to data skew should be 2.8ns to center align the clock to the data for all voltages</t>
  </si>
  <si>
    <t>TRACE Data 3:
The clock to data skew should be 2.8ns to center align the clock to the data for all voltages</t>
  </si>
  <si>
    <t>TRACE Data 4:
The clock to data skew should be 2.8ns to center align the clock to the data for all voltages</t>
  </si>
  <si>
    <t>TRACE Data 5:
The clock to data skew should be 2.8ns to center align the clock to the data for all voltages</t>
  </si>
  <si>
    <t>TRACE Data 6:
The clock to data skew should be 2.8ns to center align the clock to the data for all voltages</t>
  </si>
  <si>
    <t>TRACE Data 7:
The clock to data skew should be 2.8ns to center align the clock to the data for all voltages</t>
  </si>
  <si>
    <t>TRACE Data 8:
The clock to data skew should be 2.8ns to center align the clock to the data for all voltages</t>
  </si>
  <si>
    <t>TRACE Data 9:
The clock to data skew should be 2.8ns to center align the clock to the data for all voltages</t>
  </si>
  <si>
    <t>TRACE Data 10:
The clock to data skew should be 2.8ns to center align the clock to the data for all voltages</t>
  </si>
  <si>
    <t>TRACE Data 11:
The clock to data skew should be 2.8ns to center align the clock to the data for all voltages</t>
  </si>
  <si>
    <t>TRACE Data 12:
The clock to data skew should be 2.8ns to center align the clock to the data for all voltages</t>
  </si>
  <si>
    <t>TRACE Data 13:
The clock to data skew should be 2.8ns to center align the clock to the data for all voltages</t>
  </si>
  <si>
    <t>TRACE Data 14:
The clock to data skew should be 2.8ns to center align the clock to the data for all voltages</t>
  </si>
  <si>
    <t>TRACE Data 15:
The clock to data skew should be 2.8ns to center align the clock to the data for all voltages</t>
  </si>
  <si>
    <t>- Added recommendations for MIO interface pins</t>
  </si>
  <si>
    <t>Note: All skew numbers refer to matching on the PCB. There is no need to incorporate the package when deskewing.</t>
  </si>
  <si>
    <t>CAN0 CLK:
Match delay to other CAN lines (± 9ps).</t>
  </si>
  <si>
    <t>CAN 1 CLK:
Match delay to other CAN lines (± 9ps).</t>
  </si>
  <si>
    <t>TTC0 Wave Out:
Match delay to CLK line (± 9ps).</t>
  </si>
  <si>
    <t>TTC1 Wave Out:
Match delay to CLK line (± 9ps).</t>
  </si>
  <si>
    <t>SWDT Clock In:
Match delay to Reset line (± 9ps).</t>
  </si>
  <si>
    <t>ETHERNET MDIO CLK:
Match delay to MDIO IO line (± 9ps).</t>
  </si>
  <si>
    <t>TTC0 CLK In:
Match delay to WaveOut line (± 9ps).</t>
  </si>
  <si>
    <t>TTC1 Clock In:
Match delay to WaveOut line (± 9ps).</t>
  </si>
  <si>
    <t>SWDT Reset Out:
Match delay to Clock line (± 9ps).</t>
  </si>
  <si>
    <t>ETHERNET MDIO IO:
Match delay to MDIO CLK line (± 9ps).</t>
  </si>
  <si>
    <t>NOR/SRAM Data 0:
Match delay to WE, RE, and BUSY lines (± 9ps).</t>
  </si>
  <si>
    <t>NAND 8BIT WE_B:
Match delay to RE_B and DATA lines (± 9ps).</t>
  </si>
  <si>
    <t>NAND 16BIT WE_B:
Match delay to RE_B and DATA lines (± 9ps).</t>
  </si>
  <si>
    <t>NOR/SRAM Data 1:
Match delay to WE, RE, and BUSY lines (± 9ps).</t>
  </si>
  <si>
    <t>NAND 8BIT I/O 2:
Match delay to WE and RE_B lines (± 9ps).</t>
  </si>
  <si>
    <t>NAND 16BIT I/O 2:
Match delay to WE and RE_B lines (± 9ps).</t>
  </si>
  <si>
    <t>NOR/SRAM Data 2:
Match delay to WE, RE, and BUSY lines (± 9ps).</t>
  </si>
  <si>
    <t>NAND 8BIT iI/O 0:
Match delay to WE_B and RE_B lines (± 9ps).</t>
  </si>
  <si>
    <t>NAND 16BIT iI/O 0:
Match delay to WE_B and RE_B lines (± 9ps).</t>
  </si>
  <si>
    <t>NOR/SRAM Data 3:
Match delay to WE, RE, and BUSY lines (± 9ps).</t>
  </si>
  <si>
    <t>NAND 8BIT I/O 1:
Match delay to WE_B and RE_B lines (± 9ps).</t>
  </si>
  <si>
    <t>NAND 16BIT I/O 1:
Match delay to WE_B and RE_B lines (± 9ps).</t>
  </si>
  <si>
    <t>NOR/SRAM Write Enable:
Match delay to RE, BUSY, and DATA lines (± 9ps).</t>
  </si>
  <si>
    <t>NAND 8BIT RE_B:
Match delay to WE_B and DATA lines (± 9ps).</t>
  </si>
  <si>
    <t>NAND 16BIT RE_B:
Match delay to WE_B and DATA lines (± 9ps).</t>
  </si>
  <si>
    <t>NOR/SRAM Data 6:
Match delay to WE, RE, and BUSY lines (± 9ps).</t>
  </si>
  <si>
    <t>NAND 8BIT I/O 4:
Match delay to WE_B and RE_B  lines (± 9ps).</t>
  </si>
  <si>
    <t>NAND 16BIT I/O 4:
Match delay to WE_B and RE_B  lines (± 9ps).</t>
  </si>
  <si>
    <t>NOR/SRAM Data 7:
Match delay to WE, RE, and BUSY lines (± 9ps).</t>
  </si>
  <si>
    <t>NAND 8BIT I/O 5:
Match delay to WE_B and RE_B  lines (± 9ps).</t>
  </si>
  <si>
    <t>NAND 16BIT I/O 5:
Match delay to WE_B and RE_B  lines (± 9ps).</t>
  </si>
  <si>
    <t>NOR/SRAM Data 4:
Match delay to WE, RE, and BUSY lines (± 9ps).</t>
  </si>
  <si>
    <t>NAND 8BIT I/O 6:
Match delay to WE_B and RE_B  lines (± 9ps).</t>
  </si>
  <si>
    <t>NAND 16BIT I/O 6:
Match delay to WE_B and RE_B  lines (± 9ps).</t>
  </si>
  <si>
    <t>NAND 8BIT I/O 7:
Match delay to WE_B and RE_B  lines (± 9ps).</t>
  </si>
  <si>
    <t>NAND 16BIT I/O 7:
Match delay to WE_B and RE_B  lines (± 9ps).</t>
  </si>
  <si>
    <t>NOR/SRAM Data 5:
Match delay to WE, RE, and BUSY lines (± 9ps).</t>
  </si>
  <si>
    <t>NAND 8BIT I/O 3:
Match delay to WE_B and RE_B  lines (± 9ps).</t>
  </si>
  <si>
    <t>NAND 16BIT I/O 3:
Match delay to WE_B and RE_B  lines (± 9ps).</t>
  </si>
  <si>
    <t>NOR/SRAM Address 0:
Match delay to other NOR ADDRESS lines (± 9ps).</t>
  </si>
  <si>
    <t>NOR/SRAM Address 1:
Match delay to other NOR ADDRESS lines (± 9ps).</t>
  </si>
  <si>
    <t>NAND 16BIT I/O 8:
Match delay to WE_B and RE_B  lines (± 9ps).</t>
  </si>
  <si>
    <t>NOR/SRAM Address 2:
Match delay to other NOR ADDRESS lines (± 9ps).</t>
  </si>
  <si>
    <t>NAND 16BIT I/O 9:
Match delay to WE_B and RE_B  lines (± 9ps).</t>
  </si>
  <si>
    <t>NOR/SRAM Address 3:
Match delay to other NOR ADDRESS lines (± 9ps).</t>
  </si>
  <si>
    <t>NAND 16BIT I/O 10:
Match delay to WE_B and RE_B  lines (± 9ps).</t>
  </si>
  <si>
    <t>NOR/SRAM Address 4:
Match delay to other NOR ADDRESS lines (± 9ps).</t>
  </si>
  <si>
    <t>NAND 16BIT I/O 11:
Match delay to WE_B and RE_B  lines (± 9ps).</t>
  </si>
  <si>
    <t>NOR/SRAM Address 5:
Match delay to other NOR ADDRESS lines (± 9ps).</t>
  </si>
  <si>
    <t>NAND 16BIT I/O 12:
Match delay to WE_B and RE_B  lines (± 9ps).</t>
  </si>
  <si>
    <t>NOR/SRAM Address 6:
Match delay to other NOR ADDRESS lines (± 9ps).</t>
  </si>
  <si>
    <t>NAND 16BIT I/O 13:
Match delay to WE_B and RE_B  lines (± 9ps).</t>
  </si>
  <si>
    <t>NOR/SRAM Address 7:
Match delay to other NOR ADDRESS lines (± 9ps).</t>
  </si>
  <si>
    <t>NAND 16BIT I/O 14:
Match delay to WE_B and RE_B  lines (± 9ps).</t>
  </si>
  <si>
    <t>NOR/SRAM Address 8:
Match delay to other NOR ADDRESS lines (± 9ps).</t>
  </si>
  <si>
    <t>NAND 16BIT I/O 15:
Match delay to WE_B and RE_B  lines (± 9ps).</t>
  </si>
  <si>
    <t>NOR/SRAM Address 9:
Match delay to other NOR ADDRESS lines (± 9ps).</t>
  </si>
  <si>
    <t>NOR/SRAM Address 10:
Match delay to other NOR ADDRESS lines (± 9ps).</t>
  </si>
  <si>
    <t>NOR/SRAM Address 11:
Match delay to other NOR ADDRESS lines (± 9ps).</t>
  </si>
  <si>
    <t>NOR/SRAM Address 12:
Match delay to other NOR ADDRESS lines (± 9ps).</t>
  </si>
  <si>
    <t>NOR/SRAM Address 13:
Match delay to other NOR ADDRESS lines (± 9ps).</t>
  </si>
  <si>
    <t>NOR/SRAM Address 14:
Match delay to other NOR ADDRESS lines (± 9ps).</t>
  </si>
  <si>
    <t>NOR/SRAM Address 15:
Match delay to other NOR ADDRESS lines (± 9ps).</t>
  </si>
  <si>
    <t>NOR/SRAM Address 16:
Match delay to other NOR ADDRESS lines (± 9ps).</t>
  </si>
  <si>
    <t>NOR/SRAM Address 17:
Match delay to other NOR ADDRESS lines (± 9ps).</t>
  </si>
  <si>
    <t>NOR/SRAM Address 18:
Match delay to other NOR ADDRESS lines (± 9ps).</t>
  </si>
  <si>
    <t>NOR/SRAM Address 19:
Match delay to other NOR ADDRESS lines (± 9ps).</t>
  </si>
  <si>
    <t>NOR/SRAM Address 20:
Match delay to other NOR ADDRESS lines (± 9ps).</t>
  </si>
  <si>
    <t>NOR/SRAM Address 21:
Match delay to other NOR ADDRESS lines (± 9ps).</t>
  </si>
  <si>
    <t>NOR/SRAM Address 22:
Match delay to other NOR ADDRESS lines (± 9ps).</t>
  </si>
  <si>
    <t>NOR/SRAM Address 23:
Match delay to other NOR ADDRESS lines (± 9ps).</t>
  </si>
  <si>
    <t>NOR/SRAM Address 24:
Match delay to other NOR ADDRESS lines (± 9ps).</t>
  </si>
  <si>
    <t>- Updated recommendations for all MIO interface pins (changed 50 ps to 9 ps)</t>
  </si>
  <si>
    <r>
      <t xml:space="preserve">·Use AC coupling capacitors for connection to oscillator.
·For AC coupling capacitors, see "Reference Clock Interface" section of UG482, </t>
    </r>
    <r>
      <rPr>
        <i/>
        <sz val="10"/>
        <rFont val="Arial"/>
        <family val="2"/>
      </rPr>
      <t>7 Series FPGAs GTP Transceivers User Guide</t>
    </r>
    <r>
      <rPr>
        <sz val="10"/>
        <rFont val="Arial"/>
        <family val="2"/>
      </rPr>
      <t xml:space="preserve">.
·Reference clock traces should be provided enough clearance to eliminate crosstalk from adjacent signals.
·Reference clock oscillator output must comply with the min/max input amplitude requirements for these input pins.  See DS181, </t>
    </r>
    <r>
      <rPr>
        <i/>
        <sz val="10"/>
        <rFont val="Arial"/>
        <family val="2"/>
      </rPr>
      <t>Aritix-7 FPGAs Data Sheet: DC and Switching Characteristics</t>
    </r>
    <r>
      <rPr>
        <sz val="10"/>
        <rFont val="Arial"/>
        <family val="2"/>
      </rPr>
      <t>.
·If reference clock input is not used leave the associated pin pair unconnected.</t>
    </r>
  </si>
  <si>
    <t>- Changed recommendation for VCCPLL</t>
  </si>
  <si>
    <t>The Project Info page gives an overview of the schematic that is being reviewed and the person(s) performing the review. It also contains the Purpose and Disclaimer paragraphs.</t>
  </si>
  <si>
    <t>The Checklist pages contain some of the more common items that should be checked. In some cases, these items might not apply to a specific schematic review and can be deleted. In other cases, there might be additional items that need to be checked. In that case, the user can add a line to the end of the worksheet.</t>
  </si>
  <si>
    <t>7Z100</t>
  </si>
  <si>
    <t>In several cells, there are Xilinx recommendations containing question marks (e.g., ? of ?? mF cap ). The question marks are intended to remind the user to replace the '?' with the appropriate value. In this example, the number of caps and the value of those caps need to be recorded.</t>
  </si>
  <si>
    <t>110,111,112,113,114,115,116,117,118,119,210,211,212,213,214,215,216,217,218,219</t>
  </si>
  <si>
    <t>- Added NAND 8BIT MIO interface</t>
  </si>
  <si>
    <t>- Updated decoupling capacitor recommendation to match user guide</t>
  </si>
  <si>
    <t>- Changed capacitor recommendations for MGT pins</t>
  </si>
  <si>
    <t>- Added support for 7Z030, 7Z045, and 7Z100 devices</t>
  </si>
  <si>
    <t>If there is no requirement to use the decryptor key from the volatile key storage area, connect this pin to GND or VCCAUX. If the decryptor key is being used, the voltage must be between 1.0V and 1.89V.</t>
  </si>
  <si>
    <t>PS Configuration Boot Mode</t>
  </si>
  <si>
    <t>- Moved recommendations for PS_DDR pins to the PS_DDR section</t>
  </si>
  <si>
    <t>- Changed VCCBATT maximum voltage to 1.89 V</t>
  </si>
  <si>
    <t>- Updated Zynq-7000 decoupling capacitor recommendations for VCCo</t>
  </si>
  <si>
    <t>- Changed configuration mode for Zynq-7000</t>
  </si>
  <si>
    <t>Voltage reference for the MIO interface.
When the MIO interface is configured for RGMII, set to one half of VCCO_MIO1. A resistor divider can be used to generate PS_MIO_VREF. In any other case, tie to VCCO_MIO1 or leave floating.
Decouple with 0.01 uF.</t>
  </si>
  <si>
    <t>- Updated PS_MIO_VREF recommendations</t>
  </si>
  <si>
    <t>- Updated Ethernet MIO interface pin recommendations</t>
  </si>
  <si>
    <t>ETHERNET0 TX Data 0:
Match delay to other TX data lines (± 9ps).
RGMII without internal delays:
- Skew should be less than 100 ps including package
time
RGMII with internal delays (RGMII-ID):
- Skew should be less than ± 50 ps including package
time</t>
  </si>
  <si>
    <t>ETHERNET1 TX Data 0:
Match delay to other TX data lines (± 9ps).
RGMII without internal delays:
- Skew should be less than 100 ps including package
time
RGMII with internal delays (RGMII-ID):
- Skew should be less than ± 50 ps including package
time</t>
  </si>
  <si>
    <t>ETHERNET0 TX Data 1:
Match delay to other TX data lines (± 9ps).
RGMII without internal delays:
- Skew should be less than 100 ps including package
time
RGMII with internal delays (RGMII-ID):
- Skew should be less than ± 50 ps including package
time</t>
  </si>
  <si>
    <t>ETHERNET1 TX Data 1:
Match delay to other TX data lines (± 9ps).
RGMII without internal delays:
- Skew should be less than 100 ps including package
time
RGMII with internal delays (RGMII-ID):
- Skew should be less than ± 50 ps including package
time</t>
  </si>
  <si>
    <t>ETHERNET0 TX Data 2:
Match delay to other TX data lines (± 9ps).
RGMII without internal delays:
- Skew should be less than 100 ps including package
time
RGMII with internal delays (RGMII-ID):
- Skew should be less than ± 50 ps including package
time</t>
  </si>
  <si>
    <t>ETHERNET1 TX Data 2:
Match delay to other TX data lines (± 9ps).
RGMII without internal delays:
- Skew should be less than 100 ps including package
time
RGMII with internal delays (RGMII-ID):
- Skew should be less than ± 50 ps including package
time</t>
  </si>
  <si>
    <t>ETHERNET0 TX Data 3:
Match delay to other TX data lines (± 9ps).
RGMII without internal delays:
- Skew should be less than 100 ps including package
time
RGMII with internal delays (RGMII-ID):
- Skew should be less than ± 50 ps including package
time</t>
  </si>
  <si>
    <t>ETHERNET1 TX Data 3:
Match delay to other TX data lines (± 9ps).
RGMII without internal delays:
- Skew should be less than 100 ps including package
time
RGMII with internal delays (RGMII-ID):
- Skew should be less than ± 50 ps including package
time</t>
  </si>
  <si>
    <t>ETHERNET0 TX CTL
RGMII without internal delays:
- Skew should be less than 100 ps including package
time
RGMII with internal delays (RGMII-ID):
- Skew should be less than ± 50 ps including package
time</t>
  </si>
  <si>
    <t>ETHERNET1 TX CTL
RGMII without internal delays:
- Skew should be less than 100 ps including package
time
RGMII with internal delays (RGMII-ID):
- Skew should be less than ± 50 ps including package
time</t>
  </si>
  <si>
    <t>ETHERNET0 RX Data 0:
Match delay to other RX data lines (± 9ps).
RGMII without internal delays:
- Skew should be less than 100 ps including package
time
RGMII with internal delays (RGMII-ID):
- Skew should be less than ± 50 ps including package
time</t>
  </si>
  <si>
    <t>ETHERNET1 RX Data 0:
Match delay to other RX data lines (± 9ps).
RGMII without internal delays:
- Skew should be less than 100 ps including package
time
RGMII with internal delays (RGMII-ID):
- Skew should be less than ± 50 ps including package
time</t>
  </si>
  <si>
    <t>ETHERNET0 RX Data 1:
Match delay to other RX data lines (± 9ps).
RGMII without internal delays:
- Skew should be less than 100 ps including package
time
RGMII with internal delays (RGMII-ID):
- Skew should be less than ± 50 ps including package
time</t>
  </si>
  <si>
    <t>ETHERNET1 RX Data 1:
Match delay to other RX data lines (± 9ps).
RGMII without internal delays:
- Skew should be less than 100 ps including package
time
RGMII with internal delays (RGMII-ID):
- Skew should be less than ± 50 ps including package
time</t>
  </si>
  <si>
    <t>ETHERNET0 RX Data 2:
Match delay to other RX data lines (± 9ps).
RGMII without internal delays:
- Skew should be less than 100 ps including package
time
RGMII with internal delays (RGMII-ID):
- Skew should be less than ± 50 ps including package
time</t>
  </si>
  <si>
    <t>ETHERNET1 RX Data 2:
Match delay to other RX data lines (± 9ps).
RGMII without internal delays:
- Skew should be less than 100 ps including package
time
RGMII with internal delays (RGMII-ID):
- Skew should be less than ± 50 ps including package
time</t>
  </si>
  <si>
    <t>ETHERNET0 RX Data 3:
Match delay to other RX data lines (± 9ps).
RGMII without internal delays:
- Skew should be less than 100 ps including package
time
RGMII with internal delays (RGMII-ID):
- Skew should be less than ± 50 ps including package
time</t>
  </si>
  <si>
    <t>ETHERNET1 RX Data 3:
Match delay to other RX data lines (± 9ps).
RGMII without internal delays:
- Skew should be less than 100 ps including package
time
RGMII with internal delays (RGMII-ID):
- Skew should be less than ± 50 ps including package
time</t>
  </si>
  <si>
    <t>ETHERNET0 RX CTL
RGMII without internal delays:
- Skew should be less than 100 ps including package
time
RGMII with internal delays (RGMII-ID):
- Skew should be less than ± 50 ps including package
time</t>
  </si>
  <si>
    <t>ETHERNET1 RX CTL
RGMII without internal delays:
- Skew should be less than 100 ps including package
time
RGMII with internal delays (RGMII-ID):
- Skew should be less than ± 50 ps including package
time</t>
  </si>
  <si>
    <t>Data from 4/18/2013</t>
  </si>
  <si>
    <t>13,14,15,16,33,34,35,36</t>
  </si>
  <si>
    <t>113,114,115,213,214,215</t>
  </si>
  <si>
    <t>113,114,115,116,117,118,213,214,215,216,217,218</t>
  </si>
  <si>
    <t>13,14,15,16,17,18,33,34,35,36,37,38</t>
  </si>
  <si>
    <t>13,14,15,33,34,35</t>
  </si>
  <si>
    <t>13,14,15,16,17,18,32,33,34,35,36,37,38</t>
  </si>
  <si>
    <t>- Added support for 7VH580T and 7VH870T devices</t>
  </si>
  <si>
    <t>7Z015</t>
  </si>
  <si>
    <t>- Added support for CLG485 package for 7Z015 device</t>
  </si>
  <si>
    <t>- Added support for SBG485 package for 7Z030 device</t>
  </si>
  <si>
    <t>- Added decoupling capacitor values for SBG484 package for 7A200T device</t>
  </si>
  <si>
    <r>
      <t>200 µS &lt; V</t>
    </r>
    <r>
      <rPr>
        <vertAlign val="subscript"/>
        <sz val="10"/>
        <rFont val="Arial"/>
        <family val="2"/>
      </rPr>
      <t>CCINT</t>
    </r>
    <r>
      <rPr>
        <sz val="10"/>
        <rFont val="Arial"/>
        <family val="2"/>
      </rPr>
      <t xml:space="preserve">  ramp &lt; 50 mS
200 µS &lt; V</t>
    </r>
    <r>
      <rPr>
        <vertAlign val="subscript"/>
        <sz val="10"/>
        <rFont val="Arial"/>
        <family val="2"/>
      </rPr>
      <t>CCAUX</t>
    </r>
    <r>
      <rPr>
        <sz val="10"/>
        <rFont val="Arial"/>
        <family val="2"/>
      </rPr>
      <t xml:space="preserve"> ramp &lt; 50 mS
200 µS &lt; V</t>
    </r>
    <r>
      <rPr>
        <vertAlign val="subscript"/>
        <sz val="10"/>
        <rFont val="Arial"/>
        <family val="2"/>
      </rPr>
      <t>CCO</t>
    </r>
    <r>
      <rPr>
        <sz val="10"/>
        <rFont val="Arial"/>
        <family val="2"/>
      </rPr>
      <t xml:space="preserve">    ramp &lt; 50 mS
200 µS &lt; VCCBRAM    ramp &lt; 50 mS
200 µS &lt; VCCAUX_IO    ramp &lt; 50 mS
200 µS &lt; MGTAVCC    ramp &lt; 50 mS
200 µS &lt; MGTAVTT    ramp &lt; 50 mS
200 µS &lt; MGTVCCAUX    ramp &lt; 50 mS
VCCO2VCCAUX &lt; 300 mS @ TJ 125C
VCCO2VCCAUX &lt; 500 mS @ TJ 100C
VCCO2VCCAUX &lt; 800 mS @ TJ 85C</t>
    </r>
  </si>
  <si>
    <t>- Added to power supply ramp time</t>
  </si>
  <si>
    <t>- Fixed reversal of IIC clock and data MIO pin numbers</t>
  </si>
  <si>
    <t>MGTZREFCLK0P
MGTZREFCLK0N 
MGTZREFCLK1P
MGTZREFCLK1N</t>
  </si>
  <si>
    <t>MGTZRXP0/MGTZRXN0 
MGTZRXP1/MGTZRXN1 
MGTZRXP2/MGTZRXN2 
MGTZRXP3/MGTZRXN3</t>
  </si>
  <si>
    <t>MGTZTXP0/MGTZTXN0
MGTZTXP1/MGTZTXN1
MGTZTXP2/MGTZTXN2 
MGTZTXP3/MGTZTXN3</t>
  </si>
  <si>
    <t>MGTZAVCC</t>
  </si>
  <si>
    <t>MGTZVCCH</t>
  </si>
  <si>
    <t>MGTZVCCL</t>
  </si>
  <si>
    <t>MGTZAGND</t>
  </si>
  <si>
    <t>MGTZ_SENSE_AGND</t>
  </si>
  <si>
    <t>MGTZ_SENSE_AVCC</t>
  </si>
  <si>
    <t>MGTZ_SENSE_VCCH</t>
  </si>
  <si>
    <t>MGTZ_SENSE_VCCL</t>
  </si>
  <si>
    <t>MGTZ_SENSE_VCC</t>
  </si>
  <si>
    <t>MGTZ_THERM_IN</t>
  </si>
  <si>
    <t>MGTZ_THERM_OUT</t>
  </si>
  <si>
    <t>MGTZ_OBS_CLK_P/MGTZ_OBS_CLK_N</t>
  </si>
  <si>
    <t>The GTZ Reference Clock input circuit is powered by MGTZAVCC. Excessive noise on this supply will have a negative impact on the performance of any GTZ OCTAL that uses the reference clock from this circuit.</t>
  </si>
  <si>
    <r>
      <t xml:space="preserve">·There are AC coupling capacitors on reference clock path internally, and external AC coupling on the REFCLK oscillator output is prohibited.
·Reference clock traces should be provided enough clearance to eliminate crosstalk from adjacent signals.
·Reference clock oscillator output must comply with the min/max input amplitude requirements for these input pins.  See "GTZ Transceiver Clock DC Input Level Specifications" in DS184, </t>
    </r>
    <r>
      <rPr>
        <i/>
        <sz val="10"/>
        <rFont val="Arial"/>
        <family val="2"/>
      </rPr>
      <t>Virtex-7 HT FPGAs Data Sheet: DC and Switching Characteristics</t>
    </r>
    <r>
      <rPr>
        <sz val="10"/>
        <rFont val="Arial"/>
        <family val="2"/>
      </rPr>
      <t>.
·If reference clock input is not used leave the associated pin pair unconnected.</t>
    </r>
  </si>
  <si>
    <t>·Use AC coupling capacitors for connection to transmitter. The recommended value for AC coupling capacitors is 10nF.
·Connect with a differential trace impedance of 100 ohms.
·Receiver data traces should be provided enough clearance to eliminate crosstalk from adjacent signals.
·If a receiver is not used leave the associated pin pair unconnected.</t>
  </si>
  <si>
    <t>·Connect with a differential trace impedance of 100 ohms.
·Transmitter data traces should be provided enough clearance to eliminate crosstalk from adjacent signals.
·If a transmitter is not used leave the associated pin pair unconnected.</t>
  </si>
  <si>
    <t>Use as reference for MGTZAVCC power supply regulation.</t>
  </si>
  <si>
    <t>Use as reference for MGTZVCCH power supply regulation.</t>
  </si>
  <si>
    <t>Use as reference for MGTZVCCL power supply regulation.</t>
  </si>
  <si>
    <t>Use as reference for GTZ analog supplies (MGTZAVCC. MGTZVCCH. MGTZVCCL).</t>
  </si>
  <si>
    <t>MGTZ</t>
  </si>
  <si>
    <t>GTZ</t>
  </si>
  <si>
    <t>Use as ground reference for power supply regulation.</t>
  </si>
  <si>
    <t>- Added section for MGTZ recommendations</t>
  </si>
  <si>
    <t>Leave unconnected.</t>
  </si>
  <si>
    <t>·Temperature sensing diode anode.
·To use the thermal diode an appropriate external thermal monitoring IC must be added. Consult the external thermal monitoring IC data sheet for usage guidelines.</t>
  </si>
  <si>
    <t>·Temperature sensing diode cathode.
·To use the thermal diode an appropriate external thermal monitoring IC must be added. Consult the external thermal monitoring IC data sheet for usage guidelines.</t>
  </si>
  <si>
    <t>Can be used as reference for VCCINT power supply regulation. Otherwise, leave unconnected.</t>
  </si>
  <si>
    <t>Device does not have MGTZ</t>
  </si>
  <si>
    <t>No GTs exist in this device.</t>
  </si>
  <si>
    <t>No GTZs exist in this device.</t>
  </si>
  <si>
    <t>7A35T</t>
  </si>
  <si>
    <t>7A50T</t>
  </si>
  <si>
    <t>7A75T</t>
  </si>
  <si>
    <t>- Added support for 7A35T, 7A50T, and 7A75T devices</t>
  </si>
  <si>
    <t>- Added function to hide sections that are not used by selected family/device/package</t>
  </si>
  <si>
    <t>- Updated recommendation for Zynq DDR Termination</t>
  </si>
  <si>
    <t>13.34,35</t>
  </si>
  <si>
    <t>JTAG (Only) (Mode 101)Artix-73.3</t>
  </si>
  <si>
    <t>JTAG (Only) (Mode 101)Artix-72.5</t>
  </si>
  <si>
    <t>JTAG (Only) (Mode 101)Artix-71.8</t>
  </si>
  <si>
    <t>JTAG (Only) (Mode 101)Artix-71.5</t>
  </si>
  <si>
    <t>JTAG (Only) (Mode 101)Artix-71.2</t>
  </si>
  <si>
    <t>JTAG (Only) (Mode 101)Artix-70</t>
  </si>
  <si>
    <t>JTAG (Only) (Mode 101)Kintex-73.3</t>
  </si>
  <si>
    <t>JTAG (Only) (Mode 101)Kintex-72.5</t>
  </si>
  <si>
    <t>JTAG (Only) (Mode 101)Kintex-71.8</t>
  </si>
  <si>
    <t>JTAG (Only) (Mode 101)Kintex-71.5</t>
  </si>
  <si>
    <t>JTAG (Only) (Mode 101)Kintex-71.2</t>
  </si>
  <si>
    <t>JTAG (Only) (Mode 101)Kintex-70</t>
  </si>
  <si>
    <t>JTAG (Only) (Mode 101)Virtex-73.3</t>
  </si>
  <si>
    <t>JTAG (Only) (Mode 101)Virtex-72.5</t>
  </si>
  <si>
    <t>JTAG (Only) (Mode 101)Virtex-71.8</t>
  </si>
  <si>
    <t>JTAG (Only) (Mode 101)Virtex-71.5</t>
  </si>
  <si>
    <t xml:space="preserve">For Virtex-7 T and XT devices, connect to GND.
For Virtex-7 HT devices, UNSUPPORTED bank 0 voltage selection. </t>
  </si>
  <si>
    <t>JTAG (Only) (Mode 101)Virtex-71.2</t>
  </si>
  <si>
    <t>JTAG (Only) (Mode 101)Virtex-70</t>
  </si>
  <si>
    <t>Slave Serial (and JTAG) (Mode 111)Artix-73.3</t>
  </si>
  <si>
    <t>Slave Serial (and JTAG) (Mode 111)Artix-72.5</t>
  </si>
  <si>
    <t>Slave Serial (and JTAG) (Mode 111)Artix-71.8</t>
  </si>
  <si>
    <t>Slave Serial (and JTAG) (Mode 111)Artix-71.5</t>
  </si>
  <si>
    <t>Slave Serial (and JTAG) (Mode 111)Artix-71.2</t>
  </si>
  <si>
    <t>Slave Serial (and JTAG) (Mode 111)Artix-70</t>
  </si>
  <si>
    <t>Slave Serial (and JTAG) (Mode 111)Kintex-73.3</t>
  </si>
  <si>
    <t>Slave Serial (and JTAG) (Mode 111)Kintex-72.5</t>
  </si>
  <si>
    <t>Slave Serial (and JTAG) (Mode 111)Kintex-71.8</t>
  </si>
  <si>
    <t>Slave Serial (and JTAG) (Mode 111)Kintex-71.5</t>
  </si>
  <si>
    <t>Slave Serial (and JTAG) (Mode 111)Kintex-71.2</t>
  </si>
  <si>
    <t>Slave Serial (and JTAG) (Mode 111)Kintex-70</t>
  </si>
  <si>
    <t>Slave Serial (and JTAG) (Mode 111)Virtex-73.3</t>
  </si>
  <si>
    <t>Slave Serial (and JTAG) (Mode 111)Virtex-72.5</t>
  </si>
  <si>
    <t>Slave Serial (and JTAG) (Mode 111)Virtex-71.8</t>
  </si>
  <si>
    <t>Slave Serial (and JTAG) (Mode 111)Virtex-71.5</t>
  </si>
  <si>
    <t>Slave Serial (and JTAG) (Mode 111)Virtex-71.2</t>
  </si>
  <si>
    <t>Slave Serial (and JTAG) (Mode 111)Virtex-70</t>
  </si>
  <si>
    <t>PS Configuration Boot ModeZynq-70003.3</t>
  </si>
  <si>
    <t>PS Configuration Boot ModeZynq-70002.5</t>
  </si>
  <si>
    <t>PS Configuration Boot ModeZynq-70001.8</t>
  </si>
  <si>
    <t>PS Configuration Boot ModeZynq-70001.5</t>
  </si>
  <si>
    <t>PS Configuration Boot ModeZynq-70001.2</t>
  </si>
  <si>
    <t>PS Configuration Boot ModeZynq-70000</t>
  </si>
  <si>
    <t>Master Serial (and JTAG) (Mode 000)Artix-73.3</t>
  </si>
  <si>
    <t>Master Serial (and JTAG) (Mode 000)Artix-72.5</t>
  </si>
  <si>
    <t>Master Serial (and JTAG) (Mode 000)Artix-71.8</t>
  </si>
  <si>
    <t>Master Serial (and JTAG) (Mode 000)Artix-71.5</t>
  </si>
  <si>
    <t>Master Serial (and JTAG) (Mode 000)Artix-71.2</t>
  </si>
  <si>
    <t>Master Serial (and JTAG) (Mode 000)Artix-70</t>
  </si>
  <si>
    <t>Master Serial (and JTAG) (Mode 000)Kintex-73.3</t>
  </si>
  <si>
    <t>Master Serial (and JTAG) (Mode 000)Kintex-72.5</t>
  </si>
  <si>
    <t>Master Serial (and JTAG) (Mode 000)Kintex-71.8</t>
  </si>
  <si>
    <t>Master Serial (and JTAG) (Mode 000)Kintex-71.5</t>
  </si>
  <si>
    <t>Master Serial (and JTAG) (Mode 000)Kintex-71.2</t>
  </si>
  <si>
    <t>Master Serial (and JTAG) (Mode 000)Kintex-70</t>
  </si>
  <si>
    <t>Master Serial (and JTAG) (Mode 000)Virtex-73.3</t>
  </si>
  <si>
    <t>Master Serial (and JTAG) (Mode 000)Virtex-72.5</t>
  </si>
  <si>
    <t>Master Serial (and JTAG) (Mode 000)Virtex-71.8</t>
  </si>
  <si>
    <t>Master Serial (and JTAG) (Mode 000)Virtex-71.5</t>
  </si>
  <si>
    <t>Master Serial (and JTAG) (Mode 000)Virtex-71.2</t>
  </si>
  <si>
    <t>Master Serial (and JTAG) (Mode 000)Virtex-70</t>
  </si>
  <si>
    <t>Master SPI X1 (and JTAG) (Mode (001)Artix-73.3</t>
  </si>
  <si>
    <t>Master SPI X1 (and JTAG) (Mode (001)Artix-72.5</t>
  </si>
  <si>
    <t>Master SPI X1 (and JTAG) (Mode (001)Artix-71.8</t>
  </si>
  <si>
    <t>Master SPI X1 (and JTAG) (Mode (001)Artix-71.5</t>
  </si>
  <si>
    <t>Master SPI X1 (and JTAG) (Mode (001)Artix-71.2</t>
  </si>
  <si>
    <t>Master SPI X1 (and JTAG) (Mode (001)Artix-70</t>
  </si>
  <si>
    <t>Master SPI X1 (and JTAG) (Mode (001)Kintex-73.3</t>
  </si>
  <si>
    <t>Master SPI X1 (and JTAG) (Mode (001)Kintex-72.5</t>
  </si>
  <si>
    <t>Master SPI X1 (and JTAG) (Mode (001)Kintex-71.8</t>
  </si>
  <si>
    <t>Master SPI X1 (and JTAG) (Mode (001)Kintex-71.5</t>
  </si>
  <si>
    <t>Master SPI X1 (and JTAG) (Mode (001)Kintex-71.2</t>
  </si>
  <si>
    <t>Master SPI X1 (and JTAG) (Mode (001)Kintex-70</t>
  </si>
  <si>
    <t>Master SPI X1 (and JTAG) (Mode (001)Virtex-73.3</t>
  </si>
  <si>
    <t>Master SPI X1 (and JTAG) (Mode (001)Virtex-72.5</t>
  </si>
  <si>
    <t>Master SPI X1 (and JTAG) (Mode (001)Virtex-71.8</t>
  </si>
  <si>
    <t>Master SPI X1 (and JTAG) (Mode (001)Virtex-71.5</t>
  </si>
  <si>
    <t>Master SPI X1 (and JTAG) (Mode (001)Virtex-71.2</t>
  </si>
  <si>
    <t>Master SPI X1 (and JTAG) (Mode (001)Virtex-70</t>
  </si>
  <si>
    <t>Master SPI X2 (and JTAG) (Mode 001)Artix-73.3</t>
  </si>
  <si>
    <t>Master SPI X2 (and JTAG) (Mode 001)Artix-72.5</t>
  </si>
  <si>
    <t>Master SPI X2 (and JTAG) (Mode 001)Artix-71.8</t>
  </si>
  <si>
    <t>Master SPI X2 (and JTAG) (Mode 001)Artix-71.5</t>
  </si>
  <si>
    <t>Master SPI X2 (and JTAG) (Mode 001)Artix-71.2</t>
  </si>
  <si>
    <t>Master SPI X2 (and JTAG) (Mode 001)Artix-70</t>
  </si>
  <si>
    <t>Master SPI X2 (and JTAG) (Mode 001)Kintex-73.3</t>
  </si>
  <si>
    <t>Master SPI X2 (and JTAG) (Mode 001)Kintex-72.5</t>
  </si>
  <si>
    <t>Master SPI X2 (and JTAG) (Mode 001)Kintex-71.8</t>
  </si>
  <si>
    <t>Master SPI X2 (and JTAG) (Mode 001)Kintex-71.5</t>
  </si>
  <si>
    <t>Master SPI X2 (and JTAG) (Mode 001)Kintex-71.2</t>
  </si>
  <si>
    <t>Master SPI X2 (and JTAG) (Mode 001)Kintex-70</t>
  </si>
  <si>
    <t>Master SPI X2 (and JTAG) (Mode 001)Virtex-73.3</t>
  </si>
  <si>
    <t>Master SPI X2 (and JTAG) (Mode 001)Virtex-72.5</t>
  </si>
  <si>
    <t>Master SPI X2 (and JTAG) (Mode 001)Virtex-71.8</t>
  </si>
  <si>
    <t>Master SPI X2 (and JTAG) (Mode 001)Virtex-71.5</t>
  </si>
  <si>
    <t>Master SPI X2 (and JTAG) (Mode 001)Virtex-71.2</t>
  </si>
  <si>
    <t>Master SPI X2 (and JTAG) (Mode 001)Virtex-70</t>
  </si>
  <si>
    <t>Master SPI X4 (and JTAG) (Mode 001)Artix-73.3</t>
  </si>
  <si>
    <t>Master SPI X4 (and JTAG) (Mode 001)Artix-72.5</t>
  </si>
  <si>
    <t>Master SPI X4 (and JTAG) (Mode 001)Artix-71.8</t>
  </si>
  <si>
    <t>Master SPI X4 (and JTAG) (Mode 001)Artix-71.5</t>
  </si>
  <si>
    <t>Master SPI X4 (and JTAG) (Mode 001)Artix-71.2</t>
  </si>
  <si>
    <t>Master SPI X4 (and JTAG) (Mode 001)Artix-70</t>
  </si>
  <si>
    <t>Master SPI X4 (and JTAG) (Mode 001)Kintex-73.3</t>
  </si>
  <si>
    <t>Master SPI X4 (and JTAG) (Mode 001)Kintex-72.5</t>
  </si>
  <si>
    <t>Master SPI X4 (and JTAG) (Mode 001)Kintex-71.8</t>
  </si>
  <si>
    <t>Master SPI X4 (and JTAG) (Mode 001)Kintex-71.5</t>
  </si>
  <si>
    <t>Master SPI X4 (and JTAG) (Mode 001)Kintex-71.2</t>
  </si>
  <si>
    <t>Master SPI X4 (and JTAG) (Mode 001)Kintex-70</t>
  </si>
  <si>
    <t>Master SPI X4 (and JTAG) (Mode 001)Virtex-73.3</t>
  </si>
  <si>
    <t>Master SPI X4 (and JTAG) (Mode 001)Virtex-72.5</t>
  </si>
  <si>
    <t>Master SPI X4 (and JTAG) (Mode 001)Virtex-71.8</t>
  </si>
  <si>
    <t>Master SPI X4 (and JTAG) (Mode 001)Virtex-71.5</t>
  </si>
  <si>
    <t>Master SPI X4 (and JTAG) (Mode 001)Virtex-71.2</t>
  </si>
  <si>
    <t>Master SPI X4 (and JTAG) (Mode 001)Virtex-70</t>
  </si>
  <si>
    <t>Master SelectMAP X8 (and JTAG) (Mode 100)Artix-73.3</t>
  </si>
  <si>
    <t>Master SelectMAP X8 (and JTAG) (Mode 100)Artix-72.5</t>
  </si>
  <si>
    <t>Master SelectMAP X8 (and JTAG) (Mode 100)Artix-71.8</t>
  </si>
  <si>
    <t>Master SelectMAP X8 (and JTAG) (Mode 100)Artix-71.5</t>
  </si>
  <si>
    <t>Master SelectMAP X8 (and JTAG) (Mode 100)Artix-71.2</t>
  </si>
  <si>
    <t>Master SelectMAP X8 (and JTAG) (Mode 100)Artix-70</t>
  </si>
  <si>
    <t>Master SelectMAP X8 (and JTAG) (Mode 100)Kintex-73.3</t>
  </si>
  <si>
    <t>Master SelectMAP X8 (and JTAG) (Mode 100)Kintex-72.5</t>
  </si>
  <si>
    <t>Master SelectMAP X8 (and JTAG) (Mode 100)Kintex-71.8</t>
  </si>
  <si>
    <t>Master SelectMAP X8 (and JTAG) (Mode 100)Kintex-71.5</t>
  </si>
  <si>
    <t>Master SelectMAP X8 (and JTAG) (Mode 100)Kintex-71.2</t>
  </si>
  <si>
    <t>Master SelectMAP X8 (and JTAG) (Mode 100)Kintex-70</t>
  </si>
  <si>
    <t>Master SelectMAP X8 (and JTAG) (Mode 100)Virtex-73.3</t>
  </si>
  <si>
    <t>Master SelectMAP X8 (and JTAG) (Mode 100)Virtex-72.5</t>
  </si>
  <si>
    <t>Master SelectMAP X8 (and JTAG) (Mode 100)Virtex-71.8</t>
  </si>
  <si>
    <t>Master SelectMAP X8 (and JTAG) (Mode 100)Virtex-71.5</t>
  </si>
  <si>
    <t>Master SelectMAP X8 (and JTAG) (Mode 100)Virtex-71.2</t>
  </si>
  <si>
    <t>Master SelectMAP X8 (and JTAG) (Mode 100)Virtex-70</t>
  </si>
  <si>
    <t>Master SelectMAP X16 (and JTAG) (Mode 100)Artix-73.3</t>
  </si>
  <si>
    <t>Master SelectMAP X16 (and JTAG) (Mode 100)Artix-72.5</t>
  </si>
  <si>
    <t>Master SelectMAP X16 (and JTAG) (Mode 100)Artix-71.8</t>
  </si>
  <si>
    <t>Master SelectMAP X16 (and JTAG) (Mode 100)Artix-71.5</t>
  </si>
  <si>
    <t>Master SelectMAP X16 (and JTAG) (Mode 100)Artix-71.2</t>
  </si>
  <si>
    <t>Master SelectMAP X16 (and JTAG) (Mode 100)Artix-70</t>
  </si>
  <si>
    <t>Master SelectMAP X16 (and JTAG) (Mode 100)Kintex-73.3</t>
  </si>
  <si>
    <t>Master SelectMAP X16 (and JTAG) (Mode 100)Kintex-72.5</t>
  </si>
  <si>
    <t>Master SelectMAP X16 (and JTAG) (Mode 100)Kintex-71.8</t>
  </si>
  <si>
    <t>Master SelectMAP X16 (and JTAG) (Mode 100)Kintex-71.5</t>
  </si>
  <si>
    <t>Master SelectMAP X16 (and JTAG) (Mode 100)Kintex-71.2</t>
  </si>
  <si>
    <t>Master SelectMAP X16 (and JTAG) (Mode 100)Kintex-70</t>
  </si>
  <si>
    <t>Master SelectMAP X16 (and JTAG) (Mode 100)Virtex-73.3</t>
  </si>
  <si>
    <t>Master SelectMAP X16 (and JTAG) (Mode 100)Virtex-72.5</t>
  </si>
  <si>
    <t>Master SelectMAP X16 (and JTAG) (Mode 100)Virtex-71.8</t>
  </si>
  <si>
    <t>Master SelectMAP X16 (and JTAG) (Mode 100)Virtex-71.5</t>
  </si>
  <si>
    <t>Master SelectMAP X16 (and JTAG) (Mode 100)Virtex-71.2</t>
  </si>
  <si>
    <t>Master SelectMAP X16 (and JTAG) (Mode 100)Virtex-70</t>
  </si>
  <si>
    <t>Slave SelectMAP X8 (and JTAG) (Mode 110)Artix-73.3</t>
  </si>
  <si>
    <t>Slave SelectMAP X8 (and JTAG) (Mode 110)Artix-72.5</t>
  </si>
  <si>
    <t>Slave SelectMAP X8 (and JTAG) (Mode 110)Artix-71.8</t>
  </si>
  <si>
    <t>Slave SelectMAP X8 (and JTAG) (Mode 110)Artix-71.5</t>
  </si>
  <si>
    <t>Slave SelectMAP X8 (and JTAG) (Mode 110)Artix-71.2</t>
  </si>
  <si>
    <t>Slave SelectMAP X8 (and JTAG) (Mode 110)Artix-70</t>
  </si>
  <si>
    <t>Slave SelectMAP X8 (and JTAG) (Mode 110)Kintex-73.3</t>
  </si>
  <si>
    <t>Slave SelectMAP X8 (and JTAG) (Mode 110)Kintex-72.5</t>
  </si>
  <si>
    <t>Slave SelectMAP X8 (and JTAG) (Mode 110)Kintex-71.8</t>
  </si>
  <si>
    <t>Slave SelectMAP X8 (and JTAG) (Mode 110)Kintex-71.5</t>
  </si>
  <si>
    <t>Slave SelectMAP X8 (and JTAG) (Mode 110)Kintex-71.2</t>
  </si>
  <si>
    <t>Slave SelectMAP X8 (and JTAG) (Mode 110)Kintex-70</t>
  </si>
  <si>
    <t>Slave SelectMAP X8 (and JTAG) (Mode 110)Virtex-73.3</t>
  </si>
  <si>
    <t>Slave SelectMAP X8 (and JTAG) (Mode 110)Virtex-72.5</t>
  </si>
  <si>
    <t>Slave SelectMAP X8 (and JTAG) (Mode 110)Virtex-71.8</t>
  </si>
  <si>
    <t>Slave SelectMAP X8 (and JTAG) (Mode 110)Virtex-71.5</t>
  </si>
  <si>
    <t>Slave SelectMAP X8 (and JTAG) (Mode 110)Virtex-71.2</t>
  </si>
  <si>
    <t>Slave SelectMAP X8 (and JTAG) (Mode 110)Virtex-70</t>
  </si>
  <si>
    <t>Slave SelectMAP X16 (and JTAG) (Mode 110)Artix-73.3</t>
  </si>
  <si>
    <t>Slave SelectMAP X16 (and JTAG) (Mode 110)Artix-72.5</t>
  </si>
  <si>
    <t>Slave SelectMAP X16 (and JTAG) (Mode 110)Artix-71.8</t>
  </si>
  <si>
    <t>Slave SelectMAP X16 (and JTAG) (Mode 110)Artix-71.5</t>
  </si>
  <si>
    <t>Slave SelectMAP X16 (and JTAG) (Mode 110)Artix-71.2</t>
  </si>
  <si>
    <t>Slave SelectMAP X16 (and JTAG) (Mode 110)Artix-70</t>
  </si>
  <si>
    <t>Slave SelectMAP X16 (and JTAG) (Mode 110)Kintex-73.3</t>
  </si>
  <si>
    <t>Slave SelectMAP X16 (and JTAG) (Mode 110)Kintex-72.5</t>
  </si>
  <si>
    <t>Slave SelectMAP X16 (and JTAG) (Mode 110)Kintex-71.8</t>
  </si>
  <si>
    <t>Slave SelectMAP X16 (and JTAG) (Mode 110)Kintex-71.5</t>
  </si>
  <si>
    <t>Slave SelectMAP X16 (and JTAG) (Mode 110)Kintex-71.2</t>
  </si>
  <si>
    <t>Slave SelectMAP X16 (and JTAG) (Mode 110)Kintex-70</t>
  </si>
  <si>
    <t>Slave SelectMAP X16 (and JTAG) (Mode 110)Virtex-73.3</t>
  </si>
  <si>
    <t>Slave SelectMAP X16 (and JTAG) (Mode 110)Virtex-72.5</t>
  </si>
  <si>
    <t>Slave SelectMAP X16 (and JTAG) (Mode 110)Virtex-71.8</t>
  </si>
  <si>
    <t>Slave SelectMAP X16 (and JTAG) (Mode 110)Virtex-71.5</t>
  </si>
  <si>
    <t>Slave SelectMAP X16 (and JTAG) (Mode 110)Virtex-71.2</t>
  </si>
  <si>
    <t>Slave SelectMAP X16 (and JTAG) (Mode 110)Virtex-70</t>
  </si>
  <si>
    <t>Slave SelectMAP X32 (and JTAG) (Mode 110)Artix-73.3</t>
  </si>
  <si>
    <t>Slave SelectMAP X32 (and JTAG) (Mode 110)Artix-72.5</t>
  </si>
  <si>
    <t>Slave SelectMAP X32 (and JTAG) (Mode 110)Artix-71.8</t>
  </si>
  <si>
    <t>Slave SelectMAP X32 (and JTAG) (Mode 110)Artix-71.5</t>
  </si>
  <si>
    <t>Slave SelectMAP X32 (and JTAG) (Mode 110)Artix-71.2</t>
  </si>
  <si>
    <t>Slave SelectMAP X32 (and JTAG) (Mode 110)Artix-70</t>
  </si>
  <si>
    <t>Slave SelectMAP X32 (and JTAG) (Mode 110)Kintex-73.3</t>
  </si>
  <si>
    <t>Slave SelectMAP X32 (and JTAG) (Mode 110)Kintex-72.5</t>
  </si>
  <si>
    <t>Slave SelectMAP X32 (and JTAG) (Mode 110)Kintex-71.8</t>
  </si>
  <si>
    <t>Slave SelectMAP X32 (and JTAG) (Mode 110)Kintex-71.5</t>
  </si>
  <si>
    <t>Slave SelectMAP X32 (and JTAG) (Mode 110)Kintex-71.2</t>
  </si>
  <si>
    <t>Slave SelectMAP X32 (and JTAG) (Mode 110)Kintex-70</t>
  </si>
  <si>
    <t>Slave SelectMAP X32 (and JTAG) (Mode 110)Virtex-73.3</t>
  </si>
  <si>
    <t>Slave SelectMAP X32 (and JTAG) (Mode 110)Virtex-72.5</t>
  </si>
  <si>
    <t>Slave SelectMAP X32 (and JTAG) (Mode 110)Virtex-71.8</t>
  </si>
  <si>
    <t>Slave SelectMAP X32 (and JTAG) (Mode 110)Virtex-71.5</t>
  </si>
  <si>
    <t>Slave SelectMAP X32 (and JTAG) (Mode 110)Virtex-71.2</t>
  </si>
  <si>
    <t>Slave SelectMAP X32 (and JTAG) (Mode 110)Virtex-70</t>
  </si>
  <si>
    <t>Master BPI X8 (and JTAG) (Mode 010)Artix-73.3</t>
  </si>
  <si>
    <t>Master BPI X8 (and JTAG) (Mode 010)Artix-72.5</t>
  </si>
  <si>
    <t>Master BPI X8 (and JTAG) (Mode 010)Artix-71.8</t>
  </si>
  <si>
    <t>Master BPI X8 (and JTAG) (Mode 010)Artix-71.5</t>
  </si>
  <si>
    <t>Master BPI X8 (and JTAG) (Mode 010)Artix-71.2</t>
  </si>
  <si>
    <t>Master BPI X8 (and JTAG) (Mode 010)Artix-70</t>
  </si>
  <si>
    <t>Master BPI X8 (and JTAG) (Mode 010)Kintex-73.3</t>
  </si>
  <si>
    <t>Master BPI X8 (and JTAG) (Mode 010)Kintex-72.5</t>
  </si>
  <si>
    <t>Master BPI X8 (and JTAG) (Mode 010)Kintex-71.8</t>
  </si>
  <si>
    <t>Master BPI X8 (and JTAG) (Mode 010)Kintex-71.5</t>
  </si>
  <si>
    <t>Master BPI X8 (and JTAG) (Mode 010)Kintex-71.2</t>
  </si>
  <si>
    <t>Master BPI X8 (and JTAG) (Mode 010)Kintex-70</t>
  </si>
  <si>
    <t>Master BPI X8 (and JTAG) (Mode 010)Virtex-73.3</t>
  </si>
  <si>
    <t>Master BPI X8 (and JTAG) (Mode 010)Virtex-72.5</t>
  </si>
  <si>
    <t>Master BPI X8 (and JTAG) (Mode 010)Virtex-71.8</t>
  </si>
  <si>
    <t>Master BPI X8 (and JTAG) (Mode 010)Virtex-71.5</t>
  </si>
  <si>
    <t>Master BPI X8 (and JTAG) (Mode 010)Virtex-71.2</t>
  </si>
  <si>
    <t>Master BPI X8 (and JTAG) (Mode 010)Virtex-70</t>
  </si>
  <si>
    <t>Master BPI X16 (and JTAG) (Mode 010)Artix-73.3</t>
  </si>
  <si>
    <t>Master BPI X16 (and JTAG) (Mode 010)Artix-72.5</t>
  </si>
  <si>
    <t>Master BPI X16 (and JTAG) (Mode 010)Artix-71.8</t>
  </si>
  <si>
    <t>Master BPI X16 (and JTAG) (Mode 010)Artix-71.5</t>
  </si>
  <si>
    <t>Master BPI X16 (and JTAG) (Mode 010)Artix-71.2</t>
  </si>
  <si>
    <t>Master BPI X16 (and JTAG) (Mode 010)Artix-70</t>
  </si>
  <si>
    <t>Master BPI X16 (and JTAG) (Mode 010)Kintex-73.3</t>
  </si>
  <si>
    <t>Master BPI X16 (and JTAG) (Mode 010)Kintex-72.5</t>
  </si>
  <si>
    <t>Master BPI X16 (and JTAG) (Mode 010)Kintex-71.8</t>
  </si>
  <si>
    <t>Master BPI X16 (and JTAG) (Mode 010)Kintex-71.5</t>
  </si>
  <si>
    <t>Master BPI X16 (and JTAG) (Mode 010)Kintex-71.2</t>
  </si>
  <si>
    <t>Master BPI X16 (and JTAG) (Mode 010)Kintex-70</t>
  </si>
  <si>
    <t>Master BPI X16 (and JTAG) (Mode 010)Virtex-73.3</t>
  </si>
  <si>
    <t>Master BPI X16 (and JTAG) (Mode 010)Virtex-72.5</t>
  </si>
  <si>
    <t>Master BPI X16 (and JTAG) (Mode 010)Virtex-71.8</t>
  </si>
  <si>
    <t>Master BPI X16 (and JTAG) (Mode 010)Virtex-71.5</t>
  </si>
  <si>
    <t>Master BPI X16 (and JTAG) (Mode 010)Virtex-71.2</t>
  </si>
  <si>
    <t>Master BPI X16 (and JTAG) (Mode 010)Virtex-70</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</si>
  <si>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</si>
  <si>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serial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</si>
  <si>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SPI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</si>
  <si>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SelectMAP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</si>
  <si>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BPI configuration mode, if VCCO_14 or VCCO_15 is 1.8V or 1.5V, then VCCO_0, VCCO_14, and VCCO_15 must all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</si>
  <si>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SelectMAP configuration mode, if VCCO_14 or VCCO_15 is 1.8V or 1.5V, then VCCO_0, VCCO_14, and VCCO_15 must all be 1.8V or 1.5V, and CFGBVS must be connected to GND.</t>
  </si>
  <si>
    <t>Recommend VCCO_14, VCCO_15, VCCO_0, JTAG signals, and BPI flash signals are the same voltage level.
Make sure that VCCO_15 matches the VCCO of the BPI flash. BPI flash are available with 1.8V or 3.3V interfaces.
IMPORTANT! For Artix-7 and Kintex-7 FPGAs and BPI configuration mode, if VCCO_15 is 1.8V or 1.5V, then VCCO_0 must also be 1.8V or 1.5V, and CFGBVS must be connected to GND.</t>
  </si>
  <si>
    <t>IMPORTANT! CFGBVS must be tied to GND or VCCO_0 according to the VCCO_0 voltage: 
- Connect CFGBVS=GND when VCCO_0 is 1.8V or 1.5V.
- Connect CFGBVS=VCCO_0 when VCCO_0 is 3.3V or 2.5V.</t>
  </si>
  <si>
    <t>- Added support for CLG225 package for 7Z010 device</t>
  </si>
  <si>
    <t>- Updated CFGBVS recommendations as per AR # 57045</t>
  </si>
  <si>
    <r>
      <t xml:space="preserve">·The nominal voltage is 1.0 VDC.
·See DS181, </t>
    </r>
    <r>
      <rPr>
        <i/>
        <sz val="10"/>
        <rFont val="Arial"/>
        <family val="2"/>
      </rPr>
      <t>Artix-7 FPGAs Data Sheet: DC and Switching Characteristics</t>
    </r>
    <r>
      <rPr>
        <sz val="10"/>
        <rFont val="Arial"/>
        <family val="2"/>
      </rPr>
      <t xml:space="preserve">, for power supply voltage tolerances.
·The power supply regulator for this voltage should not be shared with non-MGT loads.
·Many packages have multiple groups of power supply connections in the package for MGTAVCC. Refer to the "Analog Power Supply Pins" section of UG482, </t>
    </r>
    <r>
      <rPr>
        <i/>
        <sz val="10"/>
        <rFont val="Arial"/>
        <family val="2"/>
      </rPr>
      <t>7 Series FPGAs GTP Transceivers User Guide</t>
    </r>
    <r>
      <rPr>
        <sz val="10"/>
        <rFont val="Arial"/>
        <family val="2"/>
      </rPr>
      <t xml:space="preserve">, to identify in which power supply group a specific GTP Quad is located. Information on pin locations for each package can be found in Chapter 2 of UG475, </t>
    </r>
    <r>
      <rPr>
        <i/>
        <sz val="10"/>
        <rFont val="Arial"/>
        <family val="2"/>
      </rPr>
      <t>7 Series FPGAs Packaging and Pinout Specifications</t>
    </r>
    <r>
      <rPr>
        <sz val="10"/>
        <rFont val="Arial"/>
        <family val="2"/>
      </rPr>
      <t>.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t>
    </r>
  </si>
  <si>
    <t>·The nominal voltage is 1.2 VDC.
·See DS181, Artix-7 FPGAs Data Sheet: DC and Switching Characteristics, for power supply voltage tolerances.
·The power supply regulator for this voltage should not be shared with non-MGT loads.
·Many packages have multiple groups of power supply connections in the package for MGTAVTT. Refer to the "Analog Power Supply Pins" section of UG482, 7 Series FPGAs GTP Transceivers User Guide, to identify in which power supply group a specific GTP Quad is located. Information on pin locations for each package can be found in Chapter 2 of UG475, 7 Series FPGAs Packaging and Pinout Specifications.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t>
  </si>
  <si>
    <t>- Replaced all instances of "Transciever" with "Transceiver"</t>
  </si>
  <si>
    <t>SDIO1 Card Detect</t>
  </si>
  <si>
    <t>SDIO1 Write Protect</t>
  </si>
  <si>
    <t>SDIO0 Card Detect</t>
  </si>
  <si>
    <t>SDIO0 Write Protect</t>
  </si>
  <si>
    <t>SDIO0 CLK:
Place 40-60Ω resistor in series, close to Zynq device.</t>
  </si>
  <si>
    <t>SDIO1 Data 0:
PCB and package delay skew to SDIO CLK should be less than ± 50 ps.</t>
  </si>
  <si>
    <t>SDIO1 CMD:
PCB and package delay skew to SDIO CLK should be less than ± 50 ps.</t>
  </si>
  <si>
    <t>SDIO1 CLK:
Place 40-60Ω resistor in series, close to Zynq device.</t>
  </si>
  <si>
    <t>SDIO1 Data 1:
PCB and package delay skew to SDIO CLK should be less than ± 50 ps.</t>
  </si>
  <si>
    <t>SDIO1 Data 2:
PCB and package delay skew to SDIO CLK should be less than ± 50 ps.</t>
  </si>
  <si>
    <t>SDIO1 Data 3:
PCB and package delay skew to SDIO CLK should be less than ± 50 ps.</t>
  </si>
  <si>
    <t>SDIO0 Data 3:
PCB and package delay skew to SDIO CLK should be less than ± 50 ps.</t>
  </si>
  <si>
    <t>SDIO0 Data 2:
PCB and package delay skew to SDIO CLK should be less than ± 50 ps.</t>
  </si>
  <si>
    <t>SDIO0 Data 1:
PCB and package delay skew to SDIO CLK should be less than ± 50 ps.</t>
  </si>
  <si>
    <t>SDIO0 Data 0:
PCB and package delay skew to SDIO CLK should be less than ± 50 ps.</t>
  </si>
  <si>
    <t>SDIO0 CMD:
PCB and package delay skew to SDIO CLK should be less than ± 50 ps.</t>
  </si>
  <si>
    <t>IIC0 SCL:
PCB and package delay skew to SDA should within ±500 ps. Place 4.7k pull-up at far end, away from Zynq device.</t>
  </si>
  <si>
    <t>IIC1 SCL:
PCB and package delay skew to SDA should within ±500 ps. Place 4.7k pull-up at far end, away from Zynq device.</t>
  </si>
  <si>
    <t>IIC1 SDA:
PCB and package delay skew to SCL should within ±500 ps. Place 4.7k pull-up at far end, away from Zynq device.</t>
  </si>
  <si>
    <t>IIC0 SDA:
PCB and package delay skew to SCL should within ±500 ps. Place 4.7k pull-up at far end, away from Zynq device.</t>
  </si>
  <si>
    <t>- Updated skew requirements for IIC, SDIO and QSPI interfaces for Zynq</t>
  </si>
  <si>
    <t>·Transmitter should be AC coupled to the receiver. The recommended value for the AC coupling capacitors is 100nF. Other values can be used as appropriate to conform to specific protocols and standards.
·Transmitter data traces should be provided enough clearance to eliminate crosstalk from adjacent signals.
·If a transmitter is not used leave the associated pin pair unconnected.</t>
  </si>
  <si>
    <t>- Fixed issue with selecting 7VH580T-HCG1931</t>
  </si>
  <si>
    <t>PUDC_B must be tied either directly or via a 1 kΩ (or stronger) resistor to VCCO_34 or GND.</t>
  </si>
  <si>
    <t>- Changed VCCO_14 to VCCO_34 in PUDC_B recommendation for Zynq-7000</t>
  </si>
  <si>
    <t>- Fixed typo in PS_SRST_BPS recommendation</t>
  </si>
  <si>
    <t>- Set rows previously showing "Does not apply to selected family" for Zynq to hidden</t>
  </si>
  <si>
    <r>
      <t xml:space="preserve">VCCPINT powers all of the PS internal logic circuits.
See Processing System (PS) Power and Signaling section of UG933, </t>
    </r>
    <r>
      <rPr>
        <i/>
        <sz val="10"/>
        <rFont val="Arial"/>
        <family val="2"/>
      </rPr>
      <t>Zynq-7000 PCB and Pin Planning Guide</t>
    </r>
    <r>
      <rPr>
        <sz val="10"/>
        <rFont val="Arial"/>
        <family val="2"/>
      </rPr>
      <t>, for more detailed recommendations and PCB layout guidelines.</t>
    </r>
  </si>
  <si>
    <t>- Added pointer to user guide for Zynq power supply section</t>
  </si>
  <si>
    <r>
      <t xml:space="preserve">Recommend VCCO_14, VCCO_0, JTAG signals, and serial signals are the same voltage level. See UG470, </t>
    </r>
    <r>
      <rPr>
        <i/>
        <sz val="10"/>
        <rFont val="Arial"/>
        <family val="2"/>
      </rPr>
      <t>7-Series FPGAs Configuration User Guide</t>
    </r>
    <r>
      <rPr>
        <sz val="10"/>
        <rFont val="Arial"/>
        <family val="2"/>
      </rPr>
      <t>,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t>
    </r>
  </si>
  <si>
    <t>Recommend VCCO_14, VCCO_0, JTAG signals, and serial signals are the same voltage level. See UG470, 7-Series FPGAs Configuration User Guide,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t>
  </si>
  <si>
    <t>Recommend VCCO_14, VCCO_0, JTAG signals, and SPI flash signals are the same voltage level. See UG470, 7-Series FPGAs Configuration User Guide, for voltage limitations on specific device families.
Make sure that VCCO_14 matches the VCCO of the SPI flash. SPI flash are available with 1.8V or 3.3V interfaces.
IMPORTANT! For Artix-7 and Kintex-7 FPGAs and SPI configuration mode, if VCCO_14 is 1.8V or 1.5V, then VCCO_0 must also be 1.8V or 1.5V, and CFGBVS must be connected to GND.</t>
  </si>
  <si>
    <t>Recommend VCCO_14, VCCO_0, JTAG signals, and SelectMAP signals are the same voltage level. See UG470, 7-Series FPGAs Configuration User Guide, for voltage limitations on specific device families.
Make sure that VCCO_14 matches the VCCO of the SelectMAP configuration source.
IMPORTANT! For Artix-7 and Kintex-7 FPGAs and SPI configuration mode, if VCCO_14 is 1.8V or 1.5V, then VCCO_0 must also be 1.8V or 1.5V, and CFGBVS must be connected to GND.</t>
  </si>
  <si>
    <t>Recommend VCCO_14, VCCO_15, VCCO_0, JTAG signals, and BPI flash signals are the same voltage level. See UG470, 7-Series FPGAs Configuration User Guide, for voltage limitations on specific device families.
Make sure that VCCO_14 matches the VCCO of the BPI flash. BPI flash are available with 1.8V or 3.3V interfaces.
IMPORTANT! For Artix-7 and Kintex-7 FPGAs and BPI configuration mode, if VCCO_14 is 1.8V or 1.5V, then VCCO_0 must also be 1.8V or 1.5V, and CFGBVS must be connected to GND.</t>
  </si>
  <si>
    <t>- Added pointer to user guide for Bank 14 VCCO recommendation</t>
  </si>
  <si>
    <r>
      <t xml:space="preserve">See Processing System (PS) Power and Signaling section of UG933, </t>
    </r>
    <r>
      <rPr>
        <i/>
        <sz val="10"/>
        <rFont val="Arial"/>
        <family val="2"/>
      </rPr>
      <t>Zynq-7000 PCB and Pin Planning Guide</t>
    </r>
    <r>
      <rPr>
        <sz val="10"/>
        <rFont val="Arial"/>
        <family val="2"/>
      </rPr>
      <t>, for more detailed recommendations and PCB layout guidelines.</t>
    </r>
  </si>
  <si>
    <r>
      <t xml:space="preserve">VCCPAUX powers the PS I/O banks.
See Processing System (PS) Power and Signaling section of UG933, </t>
    </r>
    <r>
      <rPr>
        <i/>
        <sz val="10"/>
        <rFont val="Arial"/>
        <family val="2"/>
      </rPr>
      <t>Zynq-7000 PCB and Pin Planning Guide</t>
    </r>
    <r>
      <rPr>
        <sz val="10"/>
        <rFont val="Arial"/>
        <family val="2"/>
      </rPr>
      <t>, for more detailed recommendations and PCB layout guidelines.</t>
    </r>
  </si>
  <si>
    <t>- Updated DDR Termination recommendations</t>
  </si>
  <si>
    <r>
      <t xml:space="preserve">See DDR3/DDR3L Board Implemantation, DDR2 Board Implementation, and LPDDR2 Board Implementation figures in the Dynamic Memory Implementation section of UG933, </t>
    </r>
    <r>
      <rPr>
        <i/>
        <sz val="9.5"/>
        <rFont val="Palatino"/>
      </rPr>
      <t>Zynq-7000 All Programmable SoC PCB Design and Pin Planning Guide</t>
    </r>
    <r>
      <rPr>
        <sz val="9.5"/>
        <rFont val="Palatino"/>
      </rPr>
      <t>.</t>
    </r>
  </si>
  <si>
    <t>- Updated DDR Topology recommendations</t>
  </si>
  <si>
    <t>14,16,34,35</t>
  </si>
  <si>
    <t>14,15,34</t>
  </si>
  <si>
    <t>- Updated Zynq-7000 decoupling capacitor recommendations</t>
  </si>
  <si>
    <t>- Added support for the CSG236 and CSG325 package for 7A35T and 7A50T</t>
  </si>
  <si>
    <t>NOTICE OF DISCLAIMER: The information disclosed to you hereunder (the “Materials”) is provided solely for the selection and use of Xilinx products. To the maximum extent permitted by applicable law: (1) Materials are made available "AS IS" and with all faults, Xilinx hereby DISCLAIMS ALL WARRANTIES AND CONDITIONS, EXPRESS, IMPLIED, OR STATUTORY, INCLUDING BUT NOT LIMITED TO WARRANTIES OF MERCHANTABILITY, NON-INFRINGEMENT, OR FITNESS FOR ANY PARTICULAR PURPOSE; and (2) Xilinx shall not be liable (whether in contract or tort, including negligence, or under any other theory of liability) for any loss or damage of any kind or nature related to, arising under, or in connection with, the Materials (including your use of the Materials), including for any direct, indirect, special, incidental, or consequential loss or damage (including loss of data, profits, goodwill, or any type of loss or damage suffered as a result of any action brought by a third party) even if such damage or loss was reasonably foreseeable or Xilinx had been advised of the possibility of the same. Xilinx assumes no obligation to correct any errors contained in the Materials or to notify you of updates to the Materials or to product specifications. You may not reproduce, modify, distribute, or publicly display the Materials without prior written consent. Certain products are subject to the terms and conditions of Xilinx’s limited warranty, please refer to Xilinx’s Terms of Sale which can be viewed at at www.xilinx.com/legal.htm#tos; IP cores may be subject to warranty and support terms contained in a license issued to you by Xilinx. Xilinx products are not designed or intended to be fail-safe or for use in any application requiring fail-safe performance; you assume sole risk and liability for use of Xilinx products in such critical applications, please refer to Xilinx’s Terms of Sale which can be viewed at www.xilinx.com/legal.htm#tos.</t>
  </si>
  <si>
    <t>Pull-Up During Configuration (bar) 
Multi-purpose pin referenced to VCCO_34.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t>
  </si>
  <si>
    <t>- Changed reference to VCCO_14 in PUDC to VCCO_34 for Zynq-7000</t>
  </si>
  <si>
    <t>- Added to additional info for EMCCLK</t>
  </si>
  <si>
    <t>- Updated VCCO decoupling recommendations</t>
  </si>
  <si>
    <t>- Updated Zynq-7000 power supply decoupling recommendations</t>
  </si>
  <si>
    <t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t>
  </si>
  <si>
    <t>- Updated reference in M[2:0] additional information section</t>
  </si>
  <si>
    <t>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t>
  </si>
  <si>
    <t>VCCO_0 supports 1.5V - 3.3V, except Virtex-7 HT FPGAs support only VCCO_0=1.8V. 
Make sure that VCCO_0 matches the voltage level of the JTAG signals.
Ensure CFGBVS pin connection is compatible with VCCO_0 voltage.
See the "Configuration Banks Voltage Select" section of UG470, 7 Series FPGAs Configuration User Guide for more information.</t>
  </si>
  <si>
    <t>VCCO_0 supports 1.5V - 3.3V, except Virtex-7 HT FPGAs support only VCCO_0=1.8V. 
Make sure that the VCCO_0 matches the voltage level of the JTAG and serial configuration signals.
Ensure CFGBVS pin connection is compatible with VCCO_0 voltage.
See the "Configuration Banks Voltage Select" section of UG470, 7 Series FPGAs Configuration User Guide for more information.</t>
  </si>
  <si>
    <t>VCCO_0 supports 1.5V - 3.3V, except Virtex-7 HT FPGAs support only VCCO_0=1.8V. 
Make sure that VCCO_0 matches the voltage level of the JTAG and SPI flash signals.
SPI flash are available with 1.8V or 3.3V interfaces.
Ensure CFGBVS pin connection is compatible with VCCO_0 voltage.
See the "Configuration Banks Voltage Select" section of UG470, 7 Series FPGAs Configuration User Guide for more information.</t>
  </si>
  <si>
    <t>Make sure that VCCO_0 matches the voltage level of the JTAG signals and the SelectMAP configuration source.
Ensure CFGBVS pin connection is compatible with VCCO_0.
See the "Configuration Banks Voltage Select" section of UG470, 7 Series FPGAs Configuration User Guide for more information.</t>
  </si>
  <si>
    <t>Make sure that VCCO_0 matches the voltage level of the JTAG signals and BPI configuration flash.
BPI flash VCCO is usually 1.8V and sometimes 3.3V or 2.5V. See the BPI flash data sheet.
Ensure CFGBVS pin connection is compatible with VCCO_0.
See the "Configuration Banks Voltage Select" section of UG470, 7 Series FPGAs Configuration User Guide for more information.</t>
  </si>
  <si>
    <t>Make sure that VCCO_0 matches the voltage level of the JTAG signals.
Ensure CFGBVS pin connection is compatible with VCCO_0.
See the "Configuration Banks Voltage Select" section of UG470, 7 Series FPGAs Configuration User Guide for more information.</t>
  </si>
  <si>
    <t>- Updated additional information and voltage implementation selections for VCCO_0</t>
  </si>
  <si>
    <t>1.4.1</t>
  </si>
  <si>
    <t>- Corrected typographical error in Project Info sheet.</t>
  </si>
  <si>
    <t>- Corrected error in formula for FTG256 package power supply decoupling recommendations</t>
  </si>
  <si>
    <t>1.4.2</t>
  </si>
  <si>
    <t>7Z035</t>
  </si>
  <si>
    <t>7A15T</t>
  </si>
  <si>
    <t xml:space="preserve">PJTAG TDI:
Place 4.7K ohm pullup to prevent floating.  </t>
  </si>
  <si>
    <t>PJTAG TCK:
Place 4.7K ohm pullup to prevent floating.   Match delay to TMS line (± 9ps).</t>
  </si>
  <si>
    <t>PJTAG TMS:
Place 4.7K ohm pullup to prevent floating.   Match delay to TCK line (± 9ps).</t>
  </si>
  <si>
    <t>- Added support for 7A15T and 7Z035 Devices</t>
  </si>
  <si>
    <t>- Changed pullup resistor value for PJTAG MIO interface</t>
  </si>
  <si>
    <t>ETHERNET0 RX CCLK:
RGMII without internal delays:
- Delay by 1.5 ns – 2.0 ns with respect to average delay of data
No delay requirement for RGMII-ID</t>
  </si>
  <si>
    <t>ETHERNET0 TX CCLK:
RGMII without internal delays:
- Delay by 1.5 ns – 2.0 ns with respect to average delay of data
No delay requirement for RGMII-ID</t>
  </si>
  <si>
    <t>ETHERNET1 TX CCLK:
RGMII without internal delays:
- Delay by 1.5 ns – 2.0 ns with respect to average delay of data
No delay requirement for RGMII-ID</t>
  </si>
  <si>
    <t>ETHERNET1 RX CCLK:
RGMII without internal delays:
- Delay by 1.5 ns – 2.0 ns with respect to average delay of data
No delay requirement for RGMII-ID</t>
  </si>
  <si>
    <t>- Updated delay requirement recommendations for Ethernet CCLK MIO pins</t>
  </si>
  <si>
    <t>- Added exception for Virtex-7 VCCO_0 voltage recommendation</t>
  </si>
  <si>
    <t>47 µF or 100 µF</t>
  </si>
  <si>
    <t>47 uF or 100 uF</t>
  </si>
  <si>
    <r>
      <t>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When a High is detected at the INIT_B input after the initialization process, the FPGA starts the configuration sequence dictated by the M[2:0] pin settings.
When a boot failure occurs, a BootROM error code is visible by observing a bit pulse train on the INIT_B pin. See the "BootROM Error Codes</t>
    </r>
    <r>
      <rPr>
        <b/>
        <sz val="10"/>
        <rFont val="Arial"/>
        <family val="2"/>
      </rPr>
      <t>" section of UG585, Zynq-7000 All Programmable SoC Technical Reference Manual, for more details on BootROM error codes.</t>
    </r>
    <r>
      <rPr>
        <sz val="10"/>
        <rFont val="Arial"/>
        <family val="2"/>
      </rPr>
      <t xml:space="preserve">
Use the INIT_B signal to reset configuration memories during FPGA configuration initialization.</t>
    </r>
  </si>
  <si>
    <t>- Updated additional information for INIT_B for Zynq-7000 parts</t>
  </si>
  <si>
    <t>- Removed MGTVCCAUX, MGTAVTTRCAL, VCCAUX_IO, VRP, VRN, and DCI Cascading recommendations for non-applicable Zynq-7000 and Artix-7 parts</t>
  </si>
  <si>
    <t>- Removed VCCBRAM for 7Z010-CLG225</t>
  </si>
  <si>
    <t>Run DRC with Vivado.</t>
  </si>
  <si>
    <t>Run SSN Analysis with Vivado using the report_ssn command.</t>
  </si>
  <si>
    <t>- Updated the I/O Standard Compatibility and SSO Analysis recommendations</t>
  </si>
  <si>
    <t>CAN0 RX:
Match delay to other CAN lines (± 9ps).
Note: RX and TX positions are reversed for CAN1</t>
  </si>
  <si>
    <t>CAN0 TX:
Match delay to other CAN lines (± 9ps).
Note: RX and TX positions are reversed for CAN1</t>
  </si>
  <si>
    <t>CAN1 TX:
Match delay to other CAN lines (± 9ps).
Note: RX and TX positions are reversed for CAN0</t>
  </si>
  <si>
    <t>CAN1 RX:
Match delay to other CAN lines (± 9ps).
Note: RX and TX positions are reversed for CAN0</t>
  </si>
  <si>
    <t>- Added a note to CAN and USB MIO interfaces about RX/TX positions differing between CAN0/USB0 and CAN1/USB1</t>
  </si>
  <si>
    <t>·The nominal voltage is 1.075 VDC with 2.30% tolerance.
·The power supply regulator for this voltage should not be shared with non-MGT loads.
·The following set of filter capacitors are recommended:
     o 1 of 4.7 µF 10% ceramic
     o 2 of 0.1 µF 10% ceramic
·For optimal performance power supply noise must be less than 10mVpp.</t>
  </si>
  <si>
    <t>·The nominal voltage is 1.075 VDC with 2.30% tolerance.
·The power supply regulator for this voltage should not be shared with non-MGT loads.
·The following set of filter capacitors are recommended:
     o 1 of 4.7 µF 10% ceramic
     o 7 of 0.1 µF 10% ceramic
     o 7 of 0.01 µF 10% ceramic
·For optimal performance power supply noise must be less than 10mVpp.</t>
  </si>
  <si>
    <t>·The nominal voltage is 1.8 VDC with 5.00% tolerance.
·The power supply regulator for this voltage should not be shared with non-MGT loads.
·The following set of filter capacitors are recommended:
     o 1 of 4.7 µF 10% ceramic
     o 2 of 0.1 µF 10% ceramic
     o 2 of 0.01 µF 10% ceramic
·For optimal performance power supply noise must be less than 10mVpp.</t>
  </si>
  <si>
    <t>UART0 RX:
Keep trace delay below 1.75ns.   Match delay to TX line (± 50ps).
Note: RX and TX positions are reversed for USB1</t>
  </si>
  <si>
    <t>UART0 TX:
Keep trace delay below 1.75ns.   Match delay to RX line (± 50ps).
Note: RX and TX positions are reversed for USB1</t>
  </si>
  <si>
    <t>UART1 TX:
Keep trace delay below 1.75ns.   Match delay to RX line (± 50ps).
Note: RX and TX positions are reversed for USB0</t>
  </si>
  <si>
    <t>UART1 RX:
Keep trace delay below 1.75ns.   Match delay to TX line (± 50ps).
Note: RX and TX positions are reversed for USB0</t>
  </si>
  <si>
    <t>- Loosened delay matching recommendations for UART MIO interface pins</t>
  </si>
  <si>
    <t>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t>
  </si>
  <si>
    <t>- Corrected typographical error in TMS recommendations</t>
  </si>
  <si>
    <t>- Added references to answer records for DONE</t>
  </si>
  <si>
    <r>
      <t>This pin can be tied to the 1.8V V</t>
    </r>
    <r>
      <rPr>
        <vertAlign val="subscript"/>
        <sz val="9.5"/>
        <rFont val="Palatino"/>
        <family val="1"/>
      </rPr>
      <t>CCAUX</t>
    </r>
    <r>
      <rPr>
        <sz val="9.5"/>
        <rFont val="Palatino"/>
        <family val="1"/>
      </rPr>
      <t xml:space="preserve"> supply. However, in a mixed-signal system the supply should be connected to a separate 1.8V analog, if available. See the "Analog Power Supply and Ground (V</t>
    </r>
    <r>
      <rPr>
        <vertAlign val="subscript"/>
        <sz val="9.5"/>
        <rFont val="Palatino"/>
        <family val="1"/>
      </rPr>
      <t>CCADC</t>
    </r>
    <r>
      <rPr>
        <sz val="9.5"/>
        <rFont val="Palatino"/>
        <family val="1"/>
      </rPr>
      <t xml:space="preserve"> and GNDADC)" section of UG480, </t>
    </r>
    <r>
      <rPr>
        <i/>
        <sz val="9.5"/>
        <rFont val="Palatino"/>
        <family val="1"/>
      </rPr>
      <t xml:space="preserve">7 Series FPGAs XADC Dual 12-Bit 1MSPS Analog-to-Digital Converter User Guide </t>
    </r>
    <r>
      <rPr>
        <sz val="9.5"/>
        <rFont val="Palatino"/>
        <family val="1"/>
      </rPr>
      <t>for more information. This pin should never be tied to GND. The pin should be tied to V</t>
    </r>
    <r>
      <rPr>
        <sz val="9.5"/>
        <rFont val="Palatino"/>
      </rPr>
      <t>CCAUX</t>
    </r>
    <r>
      <rPr>
        <sz val="9.5"/>
        <rFont val="Palatino"/>
        <family val="1"/>
      </rPr>
      <t xml:space="preserve"> even if the XADC is not being used.
A 100 nF decoupling capacitor should be placed between VCCADC and GNDADC as close to the FPGA package balls as possible.</t>
    </r>
  </si>
  <si>
    <r>
      <t>This pin should be tied to an external 1.25V accurate reference source (±0.2%) for best performance of the ADCs. It should be treated as an analog signal that together with the V</t>
    </r>
    <r>
      <rPr>
        <vertAlign val="subscript"/>
        <sz val="9.5"/>
        <rFont val="Palatino"/>
        <family val="1"/>
      </rPr>
      <t>REFN_0</t>
    </r>
    <r>
      <rPr>
        <sz val="9.5"/>
        <rFont val="Palatino"/>
        <family val="1"/>
      </rPr>
      <t xml:space="preserve">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t>
    </r>
  </si>
  <si>
    <t>- Added decoupling recommendation to VCCADC and VREFP_0</t>
  </si>
  <si>
    <t>Temperature-sensing diode pins (Anode: DXP; Cathode: DXN). The thermal diode is accessed by using the DXP and DXN pins in bank 0.</t>
  </si>
  <si>
    <t>When not used, tie to GND. See UG475, 7 Series FPGAs Packaging and Pinout Specification for more information and AR#5738 for implementation examples.</t>
  </si>
  <si>
    <t>- Moved recommendations for DXP_0/DXN_0 from the additional information column to the recommendations column</t>
  </si>
  <si>
    <t>When making pinout changes to a MIG core it is required to do this within the MIG GUI and regenerate the core, as there are pinout specific attributes in the source code.
See UG586, 7 Series FPGAs Memory Interface Solutions User Guide for more information on pin usage. See UG475, 7 Series FPGAs Packaging and Pinout Specification on locations in the device.</t>
  </si>
  <si>
    <t>- Removed T and T_DQS from the item list</t>
  </si>
  <si>
    <t>- Added additional information to MIG</t>
  </si>
  <si>
    <t>- Removed reference to BPI Flash in INIT_B recommendations for Zynq</t>
  </si>
  <si>
    <t>See the "Boot Mode MIO Strapping Pins" table in UG585, Zynq-7000 All Programmable SoC Technical Reference Manual for PCB layout recommandations.</t>
  </si>
  <si>
    <t>See the "JTAG System Block Diagram" figure in UG585, Zynq-7000 All Programmable SoC Technical Reference Manual for details.</t>
  </si>
  <si>
    <t>- Updated additional information for Zynq BOOT_MODE pins</t>
  </si>
  <si>
    <t>- Updated additional information for Zynq Independent JTAG field</t>
  </si>
  <si>
    <t>See the "DDR ZQ" table in UG933, Zynq-7000 PCB and Pin Planning Guide</t>
  </si>
  <si>
    <t>- Updated user guide reference for LPDDR2 ZQ pin and moved it to additional information field</t>
  </si>
  <si>
    <t>DDR2 and DDR3 clock, address, command and control signals need to be terminated. For DDR2, ODT and CKE are not terminated and should be pulled down during memory initialization with a 4.7 kΩ resistor to GND. For DDR3, the DRST_B signal is not terminated and should be pulled down during memory initialization with a 4.7 kΩ resistor to GND.
LPDDR2 does not require termination.</t>
  </si>
  <si>
    <t>See DDR Termination section of UG933, Zynq-7000 All Programmable SoC PCB Design and Pin Planning Guide.</t>
  </si>
  <si>
    <t>DDR_CKP, DDR_CKN requires 80 ohm differential termination for DDR3, 100 ohm for DDR2, and usually no requirement for LPDDR2.</t>
  </si>
  <si>
    <t>- Moved user guide reference for DDR Termination to additional information field</t>
  </si>
  <si>
    <t>- Moved user guide reference for DDR_CK to additional information field</t>
  </si>
  <si>
    <t>1.8 V.
A 0.47 μF to 4.7 μF 0402 capacitor must be placed near the VCCPLL BGA via. In addition, when powered by VCCPAUX, the VCCPLL must be filtered through a 120Ω at 100 MHz (size 0603) ferrite bead and a 10 μF (size 0603) decoupling capacitor to minimize PLL jitter.</t>
  </si>
  <si>
    <t>DDR ZQ Pin</t>
  </si>
  <si>
    <t>DDR3 and LPDDR2 memory require an additional 240 Ω 1% resistor to ground connected to the ZQ pin to
calibrate the device's output impedance. This does not apply to DDR2.</t>
  </si>
  <si>
    <t>- Changed LPDDR2 ZQ to DDR ZQ and updated the recommendations</t>
  </si>
  <si>
    <t>See the "DCI VRP and VRN Values" table in UG933, Zynq-7000 PCB and Pin Planning Guide</t>
  </si>
  <si>
    <t>- Updated the recommendations and additional information for PS_DDR_VRP and PS_DDR_VRN</t>
  </si>
  <si>
    <t xml:space="preserve">VRP must be pulled low to GND. The resistor value on VRP should be twice the memory's trace and termination impedance:
LPDDR2: 40Ω
DDR2: 100Ω
DDR3: 80Ω
When no PS DDR memory is used, DDR_VRP should be left floating. </t>
  </si>
  <si>
    <t xml:space="preserve">VRN needs to be pulled high to VCCO_DDR. The resistor value on VRN should be twice the memory's trace and termination impedance:
LPDDR2: 40Ω
DDR2: 100Ω
DDR3: 80Ω
When no PS DDR memory is used, DDR_VRN should be left floating. </t>
  </si>
  <si>
    <t>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t>
  </si>
  <si>
    <t>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t>
  </si>
  <si>
    <t>- Updated VCCINT additional information</t>
  </si>
  <si>
    <t>- Updated VCCBRAM additional information</t>
  </si>
  <si>
    <t>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t>
  </si>
  <si>
    <t>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t>
  </si>
  <si>
    <t xml:space="preserve">Flash Output-Enable (bar) 
Multi-purpose open-drain output pin referenced to VCCO_15.
During BPI configuration and during iMPACT/Vivado indirect BPI flash programming, FOE_B drives Low to enable the flash data bus output. </t>
  </si>
  <si>
    <t>Flash Write-Enable (bar) 
Multi-purpose output pin referenced to VCCO_15.
During BPI configuration, FWE_B drives High to keep the BPI flash in read mode.
During iMPACT/Vivado indirect BPI flash programming, FWE_B is driven High or Low, depending on the state of the programming operation.</t>
  </si>
  <si>
    <t>- Replaced all instances of iMPACT with iMPACT/Vivado</t>
  </si>
  <si>
    <t>See User Guide 470.
See the 'Configuration Memory Devices' appendix in UG908 for a list of flash memory devices supported by Vivado Device Programmer, and select a flash memory that can fit at least the Bitstream Length shown in this sheet.</t>
  </si>
  <si>
    <t>UG470</t>
  </si>
  <si>
    <t>- Added a pointer to UG908 for configuration</t>
  </si>
  <si>
    <t>Recommend simulating the LPDDR2 interface specific to customer application/board for external series terminations.  May require 22 ohm terminations.</t>
  </si>
  <si>
    <t>- Added a reference to Design Advisory # 63149 for PS_POR_BPS</t>
  </si>
  <si>
    <t>- Updated Zynq LPDDR2 recommendation</t>
  </si>
  <si>
    <t>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t>
  </si>
  <si>
    <t>- Added a pointer to I/O transition/DCI restrictions sections in UG471</t>
  </si>
  <si>
    <t>MIO[2] indicates the JTAG mode.
Cascaded JTAG : 0.   Independent JTAG : 1 .
Use 20 KΩ pull-up or pull-down resistor on this pin to set the required setting.
Note:
For debug purposes, it is recommended that these pins be connected to switches or jumpers while in the board development process in order to easily switch between modes.</t>
  </si>
  <si>
    <t>MIO[5:3] select the boot mode: JTAG = [000] with MIO[2]=0.
NOR = [001]. NAND = [010]. QSPI = [100]. SD = [110].
Use 20 KΩ pull-up or pull-down resistors on these pins to set the required setting.
Note:
For debug purposes, it is recommended that these pins be connected to switches or jumpers while in the board development process in order to easily switch between modes.</t>
  </si>
  <si>
    <t>Enables the PLLs. 
PLL used MIO[6] = 0;  PLL bypassed MIO[6] = 1
Use 20 KΩ pull-up or pull-down resistor on this pin to set the required setting.
Note:
For debug purposes, it is recommended that this pin be connected to switches or jumpers while in the board development process in order to easily switch between modes.</t>
  </si>
  <si>
    <t>- Added note to Zynq BOOT_MODE pins to use jumpers/switches for debug</t>
  </si>
  <si>
    <t>QSPI0 1BIT Master Output:
PCB and package delay skew to QSPI CLK should be less than ± 50 ps. See UG933, Zynq-7000 All Programmable SoC PCB Design and Pin Planning Guide, to determine maximum operating frequency.
See AR# 57744 for a reset requirements.</t>
  </si>
  <si>
    <t>QSPI0 2BIT I/O 0:
PCB and package delay skew to QSPI CLK should be less than ± 50 ps. See UG933, Zynq-7000 All Programmable SoC PCB Design and Pin Planning Guide, to determine maximum operating frequency.
See AR# 57744 for a reset requirements.</t>
  </si>
  <si>
    <t>QSPI0 4BIT I/O 0:
PCB and package delay skew to QSPI CLK should be less than ± 50 ps. See UG933, Zynq-7000 All Programmable SoC PCB Design and Pin Planning Guide, to determine maximum operating frequency.
See  AR# 57744 for a reset requirements.</t>
  </si>
  <si>
    <t>QSPI1 Serial Clock:
See UG933, Zynq-7000 All Programmable SoC PCB Design and Pin Planning Guide, to determine maximum operating frequency.
See  AR# 57744 for a reset requirements.</t>
  </si>
  <si>
    <t>QSPI1 Slave Select:
PCB and package delay skew to QSPI CLK should be less than ± 50 ps. See UG933, Zynq-7000 All Programmable SoC PCB Design and Pin Planning Guide, to determine maximum operating frequency.
See  AR# 57744 for a reset requirements.</t>
  </si>
  <si>
    <t>QSPI0 1BIT Master Input:
PCB and package delay skew to QSPI CLK should be less than ± 50 ps. See UG933, Zynq-7000 All Programmable SoC PCB Design and Pin Planning Guide, to determine maximum operating frequency.
See  AR# 57744 for a reset requirements.</t>
  </si>
  <si>
    <t>QSPI0 2BIT I/O 1:
PCB and package delay skew to QSPI CLK should be less than ± 50 ps. See UG933, Zynq-7000 All Programmable SoC PCB Design and Pin Planning Guide, to determine maximum operating frequency.
See  AR# 57744 for a reset requirements.</t>
  </si>
  <si>
    <t>QSPI0 4BIT I/O 1:
PCB and package delay skew to QSPI CLK should be less than ± 50 ps. See UG933, Zynq-7000 All Programmable SoC PCB Design and Pin Planning Guide, to determine maximum operating frequency.
See  AR# 57744 for a reset requirements.</t>
  </si>
  <si>
    <t>QSPI1 1BIT Master Output:
PCB and package delay skew to QSPI CLK should be less than ± 50 ps. See UG933, Zynq-7000 All Programmable SoC PCB Design and Pin Planning Guide, to determine maximum operating frequency.
See  AR# 57744 for a reset requirements.</t>
  </si>
  <si>
    <t>QSPI1 2BIT I/O 0:
PCB and package delay skew to QSPI CLK should be less than ± 50 ps. See UG933, Zynq-7000 All Programmable SoC PCB Design and Pin Planning Guide, to determine maximum operating frequency.
See  AR# 57744 for a reset requirements.</t>
  </si>
  <si>
    <t>QSPI1 4BIT I/O 0:
Match delay to other QSPI lines (± 9ps).  See UG933, Zynq-7000 All Programmable SoC PCB Design and Pin Planning Guide, to determine maximum operating frequency.
See  AR# 57744 for a reset requirements.</t>
  </si>
  <si>
    <t>QSPI0 Slave Select:
PCB and package delay skew to QSPI CLK should be less than ± 50 ps. See UG933, Zynq-7000 All Programmable SoC PCB Design and Pin Planning Guide, to determine maximum operating frequency.
See  AR# 57744 for a reset requirements.</t>
  </si>
  <si>
    <t>QSPI0 1BIT Write Protect:
See UG933, Zynq-7000 All Programmable SoC PCB Design and Pin Planning Guide, to determine maximum operating frequency.
See  AR# 57744 for a reset requirements.</t>
  </si>
  <si>
    <t>QSPI0 2BIT Write Protect:
See UG933, Zynq-7000 All Programmable SoC PCB Design and Pin Planning Guide, to determine maximum operating frequency.
See  AR# 57744 for a reset requirements.</t>
  </si>
  <si>
    <t>QSPI0 4BIT I/O 2:
PCB and package delay skew to QSPI CLK should be less than ± 50 ps. See UG933, Zynq-7000 All Programmable SoC PCB Design and Pin Planning Guide, to determine maximum operating frequency.
See  AR# 57744 for a reset requirements.</t>
  </si>
  <si>
    <t>QSPI1 1BIT Master Input:
PCB and package delay skew to QSPI CLK should be less than ± 50 ps. See UG933, Zynq-7000 All Programmable SoC PCB Design and Pin Planning Guide, to determine maximum operating frequency.
See  AR# 57744 for a reset requirements.</t>
  </si>
  <si>
    <t>QSPI1 2BIT I/O 1:
PCB and package delay skew to QSPI CLK should be less than ± 50 ps. See UG933, Zynq-7000 All Programmable SoC PCB Design and Pin Planning Guide, to determine maximum operating frequency.
See  AR# 57744 for a reset requirements.</t>
  </si>
  <si>
    <t>QSPI1 4BIT I/O 1:
PCB and package delay skew to QSPI CLK should be less than ± 50 ps. See UG933, Zynq-7000 All Programmable SoC PCB Design and Pin Planning Guide, to determine maximum operating frequency.
See  AR# 57744 for a reset requirements.</t>
  </si>
  <si>
    <t>QSPI Output Feedback Clk:
See UG933, Zynq-7000 All Programmable SoC PCB Design and Pin Planning Guide, to determine maximum operating frequency.
See  AR# 57744 for a reset requirements.</t>
  </si>
  <si>
    <t>QSPI0 1BIT Hold:
See UG933, Zynq-7000 All Programmable SoC PCB Design and Pin Planning Guide, to determine maximum operating frequency.
See  AR# 57744 for a reset requirements.</t>
  </si>
  <si>
    <t>QSPI0 2BIT Hold:
See UG933, Zynq-7000 All Programmable SoC PCB Design and Pin Planning Guide, to determine maximum operating frequency.
See  AR# 57744 for a reset requirements.</t>
  </si>
  <si>
    <t>QSPI0 4BIT I/O 3:
PCB and package delay skew to QSPI CLK should be less than ± 50 ps. See UG933, Zynq-7000 All Programmable SoC PCB Design and Pin Planning Guide, to determine maximum operating frequency.
See  AR# 57744 for a reset requirements.</t>
  </si>
  <si>
    <t>QSPI1 1BIT Write Protect:
See UG933, Zynq-7000 All Programmable SoC PCB Design and Pin Planning Guide, to determine maximum operating frequency.
See  AR# 57744 for a reset requirements.</t>
  </si>
  <si>
    <t>QSPI1 2BIT Write Protect:
See UG933, Zynq-7000 All Programmable SoC PCB Design and Pin Planning Guide, to determine maximum operating frequency.
See  AR# 57744 for a reset requirements.</t>
  </si>
  <si>
    <t>QSPI1 4BIT I/O 2:
PCB and package delay skew to QSPI CLK should be less than ± 50 ps. See UG933, Zynq-7000 All Programmable SoC PCB Design and Pin Planning Guide, to determine maximum operating frequency.
See  AR# 57744 for a reset requirements.</t>
  </si>
  <si>
    <t>QSPI0 Serial Clock:
See UG933, Zynq-7000 All Programmable SoC PCB Design and Pin Planning Guide, to determine maximum operating frequency.
See  AR# 57744 for a reset requirements.</t>
  </si>
  <si>
    <t>QSPI1 1BIT Hold:
See UG933, Zynq-7000 All Programmable SoC PCB Design and Pin Planning Guide, to determine maximum operating frequency.
See  AR# 57744 for a reset requirements.</t>
  </si>
  <si>
    <t>QSPI1 2BIT Hold:
See UG933, Zynq-7000 All Programmable SoC PCB Design and Pin Planning Guide, to determine maximum operating frequency.
See  AR# 57744 for a reset requirements.</t>
  </si>
  <si>
    <t>QSPI1 4BIT I/O 3:
PCB and package delay skew to QSPI CLK should be less than ± 50 ps. See UG933, Zynq-7000 All Programmable SoC PCB Design and Pin Planning Guide, to determine maximum operating frequency.
See  AR# 57744 for a reset requirements.</t>
  </si>
  <si>
    <t>- Added a note to DONE recommendations</t>
  </si>
  <si>
    <t>An active-Low signal that is mostly used for debugging purposes. PS_SRST_B must be High to begin the boot process. 
If PS_SRST_B is not used it can be pulled High to VCCO_MIO1. When asserting PS_SRST_B, the pulse length must be longer than 3 PS_CLK cycles.</t>
  </si>
  <si>
    <t>- Updated recommendations for PS_POR_B</t>
  </si>
  <si>
    <t>FB484</t>
  </si>
  <si>
    <t>FB676</t>
  </si>
  <si>
    <t>FF901</t>
  </si>
  <si>
    <t>FB900</t>
  </si>
  <si>
    <t>FF1156</t>
  </si>
  <si>
    <t>FF676</t>
  </si>
  <si>
    <t>FF900</t>
  </si>
  <si>
    <t>FL1761</t>
  </si>
  <si>
    <t>FH1761</t>
  </si>
  <si>
    <t>FF1157</t>
  </si>
  <si>
    <t>FF1158</t>
  </si>
  <si>
    <t>FF1926</t>
  </si>
  <si>
    <t>FL1926</t>
  </si>
  <si>
    <t>FL1155</t>
  </si>
  <si>
    <t>FL1932</t>
  </si>
  <si>
    <t>FL1925</t>
  </si>
  <si>
    <t>FF1761</t>
  </si>
  <si>
    <t>FF1927</t>
  </si>
  <si>
    <t>FF1928</t>
  </si>
  <si>
    <t>FL1928</t>
  </si>
  <si>
    <t>FL1931</t>
  </si>
  <si>
    <t>FF1930</t>
  </si>
  <si>
    <t>FL1930</t>
  </si>
  <si>
    <t>CS324</t>
  </si>
  <si>
    <t>SB484</t>
  </si>
  <si>
    <t>CS325</t>
  </si>
  <si>
    <t>FT256</t>
  </si>
  <si>
    <t>FG484</t>
  </si>
  <si>
    <t>FG676</t>
  </si>
  <si>
    <t>CL225</t>
  </si>
  <si>
    <t>CL485</t>
  </si>
  <si>
    <t>CL400</t>
  </si>
  <si>
    <t>CL484</t>
  </si>
  <si>
    <t>SB324</t>
  </si>
  <si>
    <t>HC1155</t>
  </si>
  <si>
    <t>HC1931</t>
  </si>
  <si>
    <t>HC1932</t>
  </si>
  <si>
    <t>FF1933</t>
  </si>
  <si>
    <t>SB485</t>
  </si>
  <si>
    <t>CP236</t>
  </si>
  <si>
    <t>7K70T_FB484</t>
  </si>
  <si>
    <t>7K160T_FB484</t>
  </si>
  <si>
    <t>7K70T_FB676</t>
  </si>
  <si>
    <t>7K325T_FB676</t>
  </si>
  <si>
    <t>7K410T_FB676</t>
  </si>
  <si>
    <t>7K325T_FF676</t>
  </si>
  <si>
    <t>7K410T_FF676</t>
  </si>
  <si>
    <t>7K160T_FF676</t>
  </si>
  <si>
    <t>7K160T_FB676</t>
  </si>
  <si>
    <t>7K410T_FB900</t>
  </si>
  <si>
    <t>7K410T_FF900</t>
  </si>
  <si>
    <t>7K325T_FF900</t>
  </si>
  <si>
    <t>7K325T_FB900</t>
  </si>
  <si>
    <t>7K480T_FF1156</t>
  </si>
  <si>
    <t>7K420T_FF1156</t>
  </si>
  <si>
    <t>7VX330T_FF1157</t>
  </si>
  <si>
    <t>7VX485T_FF1157</t>
  </si>
  <si>
    <t>7VX415T_FF1157</t>
  </si>
  <si>
    <t>7VX690T_FF1157</t>
  </si>
  <si>
    <t>7V585T_FF1157</t>
  </si>
  <si>
    <t>7VX485T_FF1158</t>
  </si>
  <si>
    <t>7VX550T_FF1158</t>
  </si>
  <si>
    <t>7VX690T_FF1158</t>
  </si>
  <si>
    <t>7VX415T_FF1158</t>
  </si>
  <si>
    <t>7V1500T_FF1761</t>
  </si>
  <si>
    <t>7V2000T_FF1761</t>
  </si>
  <si>
    <t>7VX330T_FF1761</t>
  </si>
  <si>
    <t>7VX485T_FF1761</t>
  </si>
  <si>
    <t>7VX690T_FF1761</t>
  </si>
  <si>
    <t>7V585T_FF1761</t>
  </si>
  <si>
    <t>7V1500T_FL1761</t>
  </si>
  <si>
    <t>7V2000T_FH1761</t>
  </si>
  <si>
    <t>7VX980T_FF1926</t>
  </si>
  <si>
    <t>7VX1140T_FL1926</t>
  </si>
  <si>
    <t>7VX690T_FF1926</t>
  </si>
  <si>
    <t>7VX485T_FF1927</t>
  </si>
  <si>
    <t>7VX550T_FF1927</t>
  </si>
  <si>
    <t>7VX690T_FF1927</t>
  </si>
  <si>
    <t>7VX415T_FF1927</t>
  </si>
  <si>
    <t>7VX1140T_FF1928</t>
  </si>
  <si>
    <t>7VX690T_FF1930</t>
  </si>
  <si>
    <t>7VX980T_FF1930</t>
  </si>
  <si>
    <t>7VX1140T_FL1930</t>
  </si>
  <si>
    <t>7VX1140T_FF1930</t>
  </si>
  <si>
    <t>7VX485T_FF1930</t>
  </si>
  <si>
    <t>7K420T_FF901</t>
  </si>
  <si>
    <t>7K480T_FF901</t>
  </si>
  <si>
    <t>7K355T_FF901</t>
  </si>
  <si>
    <t>7VX980T_FL1928</t>
  </si>
  <si>
    <t>7VX690T_FL1930</t>
  </si>
  <si>
    <t>7VX980T_FL1930</t>
  </si>
  <si>
    <t>7VX485T_FL1930</t>
  </si>
  <si>
    <t>7VH870T_HC1931</t>
  </si>
  <si>
    <t>7VH580T_HC1931</t>
  </si>
  <si>
    <t>7VH870T_HC1932</t>
  </si>
  <si>
    <t>7VH580T_HC1932</t>
  </si>
  <si>
    <t>- Removed lead-free (G) designator for package codes and added note for package selection field</t>
  </si>
  <si>
    <t>- Changed CS236 package name to CP236</t>
  </si>
  <si>
    <t>- Fixed issue where an error message shows after selecting QSPI PSMIO interfaces</t>
  </si>
  <si>
    <t>Voltage Mode.
vmode[0] : MIO[7], MIO 0 (Bank 500) I/O standard voltage.
    0=2.5V/3.3V;   1=1.8V.
vmode[1] : MIO[8], MIO 1 (Bank 501) I/O standard voltage.
    0=2.5V/3.3V;   1=1.8V.
Use 20 KΩ pull-up or pull-down resistors on these pins to set the required setting.
MIO[8:7] are dual use pins that are shared with the high-speed QSPI/NAND/SDRAM interface signals. Special care needs to be taken to avoid signal integrity issues.
To prevent these pins from being driven by other system logic, they cannot be used as general purpose inputs. They can be used as general purpose outputs since the output driver is disabled at reset. The system can start using these as outputs after the voltage mode has been read during system boot.</t>
  </si>
  <si>
    <t>- Added input restriction to vmode recommendations</t>
  </si>
  <si>
    <t>- Updated recommendations for PS_SRST_B</t>
  </si>
  <si>
    <t>See  UG933, Chapter 5, section "PS_POR_B – Power on Reset".
For details on assertion/deassertion limitations for PS_POR_BPS, see Design Advisory #63149 and #65240</t>
  </si>
  <si>
    <t>Connect DONE to an external 330Ω pull-up resistor to VCCO_0.</t>
  </si>
  <si>
    <t>- Removed 33.333 MHz recommendation for PS_CLK</t>
  </si>
  <si>
    <t>- Updated link to UG908</t>
  </si>
  <si>
    <t>- Updated links to Zynq-7000 documentation</t>
  </si>
  <si>
    <t>Optionally connect EMCCLK to an external single-ended clock source to drive the configuration logic when maximum performance is required in a master configuration mode. A bitstream option enables the EMCCLK feature. See Additional Information.
Otherwise, when the default internal oscillator is used to drive the configuration logic, EMCCLK is ignored and can be left unconnected.</t>
  </si>
  <si>
    <t>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t>
  </si>
  <si>
    <t>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t>
  </si>
  <si>
    <t>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t>
  </si>
  <si>
    <t>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t>
  </si>
  <si>
    <t>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t>
  </si>
  <si>
    <t>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t>
  </si>
  <si>
    <t>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t>
  </si>
  <si>
    <t>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t>
  </si>
  <si>
    <t>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t>
  </si>
  <si>
    <t>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t>
  </si>
  <si>
    <t>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t>
  </si>
  <si>
    <t>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t>
  </si>
  <si>
    <t>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t>
  </si>
  <si>
    <t>- Changed instances of BitGen to bitstream</t>
  </si>
  <si>
    <t>Supply must be run at 2.0V for high-speed memory applications, but only has a ±3% tolerance. See UG586 "Design Guidelines" and family specific data sheet for voltage tolerances. Also see UG471 for more info on VCCAUX_IO grouping.</t>
  </si>
  <si>
    <t>- Added reference to UG471 for VCCAUX_IO_G#</t>
  </si>
  <si>
    <t>Note: PUDC_B</t>
  </si>
  <si>
    <t>Check that the bank in which the PUDC_B pin is present is powered and the pin is connected approprietly (High or Low).</t>
  </si>
  <si>
    <t>- Added a check for PUDC_B connection for Zynq-7000</t>
  </si>
  <si>
    <t>The PS_POR_B input is required to be asserted to GND during the power-on sequence until VCCPINT, VCCPAUX and VCCO_MIO0 have reached minimum operating levels. Before VCCPINT reaches 0.80V at least one of the four following conditions is required during the power-off stage: the PS_POR_B input is asserted to GND, the reference clock to the PS_CLK input is disabled, VCCPAUX is lower than 0.70V, or VCCO_MIO0 is lower than 0.90V. The condition must be held until VCCPINT reaches 0.40V to ensure PS eFUSE integrity.
This signal should be generated from the power supply power-good signal or from a voltage supervisor chip. At the time PS_POR_B is released, the system clock (PS_CLK) must have been stable for 2,000 clock cycles. PS_POR_B should be pulled high to VCCO_MIO0. When asserting PS_POR_B, the pulse length must be longer than 100 us</t>
  </si>
  <si>
    <t>- Updated PS_POR_B recommendations</t>
  </si>
  <si>
    <r>
      <t xml:space="preserve">·Use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the “RX Analog Front End” section of UG476, </t>
    </r>
    <r>
      <rPr>
        <i/>
        <sz val="10"/>
        <rFont val="Arial"/>
        <family val="2"/>
      </rPr>
      <t>7 Series FPGAs GTX/GTH Transceivers User Guide</t>
    </r>
    <r>
      <rPr>
        <sz val="10"/>
        <rFont val="Arial"/>
        <family val="2"/>
      </rPr>
      <t>.</t>
    </r>
  </si>
  <si>
    <r>
      <t xml:space="preserve">·Use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“RX Analog Front End” section of UG482, </t>
    </r>
    <r>
      <rPr>
        <i/>
        <sz val="10"/>
        <rFont val="Arial"/>
        <family val="2"/>
      </rPr>
      <t>7 Series FPGAs GTP Transceivers User Guide</t>
    </r>
    <r>
      <rPr>
        <sz val="10"/>
        <rFont val="Arial"/>
        <family val="2"/>
      </rPr>
      <t>.</t>
    </r>
  </si>
  <si>
    <t>- Updated recommendations for unconnected MGT receivers</t>
  </si>
  <si>
    <t>Power-up time is not included in this calculation.</t>
  </si>
  <si>
    <t>- Removed Tpor from bitstream programming time calculation</t>
  </si>
  <si>
    <t>Spartan-7</t>
  </si>
  <si>
    <t>Package Spartan-7</t>
  </si>
  <si>
    <t>7S6</t>
  </si>
  <si>
    <t>7S15</t>
  </si>
  <si>
    <t>7S25</t>
  </si>
  <si>
    <t>7S50</t>
  </si>
  <si>
    <t>7S75</t>
  </si>
  <si>
    <t>7S100</t>
  </si>
  <si>
    <t>CPGA196</t>
  </si>
  <si>
    <t>CSGA225</t>
  </si>
  <si>
    <t>FTGB196</t>
  </si>
  <si>
    <t>CSGA324</t>
  </si>
  <si>
    <t>FGGA484</t>
  </si>
  <si>
    <t>FGGA676</t>
  </si>
  <si>
    <t>7A12T</t>
  </si>
  <si>
    <t>7A25T</t>
  </si>
  <si>
    <t>7Z007S</t>
  </si>
  <si>
    <t>7Z012S</t>
  </si>
  <si>
    <t>7Z014S</t>
  </si>
  <si>
    <t>7S6CPGA196</t>
  </si>
  <si>
    <t>7S15-CPGA196</t>
  </si>
  <si>
    <t>7S6FTGB196</t>
  </si>
  <si>
    <t>7S15-FTGB196</t>
  </si>
  <si>
    <t>7S25-FTGB196</t>
  </si>
  <si>
    <t>7S50-FTGB196</t>
  </si>
  <si>
    <t>7S6CSGA225</t>
  </si>
  <si>
    <t>7S15-CSGA225</t>
  </si>
  <si>
    <t>7S25-CSGA225</t>
  </si>
  <si>
    <t>7S15CPGA196</t>
  </si>
  <si>
    <t>7S6-CPGA196</t>
  </si>
  <si>
    <t>7S15FTGB196</t>
  </si>
  <si>
    <t>7S6-FTGB196</t>
  </si>
  <si>
    <t>7S15CSGA225</t>
  </si>
  <si>
    <t>7S6-CSGA225</t>
  </si>
  <si>
    <t>7S25FTGB196</t>
  </si>
  <si>
    <t>7S25CSGA225</t>
  </si>
  <si>
    <t>7S25CSGA324</t>
  </si>
  <si>
    <t>7S50-CSGA324</t>
  </si>
  <si>
    <t>7S50FTGB196</t>
  </si>
  <si>
    <t>7S50CSGA324</t>
  </si>
  <si>
    <t>7S25-CSGA324</t>
  </si>
  <si>
    <t>7S50FGGA484</t>
  </si>
  <si>
    <t>7S75-FGGA484</t>
  </si>
  <si>
    <t>7S100-FGGA484</t>
  </si>
  <si>
    <t>7S75FGGA484</t>
  </si>
  <si>
    <t>7S50-FGGA484</t>
  </si>
  <si>
    <t>7S75FGGA676</t>
  </si>
  <si>
    <t>7S100-FGGA676</t>
  </si>
  <si>
    <t>7S100FGGA484</t>
  </si>
  <si>
    <t>7S100FGGA676</t>
  </si>
  <si>
    <t>7S75-FGGA676</t>
  </si>
  <si>
    <t>CP238</t>
  </si>
  <si>
    <t>7Z010CL225</t>
  </si>
  <si>
    <t>7Z007S-CL225</t>
  </si>
  <si>
    <t>7Z010CL400</t>
  </si>
  <si>
    <t>7Z020-CL400</t>
  </si>
  <si>
    <t>7Z007S-CL400</t>
  </si>
  <si>
    <t>7Z014S-CL400</t>
  </si>
  <si>
    <t>7Z015CL485</t>
  </si>
  <si>
    <t>7Z030-SB485</t>
  </si>
  <si>
    <t>7Z012S-CL485</t>
  </si>
  <si>
    <t>7Z020CL400</t>
  </si>
  <si>
    <t>7Z010-CL400</t>
  </si>
  <si>
    <t>7Z020CL484</t>
  </si>
  <si>
    <t>7Z014S-CL484</t>
  </si>
  <si>
    <t>7Z030FB484</t>
  </si>
  <si>
    <t>7Z030SB485</t>
  </si>
  <si>
    <t>7Z015-CL485</t>
  </si>
  <si>
    <t>7Z030FB676</t>
  </si>
  <si>
    <t>7Z035-FB676</t>
  </si>
  <si>
    <t>7Z035-FF676</t>
  </si>
  <si>
    <t>7Z045-FB676</t>
  </si>
  <si>
    <t>7Z045-FF676</t>
  </si>
  <si>
    <t>7Z030FF676</t>
  </si>
  <si>
    <t>7Z035FB676</t>
  </si>
  <si>
    <t>7Z030-FB676</t>
  </si>
  <si>
    <t>7Z030-FF676</t>
  </si>
  <si>
    <t>7Z035FF676</t>
  </si>
  <si>
    <t>7Z035FF900</t>
  </si>
  <si>
    <t>7Z045-FF900</t>
  </si>
  <si>
    <t>7Z100-FF900</t>
  </si>
  <si>
    <t>7Z045FB676</t>
  </si>
  <si>
    <t>7Z045FF676</t>
  </si>
  <si>
    <t>7Z045FF900</t>
  </si>
  <si>
    <t>7Z035-FF900</t>
  </si>
  <si>
    <t>7Z100FF900</t>
  </si>
  <si>
    <t>7Z100FF1156</t>
  </si>
  <si>
    <t>7Z007SCL225</t>
  </si>
  <si>
    <t>7Z010-CL225</t>
  </si>
  <si>
    <t>7Z007SCL400</t>
  </si>
  <si>
    <t>7Z012SCL485</t>
  </si>
  <si>
    <t>7Z014SCL400</t>
  </si>
  <si>
    <t>7Z014SCL484</t>
  </si>
  <si>
    <t>7Z020-CL484</t>
  </si>
  <si>
    <t>7A12TCP238</t>
  </si>
  <si>
    <t>7A25T-CP238</t>
  </si>
  <si>
    <t>7A12TCS325</t>
  </si>
  <si>
    <t>7A15T-CS325</t>
  </si>
  <si>
    <t>7A25T-CS325</t>
  </si>
  <si>
    <t>7A35T-CS325</t>
  </si>
  <si>
    <t>7A50T-CS325</t>
  </si>
  <si>
    <t>7A15TCP236</t>
  </si>
  <si>
    <t>7A35T-CP236</t>
  </si>
  <si>
    <t>7A50T-CP236</t>
  </si>
  <si>
    <t>7A15TCS324</t>
  </si>
  <si>
    <t>7A35T-CS324</t>
  </si>
  <si>
    <t>7A50T-CS324</t>
  </si>
  <si>
    <t>7A75T-CS324</t>
  </si>
  <si>
    <t>7A100T-CS324</t>
  </si>
  <si>
    <t>7A15TCS325</t>
  </si>
  <si>
    <t>7A12T-CS325</t>
  </si>
  <si>
    <t>7A15TFG484</t>
  </si>
  <si>
    <t>7A35T-FG484</t>
  </si>
  <si>
    <t>7A50T-FG484</t>
  </si>
  <si>
    <t>7A75T-FG484</t>
  </si>
  <si>
    <t>7A100T-FG484</t>
  </si>
  <si>
    <t>7A200T-FB484</t>
  </si>
  <si>
    <t>7A200T-SB484</t>
  </si>
  <si>
    <t>7A15TFT256</t>
  </si>
  <si>
    <t>7A35T-FT256</t>
  </si>
  <si>
    <t>7A50T-FT256</t>
  </si>
  <si>
    <t>7A75T-FT256</t>
  </si>
  <si>
    <t>7A100T-FT256</t>
  </si>
  <si>
    <t>7A25TCP238</t>
  </si>
  <si>
    <t>7A12T-CP238</t>
  </si>
  <si>
    <t>7A25TCS325</t>
  </si>
  <si>
    <t>7A35TCP236</t>
  </si>
  <si>
    <t>7A15T-CP236</t>
  </si>
  <si>
    <t>7A35TCS324</t>
  </si>
  <si>
    <t>7A15T-CS324</t>
  </si>
  <si>
    <t>7A35TCS325</t>
  </si>
  <si>
    <t>7A35TFG484</t>
  </si>
  <si>
    <t>7A15T-FG484</t>
  </si>
  <si>
    <t>7A35TFT256</t>
  </si>
  <si>
    <t>7A15T-FT256</t>
  </si>
  <si>
    <t>7A50TCP236</t>
  </si>
  <si>
    <t>7A50TCS324</t>
  </si>
  <si>
    <t>7A50TCS325</t>
  </si>
  <si>
    <t>7A50TFG484</t>
  </si>
  <si>
    <t>7A50TFT256</t>
  </si>
  <si>
    <t>7A75TCS324</t>
  </si>
  <si>
    <t>7A75TFG484</t>
  </si>
  <si>
    <t>7A75TFG676</t>
  </si>
  <si>
    <t>7A100T-FG676</t>
  </si>
  <si>
    <t>7A200T-FB676</t>
  </si>
  <si>
    <t>7A75TFT256</t>
  </si>
  <si>
    <t>7A100TCS324</t>
  </si>
  <si>
    <t>7A100TFG484</t>
  </si>
  <si>
    <t>7A100TFG676</t>
  </si>
  <si>
    <t>7A75T-FG676</t>
  </si>
  <si>
    <t>7A100TFT256</t>
  </si>
  <si>
    <t>7A200TFB484</t>
  </si>
  <si>
    <t>7A200TSB484</t>
  </si>
  <si>
    <t>7A200TFB676</t>
  </si>
  <si>
    <t>7A200TFF1156</t>
  </si>
  <si>
    <t>14,34</t>
  </si>
  <si>
    <t>13,14,15,16,34,35,36</t>
  </si>
  <si>
    <t>Bank 14 Spartan7</t>
  </si>
  <si>
    <t>Bank 15 Spartan7</t>
  </si>
  <si>
    <t>JTAG (Only) (Mode 101)Spartan-73.3</t>
  </si>
  <si>
    <t>JTAG (Only) (Mode 101)Spartan-72.5</t>
  </si>
  <si>
    <t>JTAG (Only) (Mode 101)Spartan-71.8</t>
  </si>
  <si>
    <t>JTAG (Only) (Mode 101)Spartan-71.5</t>
  </si>
  <si>
    <t>JTAG (Only) (Mode 101)Spartan-71.2</t>
  </si>
  <si>
    <t>JTAG (Only) (Mode 101)Spartan-70</t>
  </si>
  <si>
    <t>Slave Serial (and JTAG) (Mode 111)Spartan-73.3</t>
  </si>
  <si>
    <t>Slave Serial (and JTAG) (Mode 111)Spartan-72.5</t>
  </si>
  <si>
    <t>Slave Serial (and JTAG) (Mode 111)Spartan-71.8</t>
  </si>
  <si>
    <t>Slave Serial (and JTAG) (Mode 111)Spartan-71.5</t>
  </si>
  <si>
    <t>Slave Serial (and JTAG) (Mode 111)Spartan-71.2</t>
  </si>
  <si>
    <t>Slave Serial (and JTAG) (Mode 111)Spartan-70</t>
  </si>
  <si>
    <t>Master Serial (and JTAG) (Mode 000)Spartan-73.3</t>
  </si>
  <si>
    <t>Master Serial (and JTAG) (Mode 000)Spartan-72.5</t>
  </si>
  <si>
    <t>Master Serial (and JTAG) (Mode 000)Spartan-71.8</t>
  </si>
  <si>
    <t>Master Serial (and JTAG) (Mode 000)Spartan-71.5</t>
  </si>
  <si>
    <t>Master Serial (and JTAG) (Mode 000)Spartan-71.2</t>
  </si>
  <si>
    <t>Master Serial (and JTAG) (Mode 000)Spartan-70</t>
  </si>
  <si>
    <t>Master SPI X1 (and JTAG) (Mode (001)Spartan-73.3</t>
  </si>
  <si>
    <t>Master SPI X1 (and JTAG) (Mode (001)Spartan-72.5</t>
  </si>
  <si>
    <t>Master SPI X1 (and JTAG) (Mode (001)Spartan-71.8</t>
  </si>
  <si>
    <t>Master SPI X1 (and JTAG) (Mode (001)Spartan-71.5</t>
  </si>
  <si>
    <t>Master SPI X1 (and JTAG) (Mode (001)Spartan-71.2</t>
  </si>
  <si>
    <t>Master SPI X1 (and JTAG) (Mode (001)Spartan-70</t>
  </si>
  <si>
    <t>Master SPI X2 (and JTAG) (Mode 001)Spartan-73.3</t>
  </si>
  <si>
    <t>Master SPI X2 (and JTAG) (Mode 001)Spartan-72.5</t>
  </si>
  <si>
    <t>Master SPI X2 (and JTAG) (Mode 001)Spartan-71.8</t>
  </si>
  <si>
    <t>Master SPI X2 (and JTAG) (Mode 001)Spartan-71.5</t>
  </si>
  <si>
    <t>Master SPI X2 (and JTAG) (Mode 001)Spartan-71.2</t>
  </si>
  <si>
    <t>Master SPI X2 (and JTAG) (Mode 001)Spartan-70</t>
  </si>
  <si>
    <t>Master SPI X4 (and JTAG) (Mode 001)Spartan-73.3</t>
  </si>
  <si>
    <t>Master SPI X4 (and JTAG) (Mode 001)Spartan-72.5</t>
  </si>
  <si>
    <t>Master SPI X4 (and JTAG) (Mode 001)Spartan-71.8</t>
  </si>
  <si>
    <t>Master SPI X4 (and JTAG) (Mode 001)Spartan-71.5</t>
  </si>
  <si>
    <t>Master SPI X4 (and JTAG) (Mode 001)Spartan-71.2</t>
  </si>
  <si>
    <t>Master SPI X4 (and JTAG) (Mode 001)Spartan-70</t>
  </si>
  <si>
    <t>Master SelectMAP X8 (and JTAG) (Mode 100)Spartan-73.3</t>
  </si>
  <si>
    <t>Master SelectMAP X8 (and JTAG) (Mode 100)Spartan-72.5</t>
  </si>
  <si>
    <t>Master SelectMAP X8 (and JTAG) (Mode 100)Spartan-71.8</t>
  </si>
  <si>
    <t>Master SelectMAP X8 (and JTAG) (Mode 100)Spartan-71.5</t>
  </si>
  <si>
    <t>Master SelectMAP X8 (and JTAG) (Mode 100)Spartan-71.2</t>
  </si>
  <si>
    <t>Master SelectMAP X8 (and JTAG) (Mode 100)Spartan-70</t>
  </si>
  <si>
    <t>Master SelectMAP X16 (and JTAG) (Mode 100)Spartan-73.3</t>
  </si>
  <si>
    <t>Master SelectMAP X16 (and JTAG) (Mode 100)Spartan-72.5</t>
  </si>
  <si>
    <t>Master SelectMAP X16 (and JTAG) (Mode 100)Spartan-71.8</t>
  </si>
  <si>
    <t>Master SelectMAP X16 (and JTAG) (Mode 100)Spartan-71.5</t>
  </si>
  <si>
    <t>Master SelectMAP X16 (and JTAG) (Mode 100)Spartan-71.2</t>
  </si>
  <si>
    <t>Master SelectMAP X16 (and JTAG) (Mode 100)Spartan-70</t>
  </si>
  <si>
    <t>Slave SelectMAP X8 (and JTAG) (Mode 110)Spartan-73.3</t>
  </si>
  <si>
    <t>Slave SelectMAP X8 (and JTAG) (Mode 110)Spartan-72.5</t>
  </si>
  <si>
    <t>Slave SelectMAP X8 (and JTAG) (Mode 110)Spartan-71.8</t>
  </si>
  <si>
    <t>Slave SelectMAP X8 (and JTAG) (Mode 110)Spartan-71.5</t>
  </si>
  <si>
    <t>Slave SelectMAP X8 (and JTAG) (Mode 110)Spartan-71.2</t>
  </si>
  <si>
    <t>Slave SelectMAP X8 (and JTAG) (Mode 110)Spartan-70</t>
  </si>
  <si>
    <t>Slave SelectMAP X16 (and JTAG) (Mode 110)Spartan-73.3</t>
  </si>
  <si>
    <t>Slave SelectMAP X16 (and JTAG) (Mode 110)Spartan-72.5</t>
  </si>
  <si>
    <t>Slave SelectMAP X16 (and JTAG) (Mode 110)Spartan-71.8</t>
  </si>
  <si>
    <t>Slave SelectMAP X16 (and JTAG) (Mode 110)Spartan-71.5</t>
  </si>
  <si>
    <t>Slave SelectMAP X16 (and JTAG) (Mode 110)Spartan-71.2</t>
  </si>
  <si>
    <t>Slave SelectMAP X16 (and JTAG) (Mode 110)Spartan-70</t>
  </si>
  <si>
    <t>Slave SelectMAP X32 (and JTAG) (Mode 110)Spartan-73.3</t>
  </si>
  <si>
    <t>Slave SelectMAP X32 (and JTAG) (Mode 110)Spartan-72.5</t>
  </si>
  <si>
    <t>Slave SelectMAP X32 (and JTAG) (Mode 110)Spartan-71.8</t>
  </si>
  <si>
    <t>Slave SelectMAP X32 (and JTAG) (Mode 110)Spartan-71.5</t>
  </si>
  <si>
    <t>Slave SelectMAP X32 (and JTAG) (Mode 110)Spartan-71.2</t>
  </si>
  <si>
    <t>Slave SelectMAP X32 (and JTAG) (Mode 110)Spartan-70</t>
  </si>
  <si>
    <t>Master BPI X8 (and JTAG) (Mode 010)Spartan-73.3</t>
  </si>
  <si>
    <t>Master BPI X8 (and JTAG) (Mode 010)Spartan-72.5</t>
  </si>
  <si>
    <t>Master BPI X8 (and JTAG) (Mode 010)Spartan-71.8</t>
  </si>
  <si>
    <t>Master BPI X8 (and JTAG) (Mode 010)Spartan-71.5</t>
  </si>
  <si>
    <t>Master BPI X8 (and JTAG) (Mode 010)Spartan-71.2</t>
  </si>
  <si>
    <t>Master BPI X8 (and JTAG) (Mode 010)Spartan-70</t>
  </si>
  <si>
    <t>Master BPI X16 (and JTAG) (Mode 010)Spartan-73.3</t>
  </si>
  <si>
    <t>Master BPI X16 (and JTAG) (Mode 010)Spartan-72.5</t>
  </si>
  <si>
    <t>Master BPI X16 (and JTAG) (Mode 010)Spartan-71.8</t>
  </si>
  <si>
    <t>Master BPI X16 (and JTAG) (Mode 010)Spartan-71.5</t>
  </si>
  <si>
    <t>Master BPI X16 (and JTAG) (Mode 010)Spartan-71.2</t>
  </si>
  <si>
    <t>Master BPI X16 (and JTAG) (Mode 010)Spartan-70</t>
  </si>
  <si>
    <t>- Added support for 7A12T and 7A25T devices</t>
  </si>
  <si>
    <t>- Added support for 7Z007S, 7Z012S and 7Z014S devices</t>
  </si>
  <si>
    <t>- Added support for Spartan-7 devices</t>
  </si>
  <si>
    <t>- Corrected decoupling capacitor values for 7S50 in CSGA324 and FTGB196 packages</t>
  </si>
  <si>
    <t>1.7.1</t>
  </si>
  <si>
    <t>SPI 0 Slave Select 0:
Place a 4.7kΩ pull-up resistor near the serial peripheral interface (SPI) device.</t>
  </si>
  <si>
    <t>SPI1 Slave Select 0:
Place a 4.7kΩ pull-up resistor near the serial peripheral interface (SPI) device.</t>
  </si>
  <si>
    <t>SPI 0 Slave Select 1:
Place a 4.7kΩ pull-up resistor near the serial peripheral interface (SPI) device.</t>
  </si>
  <si>
    <t>SPI1 Slave Select 1:
Place a 4.7kΩ pull-up resistor near the serial peripheral interface (SPI) device.</t>
  </si>
  <si>
    <t>SPI 0 Slave Select 2:
Place a 4.7kΩ pull-up resistor near the serial peripheral interface (SPI) device.</t>
  </si>
  <si>
    <t>SPI1 Slave Select 2:
Place a 4.7kΩ pull-up resistor near the serial peripheral interface (SPI) device.</t>
  </si>
  <si>
    <t>- Fixed broken link to UG908</t>
  </si>
  <si>
    <t>USB0 DIR:
PCB and package delays should be kept to 1.3 ns or below. PCB and package delay skew to CLK should be ±100 ps.</t>
  </si>
  <si>
    <t>USB1 DIR:
PCB and package delays should be kept to 1.3 ns or below. PCB and package delay skew to CLK should be ±100 ps.</t>
  </si>
  <si>
    <t>USB0 NXT:
PCB and package delays should be kept to 1.3 ns or below. PCB and package delay skew to CLK should be ±100 ps.</t>
  </si>
  <si>
    <t>USB1 NXT:
PCB and package delays should be kept to 1.3 ns or below. PCB and package delay skew to CLK should be ±100 ps.</t>
  </si>
  <si>
    <t>USB0 TX CLK:
PCB and package delays should be kept to 1.3 ns or below. Clock trace should always be shorter than the data and control signals to improve hold time.</t>
  </si>
  <si>
    <t>USB1 TX CLK:
PCB and package delays should be kept to 1.3 ns or below. Clock trace should always be shorter than the data and control signals to improve hold time.</t>
  </si>
  <si>
    <t>USB1 Data 2:
PCB and package delays should be kept to 1.3 ns or below. PCB and package delay skew to CLK should be ±100 ps. For optimum signal integrity, add a 30Ω series resistor near the SoC.</t>
  </si>
  <si>
    <t>USB0 STP:
PCB and package delays should be kept to 1.3 ns or below. PCB and package delay skew to CLK should be ±100 ps. For optimum signal integrity, add a 30Ω series resistor near the SoC.</t>
  </si>
  <si>
    <t>USB1 STP:
PCB and package delays should be kept to 1.3 ns or below. PCB and package delay skew to CLK should be ±100 ps. For optimum signal integrity, add a 30Ω series resistor near the SoC.</t>
  </si>
  <si>
    <t>USB0 Data 0:
PCB and package delays should be kept to 1.3 ns or below. PCB and package delay skew to CLK should be ±100 ps. For optimum signal integrity, add a 30Ω series resistor near the SoC.</t>
  </si>
  <si>
    <t>USB1 Data 0:
PCB and package delays should be kept to 1.3 ns or below. PCB and package delay skew to CLK should be ±100 ps. For optimum signal integrity, add a 30Ω series resistor near the SoC.</t>
  </si>
  <si>
    <t>USB0 Data 1:
PCB and package delays should be kept to 1.3 ns or below. PCB and package delay skew to CLK should be ±100 ps. For optimum signal integrity, add a 30Ω series resistor near the SoC.</t>
  </si>
  <si>
    <t>USB1 Data 1:
PCB and package delays should be kept to 1.3 ns or below. PCB and package delay skew to CLK should be ±100 ps. For optimum signal integrity, add a 30Ω series resistor near the SoC.</t>
  </si>
  <si>
    <t>USB0 Data 2:
PCB and package delays should be kept to 1.3 ns or below. PCB and package delay skew to CLK should be ±100 ps. For optimum signal integrity, add a 30Ω series resistor near the SoC.</t>
  </si>
  <si>
    <t>USB0 Data 3:
PCB and package delays should be kept to 1.3 ns or below. PCB and package delay skew to CLK should be ±100 ps. For optimum signal integrity, add a 30Ω series resistor near the SoC.</t>
  </si>
  <si>
    <t>USB1 Data 3:
PCB and package delays should be kept to 1.3 ns or below. PCB and package delay skew to CLK should be ±100 ps. For optimum signal integrity, add a 30Ω series resistor near the SoC.</t>
  </si>
  <si>
    <t>USB0 Data 5:
PCB and package delays should be kept to 1.3 ns or below. PCB and package delay skew to CLK should be ±100 ps. For optimum signal integrity, add a 30Ω series resistor near the SoC.</t>
  </si>
  <si>
    <t>USB1 Data 5:
PCB and package delays should be kept to 1.3 ns or below. PCB and package delay skew to CLK should be ±100 ps. For optimum signal integrity, add a 30Ω series resistor near the SoC.</t>
  </si>
  <si>
    <t>USB0 Data 6:
PCB and package delays should be kept to 1.3 ns or below. PCB and package delay skew to CLK should be ±100 ps. For optimum signal integrity, add a 30Ω series resistor near the SoC.</t>
  </si>
  <si>
    <t>USB1 Data 6:
PCB and package delays should be kept to 1.3 ns or below. PCB and package delay skew to CLK should be ±100 ps. For optimum signal integrity, add a 30Ω series resistor near the SoC.</t>
  </si>
  <si>
    <t>USB0 Data 7:
PCB and package delays should be kept to 1.3 ns or below. PCB and package delay skew to CLK should be ±100 ps. For optimum signal integrity, add a 30Ω series resistor near the SoC.</t>
  </si>
  <si>
    <t>USB1 Data 7:
PCB and package delays should be kept to 1.3 ns or below. PCB and package delay skew to CLK should be ±100 ps. For optimum signal integrity, add a 30Ω series resistor near the SoC.</t>
  </si>
  <si>
    <t>SPI 0 CLK:
Match delay to MOSI and MISO (± 100 ps).</t>
  </si>
  <si>
    <t>SPI1 MOSI:
Match delay to MOSI and MISO (± 100 ps).</t>
  </si>
  <si>
    <t>SPI 0 MOSI:
Match delay to CLK and MISO (± 100 ps). Place a 2.00 kΩ pull-up resistor near the SPI device.</t>
  </si>
  <si>
    <t>SPI1 MISO:
Match delay to CLK and MISO (± 100 ps). Place a 2.00 kΩ pull-up resistor near the SPI device.</t>
  </si>
  <si>
    <t>SPI 0 MISO:
Match delay to CLK and MOSI (± 100 ps). Place a 2.00 kΩ pull-up resistor near the SPI device.</t>
  </si>
  <si>
    <t>SPI1 CLK:
Match delay to CLK and MOSI (± 100 ps). Place a 2.00 kΩ pull-up resistor near the SPI device.</t>
  </si>
  <si>
    <t>- Updated recommendations for SPI MIO Interface</t>
  </si>
  <si>
    <t>- Updated recommendations for USB MIO Interface</t>
  </si>
  <si>
    <t>- Updated VCCAUX_IO decoupling 4.7 uF capacitor number for 7Z035 devices</t>
  </si>
  <si>
    <t>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AR# 44103 and AR# 62972.
If multiple devices are to be connected in the same configuration chain, see the "Multiple FPGA Configuration" section of UG470 for guidelines.</t>
  </si>
  <si>
    <t>- Added reference to AR# 62972 for DONE</t>
  </si>
  <si>
    <t>- Changed RSVDGND tieoff recommendation from ground to floating</t>
  </si>
  <si>
    <t>0, 1</t>
  </si>
  <si>
    <t>QSPI_FEEDBACK_CLK</t>
  </si>
  <si>
    <t>8</t>
  </si>
  <si>
    <t>QSPI FEEDBACK CLK</t>
  </si>
  <si>
    <t>USB1 Data 4:
PCB/package delays should be kept to 1.3 ns or below and delay skew to CLK should be ±100 ps. For optimum SI, add a 30Ω series resistor near the SoC.</t>
  </si>
  <si>
    <t>USB1 Data 2:
PCB/package delays should be kept to 1.3 ns or below and delay skew to CLK should be ±100 ps. For optimum SI, add a 30Ω series resistor near the SoC.</t>
  </si>
  <si>
    <t>0.47 µF</t>
  </si>
  <si>
    <t>- Separated QSPI_FEEDBACK_CLK from QSPI_CS</t>
  </si>
  <si>
    <t>- Fixed error when selecting USB0 or USB1 MIO interfaces</t>
  </si>
  <si>
    <t>- Corrected decoupling capacitor values for 7Z035 devices</t>
  </si>
  <si>
    <t>- Added RSVDGND pin for 7A12T device</t>
  </si>
  <si>
    <t>Connect to ground</t>
  </si>
  <si>
    <t>- Corrected the description for Note: PUDC_B in the PS Configuration section</t>
  </si>
  <si>
    <t>PS Boot Mode (JTAG)</t>
  </si>
  <si>
    <t>PS Boot Mode (NOR)</t>
  </si>
  <si>
    <t>PS Boot Mode (NAND 8-bit)</t>
  </si>
  <si>
    <t>PS Boot Mode (NAND 16-bit)</t>
  </si>
  <si>
    <t>PS Boot Mode (Quad-SPI 1-bit)</t>
  </si>
  <si>
    <t>PS Boot Mode (Quad-SPI 2-bit)</t>
  </si>
  <si>
    <t>PS Boot Mode (Quad-SPI 4-bit)</t>
  </si>
  <si>
    <t>PS Boot Mode (Quad-SPI 8-bit)</t>
  </si>
  <si>
    <t>PS Boot Mode (SD Card)</t>
  </si>
  <si>
    <t>- Added PS boot mode configurations options</t>
  </si>
  <si>
    <t>Note for ISE users:
When running BitGen via a command line or script, the .pcf file must be included. The .pcf file is read into BitGen to include the DCI_CASCADE attributes. 
From Project Navigator, the .pcf file is automatically included during BitGen because it has the same name as the design name.</t>
  </si>
  <si>
    <t>- Clarified additional information for DCI Cascade only applies to ISE users</t>
  </si>
  <si>
    <t>© Copyright 2012–2020 Xilinx, Inc. Xilinx, the Xilinx logo, Artix, ISE, Kintex, Spartan, Virtex, Vivado, Zynq, and other designated brands included herein are trademarks of Xilinx in the United States and other countries. The PowerPC name and logo are registered trademarks of IBM Corp., and used under license. All other trademarks are the property of their respective owners.</t>
  </si>
  <si>
    <t>PS Boot Mode (JTAG)Zynq-70003.3</t>
  </si>
  <si>
    <t>PS Boot Mode (JTAG)Zynq-70002.5</t>
  </si>
  <si>
    <t>PS Boot Mode (JTAG)Zynq-70001.8</t>
  </si>
  <si>
    <t>PS Boot Mode (JTAG)Zynq-70001.5</t>
  </si>
  <si>
    <t>PS Boot Mode (JTAG)Zynq-70001.2</t>
  </si>
  <si>
    <t>PS Boot Mode (JTAG)Zynq-70000</t>
  </si>
  <si>
    <t>PS Boot Mode (NOR)Zynq-70003.3</t>
  </si>
  <si>
    <t>PS Boot Mode (NOR)Zynq-70002.5</t>
  </si>
  <si>
    <t>PS Boot Mode (NOR)Zynq-70001.8</t>
  </si>
  <si>
    <t>PS Boot Mode (NOR)Zynq-70001.5</t>
  </si>
  <si>
    <t>PS Boot Mode (NOR)Zynq-70001.2</t>
  </si>
  <si>
    <t>PS Boot Mode (NOR)Zynq-70000</t>
  </si>
  <si>
    <t>PS Boot Mode (NAND 8-bit)Zynq-70003.3</t>
  </si>
  <si>
    <t>PS Boot Mode (NAND 8-bit)Zynq-70002.5</t>
  </si>
  <si>
    <t>PS Boot Mode (NAND 8-bit)Zynq-70001.8</t>
  </si>
  <si>
    <t>PS Boot Mode (NAND 8-bit)Zynq-70001.5</t>
  </si>
  <si>
    <t>PS Boot Mode (NAND 8-bit)Zynq-70001.2</t>
  </si>
  <si>
    <t>PS Boot Mode (NAND 8-bit)Zynq-70000</t>
  </si>
  <si>
    <t>PS Boot Mode (NAND 16-bit)Zynq-70003.3</t>
  </si>
  <si>
    <t>PS Boot Mode (NAND 16-bit)Zynq-70002.5</t>
  </si>
  <si>
    <t>PS Boot Mode (NAND 16-bit)Zynq-70001.8</t>
  </si>
  <si>
    <t>PS Boot Mode (NAND 16-bit)Zynq-70001.5</t>
  </si>
  <si>
    <t>PS Boot Mode (NAND 16-bit)Zynq-70001.2</t>
  </si>
  <si>
    <t>PS Boot Mode (NAND 16-bit)Zynq-70000</t>
  </si>
  <si>
    <t>PS Boot Mode (Quad-SPI 1-bit)Zynq-70003.3</t>
  </si>
  <si>
    <t>PS Boot Mode (Quad-SPI 1-bit)Zynq-70002.5</t>
  </si>
  <si>
    <t>PS Boot Mode (Quad-SPI 1-bit)Zynq-70001.8</t>
  </si>
  <si>
    <t>PS Boot Mode (Quad-SPI 1-bit)Zynq-70001.5</t>
  </si>
  <si>
    <t>PS Boot Mode (Quad-SPI 1-bit)Zynq-70001.2</t>
  </si>
  <si>
    <t>PS Boot Mode (Quad-SPI 1-bit)Zynq-70000</t>
  </si>
  <si>
    <t>PS Boot Mode (Quad-SPI 2-bit)Zynq-70003.3</t>
  </si>
  <si>
    <t>PS Boot Mode (Quad-SPI 2-bit)Zynq-70002.5</t>
  </si>
  <si>
    <t>PS Boot Mode (Quad-SPI 2-bit)Zynq-70001.8</t>
  </si>
  <si>
    <t>PS Boot Mode (Quad-SPI 2-bit)Zynq-70001.5</t>
  </si>
  <si>
    <t>PS Boot Mode (Quad-SPI 2-bit)Zynq-70001.2</t>
  </si>
  <si>
    <t>PS Boot Mode (Quad-SPI 2-bit)Zynq-70000</t>
  </si>
  <si>
    <t>PS Boot Mode (Quad-SPI 4-bit)Zynq-70003.3</t>
  </si>
  <si>
    <t>PS Boot Mode (Quad-SPI 4-bit)Zynq-70002.5</t>
  </si>
  <si>
    <t>PS Boot Mode (Quad-SPI 4-bit)Zynq-70001.8</t>
  </si>
  <si>
    <t>PS Boot Mode (Quad-SPI 4-bit)Zynq-70001.5</t>
  </si>
  <si>
    <t>PS Boot Mode (Quad-SPI 4-bit)Zynq-70001.2</t>
  </si>
  <si>
    <t>PS Boot Mode (Quad-SPI 4-bit)Zynq-70000</t>
  </si>
  <si>
    <t>PS Boot Mode (Quad-SPI 8-bit)Zynq-70003.3</t>
  </si>
  <si>
    <t>PS Boot Mode (Quad-SPI 8-bit)Zynq-70002.5</t>
  </si>
  <si>
    <t>PS Boot Mode (Quad-SPI 8-bit)Zynq-70001.8</t>
  </si>
  <si>
    <t>PS Boot Mode (Quad-SPI 8-bit)Zynq-70001.5</t>
  </si>
  <si>
    <t>PS Boot Mode (Quad-SPI 8-bit)Zynq-70001.2</t>
  </si>
  <si>
    <t>PS Boot Mode (Quad-SPI 8-bit)Zynq-70000</t>
  </si>
  <si>
    <t>PS Boot Mode (SD Card)Zynq-70003.3</t>
  </si>
  <si>
    <t>PS Boot Mode (SD Card)Zynq-70002.5</t>
  </si>
  <si>
    <t>PS Boot Mode (SD Card)Zynq-70001.8</t>
  </si>
  <si>
    <t>PS Boot Mode (SD Card)Zynq-70001.5</t>
  </si>
  <si>
    <t>PS Boot Mode (SD Card)Zynq-70001.2</t>
  </si>
  <si>
    <t>PS Boot Mode (SD Card)Zynq-70000</t>
  </si>
  <si>
    <t>XMP277 (v1.10) March 30, 2020</t>
  </si>
  <si>
    <t>U1</t>
  </si>
  <si>
    <t>GMU CERG</t>
  </si>
  <si>
    <t>Jans Kaps</t>
  </si>
  <si>
    <t>na</t>
  </si>
  <si>
    <t>DUT-SPARTAN7-7S15-CPGA196</t>
  </si>
  <si>
    <t>Spartan 7</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</si>
</sst>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409]d\-mmm\-yyyy;@"/>
    <numFmt numFmtId="165" formatCode="0.000"/>
    <numFmt numFmtId="166" formatCode="0.0"/>
    <numFmt numFmtId="167" formatCode="mm/dd/yy;@"/>
  </numFmts>
  <fonts count="56">
    <font>
      <sz val="10"/>
      <name val="Arial"/>
    </font>
    <font>
      <sz val="11"/>
      <color theme="1"/>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color indexed="8"/>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9"/>
      <name val="Arial"/>
      <family val="2"/>
    </font>
    <font>
      <u/>
      <sz val="10"/>
      <color indexed="12"/>
      <name val="Arial"/>
      <family val="2"/>
    </font>
    <font>
      <sz val="10"/>
      <name val="Arial"/>
      <family val="2"/>
    </font>
    <font>
      <sz val="10"/>
      <color indexed="18"/>
      <name val="Arial"/>
      <family val="2"/>
    </font>
    <font>
      <vertAlign val="subscript"/>
      <sz val="10"/>
      <name val="Arial"/>
      <family val="2"/>
    </font>
    <font>
      <b/>
      <sz val="10"/>
      <name val="Arial"/>
      <family val="2"/>
    </font>
    <font>
      <sz val="9.5"/>
      <name val="Palatino"/>
      <family val="1"/>
    </font>
    <font>
      <sz val="8"/>
      <name val="Arial"/>
      <family val="2"/>
    </font>
    <font>
      <sz val="8"/>
      <name val="Arial"/>
      <family val="2"/>
    </font>
    <font>
      <sz val="10"/>
      <color indexed="63"/>
      <name val="Arial"/>
      <family val="2"/>
    </font>
    <font>
      <sz val="8"/>
      <name val="Arial"/>
      <family val="2"/>
    </font>
    <font>
      <sz val="12"/>
      <name val="Arial"/>
      <family val="2"/>
    </font>
    <font>
      <sz val="8"/>
      <color indexed="81"/>
      <name val="Tahoma"/>
      <family val="2"/>
    </font>
    <font>
      <b/>
      <sz val="9"/>
      <color indexed="81"/>
      <name val="Tahoma"/>
      <family val="2"/>
    </font>
    <font>
      <sz val="8"/>
      <name val="Arial"/>
      <family val="2"/>
    </font>
    <font>
      <i/>
      <sz val="10"/>
      <name val="Arial"/>
      <family val="2"/>
    </font>
    <font>
      <i/>
      <sz val="10"/>
      <color indexed="63"/>
      <name val="Arial"/>
      <family val="2"/>
    </font>
    <font>
      <vertAlign val="subscript"/>
      <sz val="9.5"/>
      <name val="Palatino"/>
      <family val="1"/>
    </font>
    <font>
      <i/>
      <sz val="9.5"/>
      <name val="Palatino"/>
      <family val="1"/>
    </font>
    <font>
      <i/>
      <sz val="9.5"/>
      <name val="Palatino"/>
    </font>
    <font>
      <sz val="9.5"/>
      <name val="Palatino"/>
    </font>
    <font>
      <sz val="20"/>
      <color indexed="9"/>
      <name val="Arial"/>
      <family val="2"/>
    </font>
    <font>
      <sz val="10"/>
      <name val="Arial"/>
      <family val="2"/>
    </font>
    <font>
      <b/>
      <u/>
      <sz val="12"/>
      <name val="Arial"/>
      <family val="2"/>
    </font>
    <font>
      <b/>
      <i/>
      <sz val="12"/>
      <name val="Arial"/>
      <family val="2"/>
    </font>
    <font>
      <sz val="11"/>
      <color theme="1"/>
      <name val="Calibri"/>
      <family val="2"/>
      <scheme val="minor"/>
    </font>
    <font>
      <sz val="10"/>
      <color theme="0"/>
      <name val="Arial"/>
      <family val="2"/>
    </font>
    <font>
      <sz val="12"/>
      <color theme="0"/>
      <name val="Arial"/>
      <family val="2"/>
    </font>
    <font>
      <sz val="16"/>
      <color rgb="FFC00000"/>
      <name val="Arial"/>
      <family val="2"/>
    </font>
    <font>
      <b/>
      <sz val="10"/>
      <color rgb="FFC00000"/>
      <name val="Arial"/>
      <family val="2"/>
    </font>
    <font>
      <b/>
      <sz val="10"/>
      <color theme="8"/>
      <name val="Arial"/>
      <family val="2"/>
    </font>
    <font>
      <sz val="10"/>
      <color rgb="FF000000"/>
      <name val="Arial"/>
      <family val="2"/>
    </font>
    <font>
      <b/>
      <sz val="24"/>
      <color rgb="FFFF0000"/>
      <name val="Helvetica"/>
      <family val="2"/>
    </font>
    <font>
      <b/>
      <sz val="16"/>
      <color rgb="FF000000"/>
      <name val="Arial"/>
      <family val="2"/>
    </font>
    <font>
      <b/>
      <sz val="10"/>
      <color rgb="FF000000"/>
      <name val="Arial"/>
      <family val="2"/>
    </font>
    <font>
      <sz val="1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2499465926084170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0" tint="-0.14999847407452621"/>
        <bgColor indexed="64"/>
      </patternFill>
    </fill>
    <fill>
      <gradientFill degree="180">
        <stop position="0">
          <color theme="0" tint="-0.34900967436750391"/>
        </stop>
        <stop position="1">
          <color theme="0" tint="-0.49803155613879818"/>
        </stop>
      </gradientFill>
    </fill>
    <fill>
      <gradientFill degree="180">
        <stop position="0">
          <color theme="0" tint="-0.49803155613879818"/>
        </stop>
        <stop position="1">
          <color theme="1" tint="0.34900967436750391"/>
        </stop>
      </gradientFill>
    </fill>
    <fill>
      <gradientFill>
        <stop position="0">
          <color theme="0" tint="-0.34900967436750391"/>
        </stop>
        <stop position="1">
          <color theme="0" tint="-0.49803155613879818"/>
        </stop>
      </gradientFill>
    </fill>
    <fill>
      <gradientFill type="path" left="0.5" right="0.5" top="0.5" bottom="0.5">
        <stop position="0">
          <color theme="1" tint="0.49803155613879818"/>
        </stop>
        <stop position="1">
          <color theme="0" tint="-0.34900967436750391"/>
        </stop>
      </gradientFill>
    </fill>
    <fill>
      <gradientFill type="path" left="0.5" right="0.5" top="0.5" bottom="0.5">
        <stop position="0">
          <color theme="0" tint="-0.49803155613879818"/>
        </stop>
        <stop position="1">
          <color theme="0" tint="-0.34900967436750391"/>
        </stop>
      </gradientFill>
    </fill>
    <fill>
      <gradientFill degree="180">
        <stop position="0">
          <color theme="0" tint="-0.25098422193060094"/>
        </stop>
        <stop position="1">
          <color theme="0" tint="-0.49803155613879818"/>
        </stop>
      </gradientFill>
    </fill>
  </fills>
  <borders count="3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94">
    <xf numFmtId="0" fontId="0" fillId="0" borderId="0"/>
    <xf numFmtId="0" fontId="22"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21"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2" fillId="0" borderId="0"/>
    <xf numFmtId="0" fontId="22" fillId="0" borderId="0"/>
    <xf numFmtId="0" fontId="45" fillId="0" borderId="0"/>
    <xf numFmtId="0" fontId="7"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1" fillId="0" borderId="0"/>
    <xf numFmtId="0" fontId="22" fillId="0" borderId="0"/>
    <xf numFmtId="0" fontId="55"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 fillId="0" borderId="0"/>
    <xf numFmtId="0" fontId="7"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22" fillId="0" borderId="0"/>
    <xf numFmtId="0" fontId="22" fillId="0" borderId="0"/>
  </cellStyleXfs>
  <cellXfs count="253">
    <xf numFmtId="0" fontId="0" fillId="0" borderId="0" xfId="0"/>
    <xf numFmtId="0" fontId="0" fillId="0" borderId="0" xfId="0" applyAlignment="1">
      <alignment wrapText="1"/>
    </xf>
    <xf numFmtId="0" fontId="0" fillId="0" borderId="0" xfId="0" applyBorder="1"/>
    <xf numFmtId="0" fontId="0" fillId="0" borderId="10" xfId="0" applyBorder="1" applyAlignment="1">
      <alignment horizontal="left" vertical="top" wrapText="1"/>
    </xf>
    <xf numFmtId="49" fontId="22" fillId="0" borderId="10" xfId="0" applyNumberFormat="1" applyFont="1" applyBorder="1" applyAlignment="1">
      <alignment horizontal="left" vertical="top" wrapText="1"/>
    </xf>
    <xf numFmtId="0" fontId="22" fillId="0" borderId="10" xfId="0" applyFont="1" applyBorder="1" applyAlignment="1">
      <alignment horizontal="left" vertical="top" wrapText="1"/>
    </xf>
    <xf numFmtId="0" fontId="22" fillId="0" borderId="0" xfId="0" applyFont="1"/>
    <xf numFmtId="0" fontId="22" fillId="0" borderId="0" xfId="0" applyFont="1" applyAlignment="1">
      <alignment wrapText="1"/>
    </xf>
    <xf numFmtId="49" fontId="0" fillId="0" borderId="0" xfId="0" applyNumberFormat="1" applyFont="1"/>
    <xf numFmtId="49"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49" fontId="22" fillId="0" borderId="0" xfId="0" applyNumberFormat="1" applyFont="1"/>
    <xf numFmtId="0" fontId="22" fillId="0" borderId="0" xfId="0" applyFont="1" applyBorder="1"/>
    <xf numFmtId="0" fontId="22" fillId="0" borderId="0" xfId="0" applyFont="1" applyFill="1" applyBorder="1"/>
    <xf numFmtId="0" fontId="22" fillId="0" borderId="17" xfId="0" applyFont="1" applyFill="1" applyBorder="1"/>
    <xf numFmtId="0" fontId="22" fillId="0" borderId="18" xfId="0" applyFont="1" applyBorder="1"/>
    <xf numFmtId="0" fontId="0" fillId="0" borderId="0" xfId="0" applyFont="1" applyFill="1" applyBorder="1"/>
    <xf numFmtId="0" fontId="25" fillId="0" borderId="0" xfId="0" applyFont="1" applyAlignment="1">
      <alignment horizontal="center" vertical="center" wrapText="1"/>
    </xf>
    <xf numFmtId="0" fontId="25" fillId="0" borderId="0" xfId="0" applyFont="1" applyAlignment="1">
      <alignment horizontal="center" vertical="center"/>
    </xf>
    <xf numFmtId="0" fontId="0" fillId="0" borderId="10" xfId="0" applyBorder="1"/>
    <xf numFmtId="0" fontId="22" fillId="0" borderId="10" xfId="0" applyFont="1" applyBorder="1"/>
    <xf numFmtId="0" fontId="22" fillId="0" borderId="10" xfId="0" applyFont="1" applyBorder="1" applyAlignment="1">
      <alignment vertical="top" wrapText="1"/>
    </xf>
    <xf numFmtId="0" fontId="22" fillId="0" borderId="10" xfId="0" applyFont="1" applyBorder="1" applyAlignment="1">
      <alignment wrapText="1"/>
    </xf>
    <xf numFmtId="0" fontId="0" fillId="0" borderId="10" xfId="0" applyNumberFormat="1" applyBorder="1" applyAlignment="1">
      <alignment wrapText="1"/>
    </xf>
    <xf numFmtId="0" fontId="0" fillId="0" borderId="10" xfId="0" applyBorder="1" applyAlignment="1">
      <alignment wrapText="1"/>
    </xf>
    <xf numFmtId="0" fontId="22" fillId="0" borderId="19" xfId="0" applyFont="1" applyBorder="1"/>
    <xf numFmtId="0" fontId="22" fillId="0" borderId="20" xfId="0" applyFont="1" applyBorder="1"/>
    <xf numFmtId="0" fontId="22" fillId="0" borderId="21" xfId="0" applyFont="1" applyBorder="1"/>
    <xf numFmtId="0" fontId="22" fillId="0" borderId="11" xfId="0" applyFont="1" applyBorder="1"/>
    <xf numFmtId="0" fontId="22" fillId="0" borderId="12" xfId="0" applyFont="1" applyBorder="1"/>
    <xf numFmtId="0" fontId="0" fillId="0" borderId="17" xfId="0" applyBorder="1"/>
    <xf numFmtId="0" fontId="0" fillId="0" borderId="0" xfId="0" applyBorder="1" applyAlignment="1">
      <alignment horizontal="center" wrapText="1"/>
    </xf>
    <xf numFmtId="0" fontId="0" fillId="0" borderId="0" xfId="0" applyNumberFormat="1" applyBorder="1" applyAlignment="1">
      <alignment wrapText="1"/>
    </xf>
    <xf numFmtId="0" fontId="0" fillId="0" borderId="0" xfId="0" applyBorder="1" applyAlignment="1">
      <alignment wrapText="1"/>
    </xf>
    <xf numFmtId="0" fontId="22" fillId="0" borderId="0" xfId="0" applyFont="1" applyBorder="1" applyAlignment="1">
      <alignment wrapText="1"/>
    </xf>
    <xf numFmtId="0" fontId="22" fillId="0" borderId="0" xfId="0" applyFont="1" applyBorder="1" applyAlignment="1">
      <alignment horizontal="center" wrapText="1"/>
    </xf>
    <xf numFmtId="0" fontId="22" fillId="0" borderId="0" xfId="0" applyNumberFormat="1" applyFont="1" applyBorder="1" applyAlignment="1">
      <alignment wrapText="1"/>
    </xf>
    <xf numFmtId="0" fontId="0" fillId="0" borderId="0" xfId="0" applyNumberFormat="1" applyAlignment="1">
      <alignment wrapText="1"/>
    </xf>
    <xf numFmtId="0" fontId="22" fillId="0" borderId="0" xfId="0" applyNumberFormat="1" applyFont="1" applyAlignment="1">
      <alignment wrapText="1"/>
    </xf>
    <xf numFmtId="0" fontId="22" fillId="0" borderId="0" xfId="39" applyFont="1" applyBorder="1" applyAlignment="1">
      <alignment wrapText="1"/>
    </xf>
    <xf numFmtId="0" fontId="22" fillId="0" borderId="0" xfId="39"/>
    <xf numFmtId="0" fontId="29" fillId="0" borderId="0" xfId="39" applyFont="1" applyBorder="1" applyAlignment="1">
      <alignment vertical="top" wrapText="1"/>
    </xf>
    <xf numFmtId="0" fontId="22" fillId="0" borderId="0" xfId="39" applyBorder="1"/>
    <xf numFmtId="0" fontId="25" fillId="0" borderId="10" xfId="0" applyFont="1" applyBorder="1" applyAlignment="1">
      <alignment horizontal="center" vertical="center"/>
    </xf>
    <xf numFmtId="0" fontId="25" fillId="0" borderId="10" xfId="0" applyFont="1" applyBorder="1" applyAlignment="1">
      <alignment horizontal="center" vertical="center" wrapText="1"/>
    </xf>
    <xf numFmtId="0" fontId="0" fillId="0" borderId="0" xfId="0" applyBorder="1" applyAlignment="1">
      <alignment horizontal="left" vertical="top" wrapText="1"/>
    </xf>
    <xf numFmtId="0" fontId="22" fillId="0" borderId="22" xfId="39" applyFont="1" applyFill="1" applyBorder="1" applyAlignment="1">
      <alignment horizontal="left" vertical="top" wrapText="1"/>
    </xf>
    <xf numFmtId="0" fontId="22" fillId="0" borderId="10" xfId="39" applyFont="1" applyFill="1" applyBorder="1" applyAlignment="1">
      <alignment horizontal="left" vertical="top" wrapText="1"/>
    </xf>
    <xf numFmtId="0" fontId="22" fillId="0" borderId="23" xfId="40" applyFont="1" applyFill="1" applyBorder="1" applyAlignment="1">
      <alignment horizontal="left" vertical="top" wrapText="1"/>
    </xf>
    <xf numFmtId="0" fontId="22" fillId="0" borderId="10" xfId="23" applyFont="1" applyFill="1" applyBorder="1" applyAlignment="1">
      <alignment horizontal="left" vertical="top" wrapText="1"/>
    </xf>
    <xf numFmtId="0" fontId="22" fillId="0" borderId="10" xfId="0" applyFont="1" applyFill="1" applyBorder="1" applyAlignment="1">
      <alignment horizontal="left" vertical="top" wrapText="1"/>
    </xf>
    <xf numFmtId="0" fontId="29" fillId="0" borderId="10" xfId="0" applyFont="1" applyFill="1" applyBorder="1" applyAlignment="1">
      <alignment vertical="top" wrapText="1"/>
    </xf>
    <xf numFmtId="0" fontId="0" fillId="0" borderId="12" xfId="0" applyFont="1" applyFill="1" applyBorder="1"/>
    <xf numFmtId="0" fontId="0" fillId="0" borderId="18" xfId="0" applyFont="1" applyFill="1" applyBorder="1"/>
    <xf numFmtId="0" fontId="0" fillId="0" borderId="14" xfId="0" applyFont="1" applyFill="1" applyBorder="1"/>
    <xf numFmtId="0" fontId="0" fillId="0" borderId="17" xfId="0" applyFont="1" applyFill="1" applyBorder="1"/>
    <xf numFmtId="0" fontId="22" fillId="0" borderId="13" xfId="0" applyFont="1" applyFill="1" applyBorder="1"/>
    <xf numFmtId="0" fontId="0" fillId="0" borderId="0" xfId="0" applyProtection="1">
      <protection hidden="1"/>
    </xf>
    <xf numFmtId="0" fontId="0" fillId="0" borderId="0" xfId="0" applyAlignment="1" applyProtection="1">
      <alignment wrapText="1"/>
      <protection hidden="1"/>
    </xf>
    <xf numFmtId="0" fontId="22" fillId="0" borderId="13" xfId="0" applyFont="1" applyBorder="1"/>
    <xf numFmtId="0" fontId="22" fillId="0" borderId="14" xfId="0" applyFont="1" applyBorder="1"/>
    <xf numFmtId="0" fontId="25" fillId="0" borderId="0" xfId="39" applyFont="1" applyAlignment="1">
      <alignment horizontal="center" vertical="center"/>
    </xf>
    <xf numFmtId="0" fontId="25" fillId="0" borderId="0" xfId="39" applyFont="1" applyAlignment="1">
      <alignment horizontal="center" vertical="center" wrapText="1"/>
    </xf>
    <xf numFmtId="0" fontId="26" fillId="0" borderId="10" xfId="39" applyFont="1" applyBorder="1" applyAlignment="1">
      <alignment vertical="top"/>
    </xf>
    <xf numFmtId="0" fontId="26" fillId="0" borderId="10" xfId="39" applyFont="1" applyBorder="1" applyAlignment="1">
      <alignment vertical="top" wrapText="1"/>
    </xf>
    <xf numFmtId="0" fontId="22" fillId="0" borderId="10" xfId="39" applyBorder="1" applyAlignment="1">
      <alignment wrapText="1"/>
    </xf>
    <xf numFmtId="0" fontId="22" fillId="0" borderId="10" xfId="39" applyFont="1" applyBorder="1" applyAlignment="1">
      <alignment wrapText="1"/>
    </xf>
    <xf numFmtId="49" fontId="0" fillId="0" borderId="14" xfId="0" applyNumberFormat="1" applyBorder="1"/>
    <xf numFmtId="49" fontId="0" fillId="0" borderId="11" xfId="0" applyNumberFormat="1" applyBorder="1"/>
    <xf numFmtId="49" fontId="0" fillId="0" borderId="12" xfId="0" applyNumberFormat="1" applyBorder="1"/>
    <xf numFmtId="49" fontId="0" fillId="0" borderId="13" xfId="0" applyNumberFormat="1" applyBorder="1"/>
    <xf numFmtId="49" fontId="0" fillId="0" borderId="0" xfId="0" applyNumberFormat="1" applyBorder="1"/>
    <xf numFmtId="0" fontId="0" fillId="0" borderId="0" xfId="0" applyProtection="1">
      <protection locked="0"/>
    </xf>
    <xf numFmtId="0" fontId="0" fillId="0" borderId="0" xfId="0" applyAlignment="1" applyProtection="1">
      <alignment wrapText="1"/>
      <protection locked="0"/>
    </xf>
    <xf numFmtId="0" fontId="22" fillId="0" borderId="0" xfId="0" applyFont="1" applyProtection="1">
      <protection locked="0"/>
    </xf>
    <xf numFmtId="0" fontId="0" fillId="0" borderId="10" xfId="0" applyBorder="1" applyAlignment="1">
      <alignment vertical="top"/>
    </xf>
    <xf numFmtId="0" fontId="0" fillId="0" borderId="10" xfId="0" applyBorder="1" applyAlignment="1">
      <alignment vertical="top" wrapText="1"/>
    </xf>
    <xf numFmtId="0" fontId="0" fillId="0" borderId="0" xfId="0" applyAlignment="1" applyProtection="1">
      <alignment vertical="top"/>
      <protection locked="0"/>
    </xf>
    <xf numFmtId="0" fontId="22" fillId="0" borderId="0" xfId="0" applyFont="1" applyAlignment="1" applyProtection="1">
      <alignment vertical="top" wrapText="1"/>
      <protection locked="0"/>
    </xf>
    <xf numFmtId="0" fontId="0" fillId="0" borderId="0" xfId="0" applyAlignment="1" applyProtection="1">
      <alignment vertical="top" wrapText="1"/>
      <protection locked="0"/>
    </xf>
    <xf numFmtId="0" fontId="0" fillId="0" borderId="0" xfId="0" applyFill="1"/>
    <xf numFmtId="1" fontId="0" fillId="0" borderId="0" xfId="0" applyNumberFormat="1" applyFill="1"/>
    <xf numFmtId="0" fontId="0" fillId="0" borderId="20" xfId="0" applyBorder="1"/>
    <xf numFmtId="0" fontId="0" fillId="0" borderId="0" xfId="0" applyFont="1" applyBorder="1"/>
    <xf numFmtId="0" fontId="0" fillId="0" borderId="0" xfId="0" applyFill="1" applyBorder="1"/>
    <xf numFmtId="0" fontId="0" fillId="0" borderId="0" xfId="0" applyBorder="1" applyAlignment="1"/>
    <xf numFmtId="0" fontId="0" fillId="0" borderId="0" xfId="0" applyBorder="1" applyAlignment="1">
      <alignment horizontal="center"/>
    </xf>
    <xf numFmtId="0" fontId="0" fillId="24" borderId="10" xfId="0" applyFill="1" applyBorder="1" applyAlignment="1" applyProtection="1">
      <alignment vertical="top" wrapText="1"/>
      <protection hidden="1"/>
    </xf>
    <xf numFmtId="0" fontId="0" fillId="24" borderId="19" xfId="0" applyFill="1" applyBorder="1" applyAlignment="1" applyProtection="1">
      <alignment vertical="top" wrapText="1"/>
      <protection hidden="1"/>
    </xf>
    <xf numFmtId="0" fontId="0" fillId="25" borderId="10" xfId="0" applyFill="1" applyBorder="1" applyAlignment="1" applyProtection="1">
      <alignment vertical="top" wrapText="1"/>
    </xf>
    <xf numFmtId="0" fontId="0" fillId="25" borderId="19" xfId="0" applyFill="1" applyBorder="1" applyAlignment="1" applyProtection="1">
      <alignment vertical="top" wrapText="1"/>
    </xf>
    <xf numFmtId="0" fontId="21" fillId="24" borderId="19" xfId="35" applyFill="1" applyBorder="1" applyAlignment="1" applyProtection="1">
      <alignment vertical="top" wrapText="1"/>
      <protection hidden="1"/>
    </xf>
    <xf numFmtId="0" fontId="22" fillId="0" borderId="24" xfId="0" applyFont="1" applyBorder="1" applyAlignment="1">
      <alignment wrapText="1"/>
    </xf>
    <xf numFmtId="0" fontId="22" fillId="0" borderId="25" xfId="0" applyFont="1" applyBorder="1" applyAlignment="1">
      <alignment wrapText="1"/>
    </xf>
    <xf numFmtId="0" fontId="22" fillId="0" borderId="26" xfId="0" applyFont="1" applyBorder="1"/>
    <xf numFmtId="3" fontId="22" fillId="0" borderId="27" xfId="0" applyNumberFormat="1" applyFont="1" applyBorder="1" applyAlignment="1">
      <alignment horizontal="right" wrapText="1"/>
    </xf>
    <xf numFmtId="0" fontId="22" fillId="0" borderId="18" xfId="0" applyFont="1" applyFill="1" applyBorder="1"/>
    <xf numFmtId="0" fontId="22" fillId="0" borderId="14" xfId="0" applyFont="1" applyFill="1" applyBorder="1"/>
    <xf numFmtId="0" fontId="22" fillId="0" borderId="21" xfId="0" applyFont="1" applyFill="1" applyBorder="1"/>
    <xf numFmtId="49" fontId="22" fillId="0" borderId="11" xfId="0" applyNumberFormat="1" applyFont="1" applyBorder="1"/>
    <xf numFmtId="49" fontId="22" fillId="0" borderId="12" xfId="0" applyNumberFormat="1" applyFont="1" applyBorder="1"/>
    <xf numFmtId="49" fontId="22" fillId="0" borderId="13" xfId="0" applyNumberFormat="1" applyFont="1" applyBorder="1"/>
    <xf numFmtId="49" fontId="22" fillId="0" borderId="0" xfId="0" applyNumberFormat="1" applyFont="1" applyBorder="1"/>
    <xf numFmtId="0" fontId="21" fillId="0" borderId="0" xfId="35" applyAlignment="1" applyProtection="1"/>
    <xf numFmtId="49" fontId="0" fillId="0" borderId="18" xfId="0" applyNumberFormat="1" applyFill="1" applyBorder="1"/>
    <xf numFmtId="0" fontId="23" fillId="0" borderId="21" xfId="0" applyFont="1" applyFill="1" applyBorder="1" applyAlignment="1" applyProtection="1">
      <alignment horizontal="center" vertical="top" wrapText="1"/>
      <protection locked="0" hidden="1"/>
    </xf>
    <xf numFmtId="0" fontId="23" fillId="0" borderId="10" xfId="0" applyFont="1" applyFill="1" applyBorder="1" applyAlignment="1" applyProtection="1">
      <alignment horizontal="center" vertical="top" wrapText="1"/>
      <protection locked="0" hidden="1"/>
    </xf>
    <xf numFmtId="0" fontId="0" fillId="0" borderId="10" xfId="0" applyFill="1" applyBorder="1" applyAlignment="1" applyProtection="1">
      <alignment horizontal="left" vertical="top" wrapText="1"/>
      <protection locked="0"/>
    </xf>
    <xf numFmtId="0" fontId="42" fillId="25" borderId="0" xfId="1" applyFont="1" applyFill="1" applyAlignment="1" applyProtection="1">
      <alignment horizontal="center"/>
      <protection hidden="1"/>
    </xf>
    <xf numFmtId="0" fontId="0" fillId="24" borderId="21" xfId="0" applyFill="1" applyBorder="1" applyAlignment="1" applyProtection="1">
      <alignment vertical="top" wrapText="1"/>
      <protection hidden="1"/>
    </xf>
    <xf numFmtId="0" fontId="0" fillId="25" borderId="21" xfId="0" applyFill="1" applyBorder="1" applyAlignment="1" applyProtection="1">
      <alignment vertical="top" wrapText="1"/>
    </xf>
    <xf numFmtId="0" fontId="22" fillId="25" borderId="0" xfId="1" applyFont="1" applyFill="1" applyAlignment="1" applyProtection="1">
      <alignment horizontal="center"/>
      <protection hidden="1"/>
    </xf>
    <xf numFmtId="0" fontId="0" fillId="25" borderId="10" xfId="0" applyFill="1" applyBorder="1" applyAlignment="1" applyProtection="1">
      <alignment vertical="top" wrapText="1"/>
      <protection hidden="1"/>
    </xf>
    <xf numFmtId="0" fontId="21" fillId="26" borderId="10" xfId="35" applyFill="1" applyBorder="1" applyAlignment="1" applyProtection="1">
      <alignment vertical="top" wrapText="1"/>
    </xf>
    <xf numFmtId="0" fontId="46" fillId="27" borderId="10" xfId="0" applyFont="1" applyFill="1" applyBorder="1" applyAlignment="1" applyProtection="1">
      <alignment horizontal="center" vertical="top" wrapText="1"/>
    </xf>
    <xf numFmtId="0" fontId="0" fillId="24" borderId="20" xfId="0" applyFill="1" applyBorder="1" applyAlignment="1" applyProtection="1">
      <alignment vertical="top" wrapText="1"/>
      <protection hidden="1"/>
    </xf>
    <xf numFmtId="0" fontId="21" fillId="26" borderId="21" xfId="35" applyFill="1" applyBorder="1" applyAlignment="1" applyProtection="1">
      <alignment wrapText="1"/>
    </xf>
    <xf numFmtId="0" fontId="0" fillId="25" borderId="20" xfId="0" applyFill="1" applyBorder="1" applyAlignment="1" applyProtection="1">
      <alignment vertical="top" wrapText="1"/>
    </xf>
    <xf numFmtId="0" fontId="21" fillId="26" borderId="21" xfId="35" applyFill="1" applyBorder="1" applyAlignment="1" applyProtection="1">
      <alignment vertical="top" wrapText="1"/>
    </xf>
    <xf numFmtId="0" fontId="46" fillId="27" borderId="28" xfId="0" applyFont="1" applyFill="1" applyBorder="1" applyAlignment="1" applyProtection="1">
      <alignment horizontal="center" vertical="top" wrapText="1"/>
    </xf>
    <xf numFmtId="0" fontId="46" fillId="27" borderId="29" xfId="0" applyFont="1" applyFill="1" applyBorder="1" applyAlignment="1" applyProtection="1">
      <alignment horizontal="center" vertical="top" wrapText="1"/>
    </xf>
    <xf numFmtId="0" fontId="46" fillId="27" borderId="30" xfId="0" applyFont="1" applyFill="1" applyBorder="1" applyAlignment="1" applyProtection="1">
      <alignment horizontal="center" vertical="top" wrapText="1"/>
    </xf>
    <xf numFmtId="0" fontId="25" fillId="0" borderId="10" xfId="39" applyNumberFormat="1" applyFont="1" applyFill="1" applyBorder="1" applyAlignment="1" applyProtection="1">
      <alignment horizontal="left" vertical="center"/>
      <protection locked="0"/>
    </xf>
    <xf numFmtId="0" fontId="25" fillId="0" borderId="10" xfId="39" applyNumberFormat="1" applyFont="1" applyFill="1" applyBorder="1" applyAlignment="1" applyProtection="1">
      <alignment horizontal="left" vertical="center" wrapText="1"/>
      <protection locked="0"/>
    </xf>
    <xf numFmtId="0" fontId="0" fillId="0" borderId="21" xfId="0" applyFill="1" applyBorder="1" applyAlignment="1" applyProtection="1">
      <alignment horizontal="left" vertical="top" wrapText="1"/>
      <protection locked="0"/>
    </xf>
    <xf numFmtId="0" fontId="0" fillId="0" borderId="19" xfId="0" applyFill="1" applyBorder="1" applyAlignment="1" applyProtection="1">
      <alignment horizontal="left" vertical="top" wrapText="1"/>
      <protection locked="0"/>
    </xf>
    <xf numFmtId="0" fontId="0" fillId="0" borderId="20" xfId="0" applyFill="1" applyBorder="1" applyAlignment="1" applyProtection="1">
      <alignment horizontal="left" vertical="top" wrapText="1"/>
      <protection locked="0"/>
    </xf>
    <xf numFmtId="165" fontId="25" fillId="0" borderId="10" xfId="39" applyNumberFormat="1" applyFont="1" applyFill="1" applyBorder="1" applyAlignment="1" applyProtection="1">
      <alignment horizontal="left" vertical="center"/>
      <protection locked="0"/>
    </xf>
    <xf numFmtId="0" fontId="31" fillId="0" borderId="10" xfId="0" applyFont="1" applyFill="1" applyBorder="1" applyProtection="1">
      <protection locked="0"/>
    </xf>
    <xf numFmtId="164" fontId="31" fillId="0" borderId="10" xfId="0" applyNumberFormat="1" applyFont="1" applyFill="1" applyBorder="1" applyAlignment="1" applyProtection="1">
      <alignment horizontal="left"/>
      <protection locked="0"/>
    </xf>
    <xf numFmtId="0" fontId="0" fillId="28" borderId="0" xfId="0" applyFill="1" applyProtection="1">
      <protection hidden="1"/>
    </xf>
    <xf numFmtId="0" fontId="22" fillId="25" borderId="10" xfId="0" applyFont="1" applyFill="1" applyBorder="1" applyAlignment="1" applyProtection="1">
      <alignment vertical="top" wrapText="1"/>
      <protection hidden="1"/>
    </xf>
    <xf numFmtId="0" fontId="22" fillId="25" borderId="10" xfId="0" applyFont="1" applyFill="1" applyBorder="1" applyAlignment="1" applyProtection="1">
      <alignment vertical="center" wrapText="1"/>
      <protection hidden="1"/>
    </xf>
    <xf numFmtId="0" fontId="0" fillId="25" borderId="10" xfId="0" applyFill="1" applyBorder="1" applyAlignment="1" applyProtection="1">
      <alignment vertical="center" wrapText="1"/>
      <protection hidden="1"/>
    </xf>
    <xf numFmtId="0" fontId="22" fillId="28" borderId="0" xfId="0" applyFont="1" applyFill="1" applyProtection="1">
      <protection hidden="1"/>
    </xf>
    <xf numFmtId="0" fontId="0" fillId="28" borderId="0" xfId="0" applyFill="1"/>
    <xf numFmtId="0" fontId="42" fillId="25" borderId="0" xfId="1" applyFont="1" applyFill="1" applyBorder="1" applyAlignment="1" applyProtection="1">
      <alignment horizontal="center"/>
      <protection hidden="1"/>
    </xf>
    <xf numFmtId="0" fontId="46" fillId="29" borderId="10" xfId="0" applyFont="1" applyFill="1" applyBorder="1" applyAlignment="1" applyProtection="1">
      <alignment wrapText="1"/>
    </xf>
    <xf numFmtId="0" fontId="46" fillId="29" borderId="0" xfId="0" applyFont="1" applyFill="1" applyBorder="1" applyAlignment="1" applyProtection="1">
      <alignment vertical="top" wrapText="1"/>
    </xf>
    <xf numFmtId="0" fontId="46" fillId="29" borderId="10" xfId="0" applyFont="1" applyFill="1" applyBorder="1" applyAlignment="1" applyProtection="1">
      <alignment vertical="top" wrapText="1"/>
    </xf>
    <xf numFmtId="0" fontId="46" fillId="29" borderId="10" xfId="0" applyFont="1" applyFill="1" applyBorder="1" applyAlignment="1" applyProtection="1">
      <alignment vertical="top" wrapText="1"/>
      <protection hidden="1"/>
    </xf>
    <xf numFmtId="0" fontId="46" fillId="29" borderId="21" xfId="0" applyFont="1" applyFill="1" applyBorder="1" applyAlignment="1" applyProtection="1">
      <alignment wrapText="1"/>
    </xf>
    <xf numFmtId="0" fontId="46" fillId="29" borderId="21" xfId="0" applyFont="1" applyFill="1" applyBorder="1" applyAlignment="1" applyProtection="1">
      <alignment vertical="top" wrapText="1"/>
    </xf>
    <xf numFmtId="0" fontId="46" fillId="29" borderId="19" xfId="0" applyFont="1" applyFill="1" applyBorder="1" applyAlignment="1" applyProtection="1">
      <alignment vertical="top" wrapText="1"/>
    </xf>
    <xf numFmtId="0" fontId="46" fillId="29" borderId="20" xfId="0" applyFont="1" applyFill="1" applyBorder="1" applyAlignment="1" applyProtection="1">
      <alignment vertical="top" wrapText="1"/>
    </xf>
    <xf numFmtId="0" fontId="46" fillId="29" borderId="21" xfId="0" applyFont="1" applyFill="1" applyBorder="1" applyAlignment="1" applyProtection="1">
      <alignment vertical="top" wrapText="1"/>
      <protection hidden="1"/>
    </xf>
    <xf numFmtId="0" fontId="46" fillId="29" borderId="10" xfId="0" applyFont="1" applyFill="1" applyBorder="1" applyAlignment="1" applyProtection="1">
      <alignment vertical="center" wrapText="1"/>
    </xf>
    <xf numFmtId="0" fontId="47" fillId="29" borderId="10" xfId="0" applyFont="1" applyFill="1" applyBorder="1" applyProtection="1">
      <protection hidden="1"/>
    </xf>
    <xf numFmtId="0" fontId="47" fillId="29" borderId="10" xfId="0" applyFont="1" applyFill="1" applyBorder="1" applyAlignment="1" applyProtection="1">
      <alignment horizontal="left" vertical="top"/>
      <protection hidden="1"/>
    </xf>
    <xf numFmtId="0" fontId="46" fillId="30" borderId="10" xfId="0" applyFont="1" applyFill="1" applyBorder="1" applyProtection="1">
      <protection hidden="1"/>
    </xf>
    <xf numFmtId="0" fontId="46" fillId="29" borderId="10" xfId="0" applyFont="1" applyFill="1" applyBorder="1" applyAlignment="1" applyProtection="1">
      <alignment horizontal="center" vertical="center"/>
      <protection hidden="1"/>
    </xf>
    <xf numFmtId="0" fontId="46" fillId="29" borderId="10" xfId="0" quotePrefix="1" applyFont="1" applyFill="1" applyBorder="1" applyAlignment="1" applyProtection="1">
      <alignment horizontal="center" vertical="center"/>
      <protection hidden="1"/>
    </xf>
    <xf numFmtId="0" fontId="48" fillId="29" borderId="10" xfId="0" applyFont="1" applyFill="1" applyBorder="1" applyAlignment="1" applyProtection="1">
      <alignment horizontal="center" vertical="center"/>
      <protection hidden="1"/>
    </xf>
    <xf numFmtId="0" fontId="49" fillId="25" borderId="10" xfId="0" applyFont="1" applyFill="1" applyBorder="1" applyAlignment="1" applyProtection="1">
      <alignment vertical="center"/>
      <protection hidden="1"/>
    </xf>
    <xf numFmtId="0" fontId="22" fillId="0" borderId="21" xfId="0" applyFont="1" applyFill="1" applyBorder="1" applyAlignment="1" applyProtection="1">
      <alignment horizontal="left" vertical="top" wrapText="1"/>
      <protection locked="0"/>
    </xf>
    <xf numFmtId="0" fontId="22" fillId="0" borderId="10" xfId="0" applyFont="1" applyFill="1" applyBorder="1" applyAlignment="1" applyProtection="1">
      <alignment horizontal="left" vertical="top" wrapText="1"/>
      <protection locked="0"/>
    </xf>
    <xf numFmtId="0" fontId="22" fillId="0" borderId="20" xfId="0" applyFont="1" applyFill="1" applyBorder="1" applyAlignment="1" applyProtection="1">
      <alignment horizontal="left" vertical="top" wrapText="1"/>
      <protection locked="0"/>
    </xf>
    <xf numFmtId="0" fontId="0" fillId="25" borderId="20" xfId="0" applyFill="1" applyBorder="1" applyAlignment="1" applyProtection="1">
      <alignment vertical="top" wrapText="1"/>
      <protection hidden="1"/>
    </xf>
    <xf numFmtId="0" fontId="0" fillId="25" borderId="19" xfId="0" applyFill="1" applyBorder="1" applyAlignment="1" applyProtection="1">
      <alignment vertical="top" wrapText="1"/>
      <protection hidden="1"/>
    </xf>
    <xf numFmtId="0" fontId="0" fillId="0" borderId="0" xfId="0" applyAlignment="1">
      <alignment horizontal="right" wrapText="1"/>
    </xf>
    <xf numFmtId="0" fontId="50" fillId="25" borderId="0" xfId="1" applyFont="1" applyFill="1" applyAlignment="1" applyProtection="1">
      <alignment horizontal="left"/>
      <protection hidden="1"/>
    </xf>
    <xf numFmtId="49" fontId="0" fillId="0" borderId="12" xfId="0" applyNumberFormat="1" applyFill="1" applyBorder="1"/>
    <xf numFmtId="49" fontId="0" fillId="0" borderId="14" xfId="0" applyNumberFormat="1" applyFill="1" applyBorder="1"/>
    <xf numFmtId="0" fontId="22" fillId="0" borderId="24" xfId="0" applyFont="1" applyBorder="1"/>
    <xf numFmtId="0" fontId="51" fillId="0" borderId="0" xfId="0" applyFont="1" applyBorder="1" applyAlignment="1">
      <alignment horizontal="center" vertical="center"/>
    </xf>
    <xf numFmtId="3" fontId="51" fillId="0" borderId="0" xfId="0" applyNumberFormat="1" applyFont="1" applyBorder="1" applyAlignment="1">
      <alignment horizontal="center" vertical="center"/>
    </xf>
    <xf numFmtId="49" fontId="0" fillId="0" borderId="0" xfId="0" applyNumberFormat="1" applyFill="1" applyBorder="1"/>
    <xf numFmtId="0" fontId="29" fillId="0" borderId="0" xfId="39" applyFont="1" applyFill="1" applyBorder="1" applyAlignment="1">
      <alignment vertical="top" wrapText="1"/>
    </xf>
    <xf numFmtId="0" fontId="22" fillId="0" borderId="0" xfId="39" applyFont="1" applyFill="1" applyBorder="1" applyAlignment="1">
      <alignment wrapText="1"/>
    </xf>
    <xf numFmtId="0" fontId="45" fillId="0" borderId="0" xfId="41"/>
    <xf numFmtId="0" fontId="23" fillId="0" borderId="19" xfId="0" applyFont="1" applyFill="1" applyBorder="1" applyAlignment="1" applyProtection="1">
      <alignment vertical="top" wrapText="1"/>
      <protection locked="0" hidden="1"/>
    </xf>
    <xf numFmtId="0" fontId="0" fillId="0" borderId="19" xfId="0" applyFill="1" applyBorder="1" applyAlignment="1" applyProtection="1">
      <alignment vertical="top" wrapText="1"/>
      <protection locked="0"/>
    </xf>
    <xf numFmtId="0" fontId="0" fillId="0" borderId="19" xfId="0" applyFill="1" applyBorder="1" applyAlignment="1" applyProtection="1">
      <alignment horizontal="center" vertical="center" wrapText="1"/>
      <protection locked="0"/>
    </xf>
    <xf numFmtId="0" fontId="0" fillId="0" borderId="0" xfId="0" applyNumberFormat="1"/>
    <xf numFmtId="49" fontId="22" fillId="0" borderId="0" xfId="0" applyNumberFormat="1" applyFont="1" applyFill="1" applyBorder="1"/>
    <xf numFmtId="0" fontId="1" fillId="0" borderId="0" xfId="47"/>
    <xf numFmtId="49" fontId="0" fillId="28" borderId="0" xfId="0" applyNumberFormat="1" applyFill="1" applyAlignment="1" applyProtection="1">
      <alignment wrapText="1"/>
      <protection hidden="1"/>
    </xf>
    <xf numFmtId="49" fontId="0" fillId="0" borderId="0" xfId="0" applyNumberFormat="1" applyAlignment="1" applyProtection="1">
      <alignment wrapText="1"/>
      <protection hidden="1"/>
    </xf>
    <xf numFmtId="49" fontId="22" fillId="25" borderId="10" xfId="0" applyNumberFormat="1" applyFont="1" applyFill="1" applyBorder="1" applyAlignment="1" applyProtection="1">
      <alignment horizontal="left" vertical="center" wrapText="1"/>
      <protection hidden="1"/>
    </xf>
    <xf numFmtId="49" fontId="22" fillId="25" borderId="21" xfId="0" applyNumberFormat="1" applyFont="1" applyFill="1" applyBorder="1" applyAlignment="1" applyProtection="1">
      <alignment horizontal="left" vertical="center" wrapText="1"/>
      <protection hidden="1"/>
    </xf>
    <xf numFmtId="49" fontId="22" fillId="25" borderId="20" xfId="0" applyNumberFormat="1" applyFont="1" applyFill="1" applyBorder="1" applyAlignment="1" applyProtection="1">
      <alignment horizontal="left" vertical="center" wrapText="1"/>
      <protection hidden="1"/>
    </xf>
    <xf numFmtId="49" fontId="22" fillId="25" borderId="19" xfId="0" applyNumberFormat="1" applyFont="1" applyFill="1" applyBorder="1" applyAlignment="1" applyProtection="1">
      <alignment horizontal="left" vertical="center" wrapText="1"/>
      <protection hidden="1"/>
    </xf>
    <xf numFmtId="49" fontId="46" fillId="31" borderId="10" xfId="0" applyNumberFormat="1" applyFont="1" applyFill="1" applyBorder="1" applyAlignment="1" applyProtection="1">
      <alignment horizontal="center" wrapText="1"/>
      <protection hidden="1"/>
    </xf>
    <xf numFmtId="0" fontId="0" fillId="0" borderId="0" xfId="0" applyNumberFormat="1" applyFont="1"/>
    <xf numFmtId="0" fontId="1" fillId="0" borderId="0" xfId="86"/>
    <xf numFmtId="0" fontId="55" fillId="0" borderId="0" xfId="49"/>
    <xf numFmtId="0" fontId="1" fillId="0" borderId="0" xfId="86"/>
    <xf numFmtId="0" fontId="55" fillId="0" borderId="0" xfId="49"/>
    <xf numFmtId="0" fontId="1" fillId="0" borderId="0" xfId="86"/>
    <xf numFmtId="0" fontId="22" fillId="0" borderId="0" xfId="48"/>
    <xf numFmtId="0" fontId="1" fillId="0" borderId="0" xfId="86"/>
    <xf numFmtId="0" fontId="22" fillId="0" borderId="0" xfId="48"/>
    <xf numFmtId="0" fontId="22" fillId="0" borderId="0" xfId="48" applyFill="1"/>
    <xf numFmtId="0" fontId="22" fillId="26" borderId="15" xfId="35" applyFont="1" applyFill="1" applyBorder="1" applyAlignment="1" applyProtection="1">
      <alignment horizontal="left" vertical="top" wrapText="1"/>
    </xf>
    <xf numFmtId="0" fontId="21" fillId="26" borderId="28" xfId="35" applyFill="1" applyBorder="1" applyAlignment="1" applyProtection="1">
      <alignment horizontal="center" vertical="center" wrapText="1"/>
    </xf>
    <xf numFmtId="0" fontId="21" fillId="26" borderId="30" xfId="35" applyFill="1" applyBorder="1" applyAlignment="1" applyProtection="1">
      <alignment horizontal="left" vertical="center" wrapText="1"/>
    </xf>
    <xf numFmtId="49" fontId="0" fillId="0" borderId="15" xfId="0" applyNumberFormat="1" applyBorder="1"/>
    <xf numFmtId="49" fontId="0" fillId="0" borderId="17" xfId="0" applyNumberFormat="1" applyFill="1" applyBorder="1"/>
    <xf numFmtId="49" fontId="0" fillId="0" borderId="17" xfId="0" applyNumberFormat="1" applyBorder="1"/>
    <xf numFmtId="49" fontId="22" fillId="0" borderId="14" xfId="0" applyNumberFormat="1" applyFont="1" applyFill="1" applyBorder="1"/>
    <xf numFmtId="49" fontId="0" fillId="0" borderId="0" xfId="0" applyNumberFormat="1" applyFont="1" applyFill="1" applyBorder="1"/>
    <xf numFmtId="14" fontId="46" fillId="27" borderId="19" xfId="0" applyNumberFormat="1" applyFont="1" applyFill="1" applyBorder="1" applyAlignment="1" applyProtection="1">
      <alignment horizontal="center" vertical="top"/>
      <protection hidden="1"/>
    </xf>
    <xf numFmtId="166" fontId="46" fillId="29" borderId="10" xfId="0" applyNumberFormat="1" applyFont="1" applyFill="1" applyBorder="1" applyAlignment="1" applyProtection="1">
      <alignment horizontal="center" vertical="top"/>
      <protection hidden="1"/>
    </xf>
    <xf numFmtId="14" fontId="46" fillId="27" borderId="10" xfId="0" applyNumberFormat="1" applyFont="1" applyFill="1" applyBorder="1" applyAlignment="1" applyProtection="1">
      <alignment horizontal="center" vertical="top"/>
      <protection hidden="1"/>
    </xf>
    <xf numFmtId="0" fontId="0" fillId="28" borderId="0" xfId="0" applyFill="1" applyAlignment="1" applyProtection="1">
      <alignment vertical="top"/>
      <protection hidden="1"/>
    </xf>
    <xf numFmtId="0" fontId="46" fillId="27" borderId="10" xfId="0" applyFont="1" applyFill="1" applyBorder="1" applyAlignment="1" applyProtection="1">
      <alignment horizontal="center" vertical="top"/>
      <protection hidden="1"/>
    </xf>
    <xf numFmtId="0" fontId="46" fillId="29" borderId="10" xfId="0" applyFont="1" applyFill="1" applyBorder="1" applyAlignment="1" applyProtection="1">
      <alignment horizontal="center" vertical="top"/>
      <protection hidden="1"/>
    </xf>
    <xf numFmtId="166" fontId="46" fillId="29" borderId="11" xfId="0" applyNumberFormat="1" applyFont="1" applyFill="1" applyBorder="1" applyAlignment="1" applyProtection="1">
      <alignment horizontal="center" vertical="top"/>
      <protection hidden="1"/>
    </xf>
    <xf numFmtId="167" fontId="46" fillId="27" borderId="20" xfId="0" applyNumberFormat="1" applyFont="1" applyFill="1" applyBorder="1" applyAlignment="1" applyProtection="1">
      <alignment horizontal="center" vertical="top"/>
      <protection hidden="1"/>
    </xf>
    <xf numFmtId="166" fontId="46" fillId="29" borderId="13" xfId="0" applyNumberFormat="1" applyFont="1" applyFill="1" applyBorder="1" applyAlignment="1" applyProtection="1">
      <alignment horizontal="center" vertical="top"/>
      <protection hidden="1"/>
    </xf>
    <xf numFmtId="0" fontId="0" fillId="0" borderId="0" xfId="0" applyAlignment="1" applyProtection="1">
      <alignment vertical="top"/>
      <protection hidden="1"/>
    </xf>
    <xf numFmtId="0" fontId="52" fillId="28" borderId="17" xfId="0" applyFont="1" applyFill="1" applyBorder="1" applyAlignment="1" applyProtection="1">
      <alignment horizontal="center" vertical="center"/>
      <protection hidden="1"/>
    </xf>
    <xf numFmtId="0" fontId="46" fillId="0" borderId="19" xfId="0" applyFont="1" applyFill="1" applyBorder="1" applyAlignment="1" applyProtection="1">
      <alignment horizontal="center"/>
      <protection hidden="1"/>
    </xf>
    <xf numFmtId="0" fontId="46" fillId="0" borderId="20" xfId="0" applyFont="1" applyFill="1" applyBorder="1" applyAlignment="1" applyProtection="1">
      <alignment horizontal="center"/>
      <protection hidden="1"/>
    </xf>
    <xf numFmtId="0" fontId="46" fillId="0" borderId="21" xfId="0" applyFont="1" applyFill="1" applyBorder="1" applyAlignment="1" applyProtection="1">
      <alignment horizontal="center"/>
      <protection hidden="1"/>
    </xf>
    <xf numFmtId="0" fontId="41" fillId="32" borderId="19" xfId="0" applyFont="1" applyFill="1" applyBorder="1" applyAlignment="1" applyProtection="1">
      <alignment horizontal="center" vertical="center"/>
      <protection hidden="1"/>
    </xf>
    <xf numFmtId="0" fontId="41" fillId="32" borderId="20" xfId="0" applyFont="1" applyFill="1" applyBorder="1" applyAlignment="1" applyProtection="1">
      <alignment horizontal="center" vertical="center"/>
      <protection hidden="1"/>
    </xf>
    <xf numFmtId="0" fontId="41" fillId="32" borderId="21" xfId="0" applyFont="1" applyFill="1" applyBorder="1" applyAlignment="1" applyProtection="1">
      <alignment horizontal="center" vertical="center"/>
      <protection hidden="1"/>
    </xf>
    <xf numFmtId="0" fontId="41" fillId="33" borderId="28" xfId="0" applyFont="1" applyFill="1" applyBorder="1" applyAlignment="1" applyProtection="1">
      <alignment horizontal="center" vertical="center"/>
      <protection hidden="1"/>
    </xf>
    <xf numFmtId="0" fontId="41" fillId="33" borderId="30" xfId="0" applyFont="1" applyFill="1" applyBorder="1" applyAlignment="1" applyProtection="1">
      <alignment horizontal="center" vertical="center"/>
      <protection hidden="1"/>
    </xf>
    <xf numFmtId="0" fontId="20" fillId="27" borderId="28" xfId="0" applyFont="1" applyFill="1" applyBorder="1" applyAlignment="1" applyProtection="1">
      <alignment horizontal="center" vertical="top"/>
      <protection hidden="1"/>
    </xf>
    <xf numFmtId="0" fontId="20" fillId="27" borderId="29" xfId="0" applyFont="1" applyFill="1" applyBorder="1" applyAlignment="1" applyProtection="1">
      <alignment horizontal="center" vertical="top"/>
      <protection hidden="1"/>
    </xf>
    <xf numFmtId="0" fontId="20" fillId="27" borderId="30" xfId="0" applyFont="1" applyFill="1" applyBorder="1" applyAlignment="1" applyProtection="1">
      <alignment horizontal="center" vertical="top"/>
      <protection hidden="1"/>
    </xf>
    <xf numFmtId="0" fontId="44" fillId="34" borderId="0" xfId="1" applyFont="1" applyFill="1" applyBorder="1" applyAlignment="1" applyProtection="1">
      <alignment horizontal="center" vertical="center" wrapText="1"/>
      <protection hidden="1"/>
    </xf>
    <xf numFmtId="0" fontId="43" fillId="34" borderId="0" xfId="1" applyFont="1" applyFill="1" applyBorder="1" applyAlignment="1" applyProtection="1">
      <alignment horizontal="center" vertical="center" wrapText="1"/>
      <protection hidden="1"/>
    </xf>
    <xf numFmtId="0" fontId="20" fillId="27" borderId="28" xfId="0" applyFont="1" applyFill="1" applyBorder="1" applyAlignment="1" applyProtection="1">
      <alignment horizontal="center"/>
      <protection hidden="1"/>
    </xf>
    <xf numFmtId="0" fontId="20" fillId="27" borderId="29" xfId="0" applyFont="1" applyFill="1" applyBorder="1" applyAlignment="1" applyProtection="1">
      <alignment horizontal="center"/>
      <protection hidden="1"/>
    </xf>
    <xf numFmtId="0" fontId="20" fillId="27" borderId="30" xfId="0" applyFont="1" applyFill="1" applyBorder="1" applyAlignment="1" applyProtection="1">
      <alignment horizontal="center"/>
      <protection hidden="1"/>
    </xf>
    <xf numFmtId="0" fontId="20" fillId="27" borderId="12" xfId="0" applyFont="1" applyFill="1" applyBorder="1" applyAlignment="1" applyProtection="1">
      <alignment horizontal="center" vertical="top"/>
      <protection hidden="1"/>
    </xf>
    <xf numFmtId="0" fontId="46" fillId="29" borderId="28" xfId="0" applyFont="1" applyFill="1" applyBorder="1" applyAlignment="1" applyProtection="1">
      <alignment horizontal="center" vertical="top" wrapText="1"/>
      <protection hidden="1"/>
    </xf>
    <xf numFmtId="0" fontId="46" fillId="29" borderId="29" xfId="0" applyFont="1" applyFill="1" applyBorder="1" applyAlignment="1" applyProtection="1">
      <alignment horizontal="center" vertical="top" wrapText="1"/>
      <protection hidden="1"/>
    </xf>
    <xf numFmtId="0" fontId="46" fillId="29" borderId="30" xfId="0" applyFont="1" applyFill="1" applyBorder="1" applyAlignment="1" applyProtection="1">
      <alignment horizontal="center" vertical="top" wrapText="1"/>
      <protection hidden="1"/>
    </xf>
    <xf numFmtId="0" fontId="46" fillId="29" borderId="28" xfId="0" applyFont="1" applyFill="1" applyBorder="1" applyAlignment="1" applyProtection="1">
      <alignment horizontal="left" vertical="top" wrapText="1" indent="1"/>
      <protection hidden="1"/>
    </xf>
    <xf numFmtId="0" fontId="46" fillId="29" borderId="29" xfId="0" applyFont="1" applyFill="1" applyBorder="1" applyAlignment="1" applyProtection="1">
      <alignment horizontal="left" vertical="top" wrapText="1" indent="1"/>
      <protection hidden="1"/>
    </xf>
    <xf numFmtId="0" fontId="46" fillId="29" borderId="30" xfId="0" applyFont="1" applyFill="1" applyBorder="1" applyAlignment="1" applyProtection="1">
      <alignment horizontal="left" vertical="top" wrapText="1" indent="1"/>
      <protection hidden="1"/>
    </xf>
    <xf numFmtId="0" fontId="20" fillId="27" borderId="0" xfId="0" applyFont="1" applyFill="1" applyAlignment="1" applyProtection="1">
      <alignment horizontal="center" vertical="top"/>
      <protection hidden="1"/>
    </xf>
    <xf numFmtId="14" fontId="46" fillId="27" borderId="10" xfId="0" applyNumberFormat="1" applyFont="1" applyFill="1" applyBorder="1" applyAlignment="1" applyProtection="1">
      <alignment horizontal="center" vertical="center"/>
      <protection hidden="1"/>
    </xf>
    <xf numFmtId="2" fontId="46" fillId="29" borderId="28" xfId="0" applyNumberFormat="1" applyFont="1" applyFill="1" applyBorder="1" applyAlignment="1" applyProtection="1">
      <alignment horizontal="center" vertical="center"/>
      <protection hidden="1"/>
    </xf>
    <xf numFmtId="166" fontId="46" fillId="29" borderId="10" xfId="0" applyNumberFormat="1" applyFont="1" applyFill="1" applyBorder="1" applyAlignment="1" applyProtection="1">
      <alignment horizontal="center" vertical="top"/>
      <protection hidden="1"/>
    </xf>
    <xf numFmtId="14" fontId="46" fillId="27" borderId="10" xfId="0" applyNumberFormat="1" applyFont="1" applyFill="1" applyBorder="1" applyAlignment="1" applyProtection="1">
      <alignment horizontal="center" vertical="top"/>
      <protection hidden="1"/>
    </xf>
    <xf numFmtId="14" fontId="46" fillId="27" borderId="19" xfId="0" applyNumberFormat="1" applyFont="1" applyFill="1" applyBorder="1" applyAlignment="1" applyProtection="1">
      <alignment horizontal="center" vertical="top"/>
      <protection hidden="1"/>
    </xf>
    <xf numFmtId="166" fontId="46" fillId="29" borderId="19" xfId="0" applyNumberFormat="1" applyFont="1" applyFill="1" applyBorder="1" applyAlignment="1" applyProtection="1">
      <alignment horizontal="center" vertical="top"/>
      <protection hidden="1"/>
    </xf>
    <xf numFmtId="166" fontId="46" fillId="29" borderId="28" xfId="0" applyNumberFormat="1" applyFont="1" applyFill="1" applyBorder="1" applyAlignment="1" applyProtection="1">
      <alignment horizontal="center" vertical="top"/>
      <protection hidden="1"/>
    </xf>
    <xf numFmtId="14" fontId="46" fillId="27" borderId="20" xfId="0" applyNumberFormat="1" applyFont="1" applyFill="1" applyBorder="1" applyAlignment="1" applyProtection="1">
      <alignment horizontal="center" vertical="top"/>
      <protection hidden="1"/>
    </xf>
    <xf numFmtId="14" fontId="46" fillId="27" borderId="21" xfId="0" applyNumberFormat="1" applyFont="1" applyFill="1" applyBorder="1" applyAlignment="1" applyProtection="1">
      <alignment horizontal="center" vertical="top"/>
      <protection hidden="1"/>
    </xf>
    <xf numFmtId="166" fontId="46" fillId="29" borderId="20" xfId="0" applyNumberFormat="1" applyFont="1" applyFill="1" applyBorder="1" applyAlignment="1" applyProtection="1">
      <alignment horizontal="center" vertical="top"/>
      <protection hidden="1"/>
    </xf>
    <xf numFmtId="166" fontId="46" fillId="29" borderId="21" xfId="0" applyNumberFormat="1" applyFont="1" applyFill="1" applyBorder="1" applyAlignment="1" applyProtection="1">
      <alignment horizontal="center" vertical="top"/>
      <protection hidden="1"/>
    </xf>
    <xf numFmtId="0" fontId="41" fillId="33" borderId="29" xfId="0" applyFont="1" applyFill="1" applyBorder="1" applyAlignment="1" applyProtection="1">
      <alignment horizontal="center" vertical="center"/>
      <protection hidden="1"/>
    </xf>
  </cellXfs>
  <cellStyles count="94">
    <cellStyle name="??&amp;_x0012_?&amp;_x000b_?_x0008_*_x0007_?_x0007__x0001__x0001_" xfId="1"/>
    <cellStyle name="20% - Accent1" xfId="2" builtinId="30" customBuiltin="1"/>
    <cellStyle name="20% - Accent1 2" xfId="50"/>
    <cellStyle name="20% - Accent2" xfId="3" builtinId="34" customBuiltin="1"/>
    <cellStyle name="20% - Accent2 2" xfId="51"/>
    <cellStyle name="20% - Accent3" xfId="4" builtinId="38" customBuiltin="1"/>
    <cellStyle name="20% - Accent3 2" xfId="52"/>
    <cellStyle name="20% - Accent4" xfId="5" builtinId="42" customBuiltin="1"/>
    <cellStyle name="20% - Accent4 2" xfId="53"/>
    <cellStyle name="20% - Accent5" xfId="6" builtinId="46" customBuiltin="1"/>
    <cellStyle name="20% - Accent5 2" xfId="54"/>
    <cellStyle name="20% - Accent6" xfId="7" builtinId="50" customBuiltin="1"/>
    <cellStyle name="20% - Accent6 2" xfId="55"/>
    <cellStyle name="40% - Accent1" xfId="8" builtinId="31" customBuiltin="1"/>
    <cellStyle name="40% - Accent1 2" xfId="56"/>
    <cellStyle name="40% - Accent2" xfId="9" builtinId="35" customBuiltin="1"/>
    <cellStyle name="40% - Accent2 2" xfId="57"/>
    <cellStyle name="40% - Accent3" xfId="10" builtinId="39" customBuiltin="1"/>
    <cellStyle name="40% - Accent3 2" xfId="58"/>
    <cellStyle name="40% - Accent4" xfId="11" builtinId="43" customBuiltin="1"/>
    <cellStyle name="40% - Accent4 2" xfId="59"/>
    <cellStyle name="40% - Accent5" xfId="12" builtinId="47" customBuiltin="1"/>
    <cellStyle name="40% - Accent5 2" xfId="60"/>
    <cellStyle name="40% - Accent6" xfId="13" builtinId="51" customBuiltin="1"/>
    <cellStyle name="40% - Accent6 2" xfId="61"/>
    <cellStyle name="60% - Accent1" xfId="14" builtinId="32" customBuiltin="1"/>
    <cellStyle name="60% - Accent1 2" xfId="62"/>
    <cellStyle name="60% - Accent2" xfId="15" builtinId="36" customBuiltin="1"/>
    <cellStyle name="60% - Accent2 2" xfId="63"/>
    <cellStyle name="60% - Accent3" xfId="16" builtinId="40" customBuiltin="1"/>
    <cellStyle name="60% - Accent3 2" xfId="64"/>
    <cellStyle name="60% - Accent4" xfId="17" builtinId="44" customBuiltin="1"/>
    <cellStyle name="60% - Accent4 2" xfId="65"/>
    <cellStyle name="60% - Accent5" xfId="18" builtinId="48" customBuiltin="1"/>
    <cellStyle name="60% - Accent5 2" xfId="66"/>
    <cellStyle name="60% - Accent6" xfId="19" builtinId="52" customBuiltin="1"/>
    <cellStyle name="60% - Accent6 2" xfId="67"/>
    <cellStyle name="Accent1" xfId="20" builtinId="29" customBuiltin="1"/>
    <cellStyle name="Accent1 2" xfId="68"/>
    <cellStyle name="Accent2" xfId="21" builtinId="33" customBuiltin="1"/>
    <cellStyle name="Accent2 2" xfId="69"/>
    <cellStyle name="Accent3" xfId="22" builtinId="37" customBuiltin="1"/>
    <cellStyle name="Accent3 2" xfId="70"/>
    <cellStyle name="Accent4" xfId="23" builtinId="41" customBuiltin="1"/>
    <cellStyle name="Accent4 2" xfId="71"/>
    <cellStyle name="Accent5" xfId="24" builtinId="45" customBuiltin="1"/>
    <cellStyle name="Accent5 2" xfId="72"/>
    <cellStyle name="Accent6" xfId="25" builtinId="49" customBuiltin="1"/>
    <cellStyle name="Accent6 2" xfId="73"/>
    <cellStyle name="Bad" xfId="26" builtinId="27" customBuiltin="1"/>
    <cellStyle name="Bad 2" xfId="74"/>
    <cellStyle name="Calculation" xfId="27" builtinId="22" customBuiltin="1"/>
    <cellStyle name="Calculation 2" xfId="75"/>
    <cellStyle name="Check Cell" xfId="28" builtinId="23" customBuiltin="1"/>
    <cellStyle name="Check Cell 2" xfId="76"/>
    <cellStyle name="Explanatory Text" xfId="29" builtinId="53" customBuiltin="1"/>
    <cellStyle name="Explanatory Text 2" xfId="77"/>
    <cellStyle name="Good" xfId="30" builtinId="26" customBuiltin="1"/>
    <cellStyle name="Good 2" xfId="78"/>
    <cellStyle name="Heading 1" xfId="31" builtinId="16" customBuiltin="1"/>
    <cellStyle name="Heading 1 2" xfId="79"/>
    <cellStyle name="Heading 2" xfId="32" builtinId="17" customBuiltin="1"/>
    <cellStyle name="Heading 2 2" xfId="80"/>
    <cellStyle name="Heading 3" xfId="33" builtinId="18" customBuiltin="1"/>
    <cellStyle name="Heading 3 2" xfId="81"/>
    <cellStyle name="Heading 4" xfId="34" builtinId="19" customBuiltin="1"/>
    <cellStyle name="Heading 4 2" xfId="82"/>
    <cellStyle name="Hyperlink" xfId="35" builtinId="8"/>
    <cellStyle name="Input" xfId="36" builtinId="20" customBuiltin="1"/>
    <cellStyle name="Input 2" xfId="83"/>
    <cellStyle name="Linked Cell" xfId="37" builtinId="24" customBuiltin="1"/>
    <cellStyle name="Linked Cell 2" xfId="84"/>
    <cellStyle name="Neutral" xfId="38" builtinId="28" customBuiltin="1"/>
    <cellStyle name="Neutral 2" xfId="85"/>
    <cellStyle name="Normal" xfId="0" builtinId="0"/>
    <cellStyle name="Normal 2" xfId="39"/>
    <cellStyle name="Normal 3" xfId="40"/>
    <cellStyle name="Normal 4" xfId="41"/>
    <cellStyle name="Normal 4 2" xfId="86"/>
    <cellStyle name="Normal 5" xfId="48"/>
    <cellStyle name="Normal 5 2" xfId="92"/>
    <cellStyle name="Normal 5 3" xfId="49"/>
    <cellStyle name="Normal 5 3 2" xfId="93"/>
    <cellStyle name="Normal 6" xfId="47"/>
    <cellStyle name="Note" xfId="42" builtinId="10" customBuiltin="1"/>
    <cellStyle name="Note 2" xfId="87"/>
    <cellStyle name="Output" xfId="43" builtinId="21" customBuiltin="1"/>
    <cellStyle name="Output 2" xfId="88"/>
    <cellStyle name="Title" xfId="44" builtinId="15" customBuiltin="1"/>
    <cellStyle name="Title 2" xfId="89"/>
    <cellStyle name="Total" xfId="45" builtinId="25" customBuiltin="1"/>
    <cellStyle name="Total 2" xfId="90"/>
    <cellStyle name="Warning Text" xfId="46" builtinId="11" customBuiltin="1"/>
    <cellStyle name="Warning Text 2" xfId="91"/>
  </cellStyles>
  <dxfs count="152">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ill>
        <patternFill>
          <bgColor theme="6"/>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style="thin">
          <color indexed="64"/>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ill>
        <patternFill>
          <bgColor theme="6"/>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style="thin">
          <color indexed="64"/>
        </top>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CC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1329054</xdr:colOff>
      <xdr:row>11</xdr:row>
      <xdr:rowOff>143086</xdr:rowOff>
    </xdr:from>
    <xdr:to>
      <xdr:col>2</xdr:col>
      <xdr:colOff>5925114</xdr:colOff>
      <xdr:row>15</xdr:row>
      <xdr:rowOff>94</xdr:rowOff>
    </xdr:to>
    <xdr:sp macro="" textlink="">
      <xdr:nvSpPr>
        <xdr:cNvPr id="3" name="Rounded Rectangle 2">
          <a:extLst>
            <a:ext uri="{FF2B5EF4-FFF2-40B4-BE49-F238E27FC236}">
              <a16:creationId xmlns="" xmlns:a16="http://schemas.microsoft.com/office/drawing/2014/main" id="{00000000-0008-0000-0000-000003000000}"/>
            </a:ext>
          </a:extLst>
        </xdr:cNvPr>
        <xdr:cNvSpPr/>
      </xdr:nvSpPr>
      <xdr:spPr>
        <a:xfrm>
          <a:off x="4072466" y="2472266"/>
          <a:ext cx="4749800" cy="541867"/>
        </a:xfrm>
        <a:prstGeom prst="roundRect">
          <a:avLst/>
        </a:prstGeom>
        <a:solidFill>
          <a:srgbClr val="92D050"/>
        </a:solidFill>
        <a:ln w="12700" cmpd="sng">
          <a:solidFill>
            <a:schemeClr val="tx1"/>
          </a:solidFill>
        </a:ln>
        <a:effectLst/>
        <a:scene3d>
          <a:camera prst="orthographicFront"/>
          <a:lightRig rig="threePt" dir="t"/>
        </a:scene3d>
        <a:sp3d>
          <a:bevelT prst="convex"/>
          <a:bevelB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mc:AlternateContent xmlns:mc="http://schemas.openxmlformats.org/markup-compatibility/2006">
    <mc:Choice xmlns:a14="http://schemas.microsoft.com/office/drawing/2010/main" Requires="a14">
      <xdr:twoCellAnchor>
        <xdr:from>
          <xdr:col>2</xdr:col>
          <xdr:colOff>1400175</xdr:colOff>
          <xdr:row>12</xdr:row>
          <xdr:rowOff>66675</xdr:rowOff>
        </xdr:from>
        <xdr:to>
          <xdr:col>2</xdr:col>
          <xdr:colOff>5838825</xdr:colOff>
          <xdr:row>14</xdr:row>
          <xdr:rowOff>104775</xdr:rowOff>
        </xdr:to>
        <xdr:sp macro="" textlink="">
          <xdr:nvSpPr>
            <xdr:cNvPr id="91426" name="Button 290" hidden="1">
              <a:extLst>
                <a:ext uri="{63B3BB69-23CF-44E3-9099-C40C66FF867C}">
                  <a14:compatExt spid="_x0000_s91426"/>
                </a:ext>
                <a:ext uri="{FF2B5EF4-FFF2-40B4-BE49-F238E27FC236}">
                  <a16:creationId xmlns="" xmlns:a16="http://schemas.microsoft.com/office/drawing/2014/main" id="{00000000-0008-0000-0000-0000226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Create a new checklist</a:t>
              </a:r>
            </a:p>
          </xdr:txBody>
        </xdr:sp>
        <xdr:clientData fPrintsWithSheet="0"/>
      </xdr:twoCellAnchor>
    </mc:Choice>
    <mc:Fallback/>
  </mc:AlternateContent>
  <xdr:twoCellAnchor>
    <xdr:from>
      <xdr:col>1</xdr:col>
      <xdr:colOff>161925</xdr:colOff>
      <xdr:row>1</xdr:row>
      <xdr:rowOff>76200</xdr:rowOff>
    </xdr:from>
    <xdr:to>
      <xdr:col>1</xdr:col>
      <xdr:colOff>2428444</xdr:colOff>
      <xdr:row>4</xdr:row>
      <xdr:rowOff>95250</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42900" y="228600"/>
          <a:ext cx="2266519" cy="504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76200</xdr:rowOff>
        </xdr:from>
        <xdr:to>
          <xdr:col>1</xdr:col>
          <xdr:colOff>1952625</xdr:colOff>
          <xdr:row>1</xdr:row>
          <xdr:rowOff>180975</xdr:rowOff>
        </xdr:to>
        <xdr:sp macro="" textlink="">
          <xdr:nvSpPr>
            <xdr:cNvPr id="97281" name="Button 1" hidden="1">
              <a:extLst>
                <a:ext uri="{63B3BB69-23CF-44E3-9099-C40C66FF867C}">
                  <a14:compatExt spid="_x0000_s97281"/>
                </a:ext>
                <a:ext uri="{FF2B5EF4-FFF2-40B4-BE49-F238E27FC236}">
                  <a16:creationId xmlns="" xmlns:a16="http://schemas.microsoft.com/office/drawing/2014/main" id="{00000000-0008-0000-0800-0000AA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Create New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676275</xdr:colOff>
          <xdr:row>0</xdr:row>
          <xdr:rowOff>76200</xdr:rowOff>
        </xdr:from>
        <xdr:to>
          <xdr:col>2</xdr:col>
          <xdr:colOff>2543175</xdr:colOff>
          <xdr:row>1</xdr:row>
          <xdr:rowOff>180975</xdr:rowOff>
        </xdr:to>
        <xdr:sp macro="" textlink="">
          <xdr:nvSpPr>
            <xdr:cNvPr id="97282" name="Button 2" hidden="1">
              <a:extLst>
                <a:ext uri="{63B3BB69-23CF-44E3-9099-C40C66FF867C}">
                  <a14:compatExt spid="_x0000_s97282"/>
                </a:ext>
                <a:ext uri="{FF2B5EF4-FFF2-40B4-BE49-F238E27FC236}">
                  <a16:creationId xmlns="" xmlns:a16="http://schemas.microsoft.com/office/drawing/2014/main" id="{00000000-0008-0000-0800-0000AB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Remove This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187</xdr:row>
          <xdr:rowOff>28575</xdr:rowOff>
        </xdr:from>
        <xdr:to>
          <xdr:col>1</xdr:col>
          <xdr:colOff>2819400</xdr:colOff>
          <xdr:row>289</xdr:row>
          <xdr:rowOff>76200</xdr:rowOff>
        </xdr:to>
        <xdr:sp macro="" textlink="">
          <xdr:nvSpPr>
            <xdr:cNvPr id="97283" name="Button 3" hidden="1">
              <a:extLst>
                <a:ext uri="{63B3BB69-23CF-44E3-9099-C40C66FF867C}">
                  <a14:compatExt spid="_x0000_s97283"/>
                </a:ext>
                <a:ext uri="{FF2B5EF4-FFF2-40B4-BE49-F238E27FC236}">
                  <a16:creationId xmlns="" xmlns:a16="http://schemas.microsoft.com/office/drawing/2014/main" id="{00000000-0008-0000-0800-0000B6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All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2066925</xdr:colOff>
          <xdr:row>0</xdr:row>
          <xdr:rowOff>76200</xdr:rowOff>
        </xdr:from>
        <xdr:to>
          <xdr:col>1</xdr:col>
          <xdr:colOff>3933825</xdr:colOff>
          <xdr:row>1</xdr:row>
          <xdr:rowOff>180975</xdr:rowOff>
        </xdr:to>
        <xdr:sp macro="" textlink="">
          <xdr:nvSpPr>
            <xdr:cNvPr id="97284" name="Button 4" hidden="1">
              <a:extLst>
                <a:ext uri="{63B3BB69-23CF-44E3-9099-C40C66FF867C}">
                  <a14:compatExt spid="_x0000_s97284"/>
                </a:ext>
                <a:ext uri="{FF2B5EF4-FFF2-40B4-BE49-F238E27FC236}">
                  <a16:creationId xmlns="" xmlns:a16="http://schemas.microsoft.com/office/drawing/2014/main" id="{00000000-0008-0000-0800-000013B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Rename This Checklist</a:t>
              </a:r>
            </a:p>
          </xdr:txBody>
        </xdr:sp>
        <xdr:clientData fPrintsWithSheet="0"/>
      </xdr:twoCellAnchor>
    </mc:Choice>
    <mc:Fallback/>
  </mc:AlternateContent>
  <xdr:twoCellAnchor>
    <xdr:from>
      <xdr:col>3</xdr:col>
      <xdr:colOff>133350</xdr:colOff>
      <xdr:row>32</xdr:row>
      <xdr:rowOff>381000</xdr:rowOff>
    </xdr:from>
    <xdr:to>
      <xdr:col>3</xdr:col>
      <xdr:colOff>752475</xdr:colOff>
      <xdr:row>32</xdr:row>
      <xdr:rowOff>609600</xdr:rowOff>
    </xdr:to>
    <xdr:sp macro="[0]!hyperlinkug908" textlink="">
      <xdr:nvSpPr>
        <xdr:cNvPr id="6" name="TextBox 5">
          <a:extLst>
            <a:ext uri="{FF2B5EF4-FFF2-40B4-BE49-F238E27FC236}">
              <a16:creationId xmlns="" xmlns:a16="http://schemas.microsoft.com/office/drawing/2014/main" id="{00000000-0008-0000-0800-000002000000}"/>
            </a:ext>
          </a:extLst>
        </xdr:cNvPr>
        <xdr:cNvSpPr txBox="1"/>
      </xdr:nvSpPr>
      <xdr:spPr>
        <a:xfrm>
          <a:off x="9220200" y="12611100"/>
          <a:ext cx="6191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u="sng" baseline="0">
              <a:solidFill>
                <a:srgbClr val="0033CC"/>
              </a:solidFill>
              <a:uFill>
                <a:solidFill>
                  <a:srgbClr val="0070C0"/>
                </a:solidFill>
              </a:uFill>
              <a:latin typeface="Arial" panose="020B0604020202020204" pitchFamily="34" charset="0"/>
              <a:cs typeface="Arial" panose="020B0604020202020204" pitchFamily="34" charset="0"/>
            </a:rPr>
            <a:t>UG908</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76200</xdr:rowOff>
        </xdr:from>
        <xdr:to>
          <xdr:col>1</xdr:col>
          <xdr:colOff>1952625</xdr:colOff>
          <xdr:row>1</xdr:row>
          <xdr:rowOff>180975</xdr:rowOff>
        </xdr:to>
        <xdr:sp macro="" textlink="">
          <xdr:nvSpPr>
            <xdr:cNvPr id="46250" name="Button 170" hidden="1">
              <a:extLst>
                <a:ext uri="{63B3BB69-23CF-44E3-9099-C40C66FF867C}">
                  <a14:compatExt spid="_x0000_s46250"/>
                </a:ext>
                <a:ext uri="{FF2B5EF4-FFF2-40B4-BE49-F238E27FC236}">
                  <a16:creationId xmlns="" xmlns:a16="http://schemas.microsoft.com/office/drawing/2014/main" id="{00000000-0008-0000-0800-0000AA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Create New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676275</xdr:colOff>
          <xdr:row>0</xdr:row>
          <xdr:rowOff>76200</xdr:rowOff>
        </xdr:from>
        <xdr:to>
          <xdr:col>2</xdr:col>
          <xdr:colOff>2543175</xdr:colOff>
          <xdr:row>1</xdr:row>
          <xdr:rowOff>180975</xdr:rowOff>
        </xdr:to>
        <xdr:sp macro="" textlink="">
          <xdr:nvSpPr>
            <xdr:cNvPr id="46251" name="Button 171" hidden="1">
              <a:extLst>
                <a:ext uri="{63B3BB69-23CF-44E3-9099-C40C66FF867C}">
                  <a14:compatExt spid="_x0000_s46251"/>
                </a:ext>
                <a:ext uri="{FF2B5EF4-FFF2-40B4-BE49-F238E27FC236}">
                  <a16:creationId xmlns="" xmlns:a16="http://schemas.microsoft.com/office/drawing/2014/main" id="{00000000-0008-0000-0800-0000AB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Remove This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187</xdr:row>
          <xdr:rowOff>28575</xdr:rowOff>
        </xdr:from>
        <xdr:to>
          <xdr:col>1</xdr:col>
          <xdr:colOff>2819400</xdr:colOff>
          <xdr:row>188</xdr:row>
          <xdr:rowOff>104775</xdr:rowOff>
        </xdr:to>
        <xdr:sp macro="" textlink="">
          <xdr:nvSpPr>
            <xdr:cNvPr id="46262" name="Button 182" hidden="1">
              <a:extLst>
                <a:ext uri="{63B3BB69-23CF-44E3-9099-C40C66FF867C}">
                  <a14:compatExt spid="_x0000_s46262"/>
                </a:ext>
                <a:ext uri="{FF2B5EF4-FFF2-40B4-BE49-F238E27FC236}">
                  <a16:creationId xmlns="" xmlns:a16="http://schemas.microsoft.com/office/drawing/2014/main" id="{00000000-0008-0000-0800-0000B6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All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2066925</xdr:colOff>
          <xdr:row>0</xdr:row>
          <xdr:rowOff>76200</xdr:rowOff>
        </xdr:from>
        <xdr:to>
          <xdr:col>1</xdr:col>
          <xdr:colOff>3933825</xdr:colOff>
          <xdr:row>1</xdr:row>
          <xdr:rowOff>180975</xdr:rowOff>
        </xdr:to>
        <xdr:sp macro="" textlink="">
          <xdr:nvSpPr>
            <xdr:cNvPr id="46355" name="Button 275" hidden="1">
              <a:extLst>
                <a:ext uri="{63B3BB69-23CF-44E3-9099-C40C66FF867C}">
                  <a14:compatExt spid="_x0000_s46355"/>
                </a:ext>
                <a:ext uri="{FF2B5EF4-FFF2-40B4-BE49-F238E27FC236}">
                  <a16:creationId xmlns="" xmlns:a16="http://schemas.microsoft.com/office/drawing/2014/main" id="{00000000-0008-0000-0800-000013B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Rename This Checklist</a:t>
              </a:r>
            </a:p>
          </xdr:txBody>
        </xdr:sp>
        <xdr:clientData fPrintsWithSheet="0"/>
      </xdr:twoCellAnchor>
    </mc:Choice>
    <mc:Fallback/>
  </mc:AlternateContent>
  <xdr:twoCellAnchor>
    <xdr:from>
      <xdr:col>3</xdr:col>
      <xdr:colOff>133350</xdr:colOff>
      <xdr:row>32</xdr:row>
      <xdr:rowOff>381000</xdr:rowOff>
    </xdr:from>
    <xdr:to>
      <xdr:col>3</xdr:col>
      <xdr:colOff>752475</xdr:colOff>
      <xdr:row>32</xdr:row>
      <xdr:rowOff>609600</xdr:rowOff>
    </xdr:to>
    <xdr:sp macro="[0]!hyperlinkug908" textlink="">
      <xdr:nvSpPr>
        <xdr:cNvPr id="2" name="TextBox 1">
          <a:extLst>
            <a:ext uri="{FF2B5EF4-FFF2-40B4-BE49-F238E27FC236}">
              <a16:creationId xmlns="" xmlns:a16="http://schemas.microsoft.com/office/drawing/2014/main" id="{00000000-0008-0000-0800-000002000000}"/>
            </a:ext>
          </a:extLst>
        </xdr:cNvPr>
        <xdr:cNvSpPr txBox="1"/>
      </xdr:nvSpPr>
      <xdr:spPr>
        <a:xfrm>
          <a:off x="9220200" y="12449175"/>
          <a:ext cx="6191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u="sng" baseline="0">
              <a:solidFill>
                <a:srgbClr val="0033CC"/>
              </a:solidFill>
              <a:uFill>
                <a:solidFill>
                  <a:srgbClr val="0070C0"/>
                </a:solidFill>
              </a:uFill>
              <a:latin typeface="Arial" panose="020B0604020202020204" pitchFamily="34" charset="0"/>
              <a:cs typeface="Arial" panose="020B0604020202020204" pitchFamily="34" charset="0"/>
            </a:rPr>
            <a:t>UG908</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mjade\AppData\Local\Microsoft\Windows\Temporary%20Internet%20Files\Content.Outlook\D38SGEJP\7_Series_Schematic_Review_Recommendations%2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Info"/>
      <sheetName val="Instruction"/>
      <sheetName val="Checklist(1)"/>
      <sheetName val="Checklist (2)"/>
      <sheetName val="Checklist (3)"/>
      <sheetName val="Checklist (4)"/>
      <sheetName val="Checklist (5)"/>
      <sheetName val="Revision History"/>
      <sheetName val="Device_Selection"/>
      <sheetName val="Decap"/>
      <sheetName val="Migration"/>
      <sheetName val="IO_Type"/>
      <sheetName val="CFGBVS"/>
      <sheetName val="Power"/>
      <sheetName val="Configuration"/>
      <sheetName val="XADC"/>
      <sheetName val="Warning Messages"/>
      <sheetName val="GTP"/>
      <sheetName val="GTH-GTX"/>
      <sheetName val="Other_items"/>
      <sheetName val="Bitstream_Lengt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3">
          <cell r="B3" t="str">
            <v>Kintex-7</v>
          </cell>
          <cell r="F3" t="str">
            <v>OK</v>
          </cell>
          <cell r="H3">
            <v>0</v>
          </cell>
        </row>
        <row r="4">
          <cell r="B4" t="str">
            <v>Virtex-7</v>
          </cell>
          <cell r="F4" t="str">
            <v>CHECK</v>
          </cell>
          <cell r="H4">
            <v>1.2</v>
          </cell>
        </row>
        <row r="5">
          <cell r="B5" t="str">
            <v>Artix-7</v>
          </cell>
          <cell r="F5" t="str">
            <v>PROBLEM</v>
          </cell>
          <cell r="H5">
            <v>1.5</v>
          </cell>
        </row>
        <row r="6">
          <cell r="F6" t="str">
            <v>Not Checked</v>
          </cell>
          <cell r="H6">
            <v>1.8</v>
          </cell>
        </row>
        <row r="7">
          <cell r="F7" t="str">
            <v>N/A</v>
          </cell>
          <cell r="H7">
            <v>2.5</v>
          </cell>
        </row>
        <row r="8">
          <cell r="H8">
            <v>3.3</v>
          </cell>
        </row>
      </sheetData>
      <sheetData sheetId="9">
        <row r="3">
          <cell r="C3" t="str">
            <v>7V585TFFG1157</v>
          </cell>
          <cell r="D3">
            <v>2.7144705882352942</v>
          </cell>
          <cell r="E3">
            <v>0</v>
          </cell>
          <cell r="F3">
            <v>0</v>
          </cell>
          <cell r="G3">
            <v>0</v>
          </cell>
          <cell r="H3">
            <v>1</v>
          </cell>
          <cell r="I3">
            <v>0</v>
          </cell>
          <cell r="J3">
            <v>8.9437499999999996</v>
          </cell>
          <cell r="K3">
            <v>1</v>
          </cell>
          <cell r="L3">
            <v>0</v>
          </cell>
          <cell r="M3">
            <v>0.7</v>
          </cell>
          <cell r="N3">
            <v>0</v>
          </cell>
          <cell r="O3">
            <v>0</v>
          </cell>
          <cell r="P3">
            <v>1</v>
          </cell>
          <cell r="Q3">
            <v>1</v>
          </cell>
        </row>
        <row r="4">
          <cell r="C4" t="str">
            <v>7V585TFFG1761</v>
          </cell>
          <cell r="D4">
            <v>2.7144705882352942</v>
          </cell>
          <cell r="E4">
            <v>0</v>
          </cell>
          <cell r="F4">
            <v>0</v>
          </cell>
          <cell r="G4">
            <v>0</v>
          </cell>
          <cell r="H4">
            <v>1</v>
          </cell>
          <cell r="I4">
            <v>0</v>
          </cell>
          <cell r="J4">
            <v>8.9437499999999996</v>
          </cell>
          <cell r="K4">
            <v>1</v>
          </cell>
          <cell r="L4">
            <v>0</v>
          </cell>
          <cell r="M4">
            <v>0.7</v>
          </cell>
          <cell r="N4">
            <v>0</v>
          </cell>
          <cell r="O4">
            <v>0</v>
          </cell>
          <cell r="P4">
            <v>1</v>
          </cell>
          <cell r="Q4">
            <v>1</v>
          </cell>
        </row>
        <row r="5">
          <cell r="C5" t="str">
            <v>7V1500TFLG1761</v>
          </cell>
          <cell r="D5">
            <v>5.5980000000000008</v>
          </cell>
          <cell r="E5">
            <v>0</v>
          </cell>
          <cell r="F5">
            <v>24</v>
          </cell>
          <cell r="G5">
            <v>0.66068181818181815</v>
          </cell>
          <cell r="H5">
            <v>0</v>
          </cell>
          <cell r="I5">
            <v>0</v>
          </cell>
          <cell r="J5">
            <v>10.901250000000001</v>
          </cell>
          <cell r="K5">
            <v>1</v>
          </cell>
          <cell r="L5">
            <v>0</v>
          </cell>
          <cell r="M5">
            <v>0.7</v>
          </cell>
          <cell r="N5">
            <v>0</v>
          </cell>
          <cell r="O5">
            <v>0</v>
          </cell>
          <cell r="P5">
            <v>1</v>
          </cell>
          <cell r="Q5">
            <v>1</v>
          </cell>
        </row>
        <row r="6">
          <cell r="C6" t="str">
            <v>7V2000TFHG1761</v>
          </cell>
          <cell r="D6">
            <v>8</v>
          </cell>
          <cell r="E6">
            <v>0</v>
          </cell>
          <cell r="F6">
            <v>28</v>
          </cell>
          <cell r="G6">
            <v>0.88090909090909086</v>
          </cell>
          <cell r="H6">
            <v>0</v>
          </cell>
          <cell r="I6">
            <v>0</v>
          </cell>
          <cell r="J6">
            <v>14.535</v>
          </cell>
          <cell r="K6">
            <v>1</v>
          </cell>
          <cell r="L6">
            <v>0</v>
          </cell>
          <cell r="M6">
            <v>0.7</v>
          </cell>
          <cell r="N6">
            <v>0</v>
          </cell>
          <cell r="O6">
            <v>0</v>
          </cell>
          <cell r="P6">
            <v>1</v>
          </cell>
          <cell r="Q6">
            <v>1</v>
          </cell>
        </row>
        <row r="7">
          <cell r="C7" t="str">
            <v>7V2000TFLG1925</v>
          </cell>
          <cell r="D7">
            <v>8</v>
          </cell>
          <cell r="E7">
            <v>0</v>
          </cell>
          <cell r="F7">
            <v>28</v>
          </cell>
          <cell r="G7">
            <v>0.88090909090909086</v>
          </cell>
          <cell r="H7">
            <v>0</v>
          </cell>
          <cell r="I7">
            <v>0</v>
          </cell>
          <cell r="J7">
            <v>14.535</v>
          </cell>
          <cell r="K7">
            <v>1</v>
          </cell>
          <cell r="L7">
            <v>0</v>
          </cell>
          <cell r="M7">
            <v>0.7</v>
          </cell>
          <cell r="N7">
            <v>0</v>
          </cell>
          <cell r="O7">
            <v>0</v>
          </cell>
          <cell r="P7">
            <v>1</v>
          </cell>
          <cell r="Q7">
            <v>1</v>
          </cell>
        </row>
        <row r="8">
          <cell r="C8" t="str">
            <v>7VX330TFFG1157</v>
          </cell>
          <cell r="D8">
            <v>1.8494117647058825</v>
          </cell>
          <cell r="E8">
            <v>0</v>
          </cell>
          <cell r="F8">
            <v>0</v>
          </cell>
          <cell r="G8">
            <v>0</v>
          </cell>
          <cell r="H8">
            <v>1</v>
          </cell>
          <cell r="I8">
            <v>0</v>
          </cell>
          <cell r="J8">
            <v>9</v>
          </cell>
          <cell r="K8">
            <v>1</v>
          </cell>
          <cell r="L8">
            <v>0</v>
          </cell>
          <cell r="M8">
            <v>0.7</v>
          </cell>
          <cell r="N8">
            <v>0</v>
          </cell>
          <cell r="O8">
            <v>0</v>
          </cell>
          <cell r="P8">
            <v>1</v>
          </cell>
          <cell r="Q8">
            <v>1</v>
          </cell>
        </row>
        <row r="9">
          <cell r="C9" t="str">
            <v>7VX330TFFG1761</v>
          </cell>
          <cell r="D9">
            <v>1.8494117647058825</v>
          </cell>
          <cell r="E9">
            <v>0</v>
          </cell>
          <cell r="F9">
            <v>0</v>
          </cell>
          <cell r="G9">
            <v>0</v>
          </cell>
          <cell r="H9">
            <v>1</v>
          </cell>
          <cell r="I9">
            <v>0</v>
          </cell>
          <cell r="J9">
            <v>9</v>
          </cell>
          <cell r="K9">
            <v>1</v>
          </cell>
          <cell r="L9">
            <v>0</v>
          </cell>
          <cell r="M9">
            <v>0.7</v>
          </cell>
          <cell r="N9">
            <v>0</v>
          </cell>
          <cell r="O9">
            <v>0</v>
          </cell>
          <cell r="P9">
            <v>1</v>
          </cell>
          <cell r="Q9">
            <v>1</v>
          </cell>
        </row>
        <row r="10">
          <cell r="C10" t="str">
            <v>7VX415TFFG1157</v>
          </cell>
          <cell r="D10">
            <v>2.9275294117647062</v>
          </cell>
          <cell r="E10">
            <v>0</v>
          </cell>
          <cell r="F10">
            <v>0</v>
          </cell>
          <cell r="G10">
            <v>0</v>
          </cell>
          <cell r="H10">
            <v>1</v>
          </cell>
          <cell r="I10">
            <v>0</v>
          </cell>
          <cell r="J10">
            <v>9.9</v>
          </cell>
          <cell r="K10">
            <v>1</v>
          </cell>
          <cell r="L10">
            <v>0</v>
          </cell>
          <cell r="M10">
            <v>0.7</v>
          </cell>
          <cell r="N10">
            <v>0</v>
          </cell>
          <cell r="O10">
            <v>0</v>
          </cell>
          <cell r="P10">
            <v>1</v>
          </cell>
          <cell r="Q10">
            <v>1</v>
          </cell>
        </row>
        <row r="11">
          <cell r="C11" t="str">
            <v>7VX415TFFG1158</v>
          </cell>
          <cell r="D11">
            <v>2.9275294117647062</v>
          </cell>
          <cell r="E11">
            <v>0</v>
          </cell>
          <cell r="F11">
            <v>0</v>
          </cell>
          <cell r="G11">
            <v>0</v>
          </cell>
          <cell r="H11">
            <v>1</v>
          </cell>
          <cell r="I11">
            <v>0</v>
          </cell>
          <cell r="J11">
            <v>9.9</v>
          </cell>
          <cell r="K11">
            <v>1</v>
          </cell>
          <cell r="L11">
            <v>0</v>
          </cell>
          <cell r="M11">
            <v>0.7</v>
          </cell>
          <cell r="N11">
            <v>0</v>
          </cell>
          <cell r="O11">
            <v>0</v>
          </cell>
          <cell r="P11">
            <v>1</v>
          </cell>
          <cell r="Q11">
            <v>1</v>
          </cell>
        </row>
        <row r="12">
          <cell r="C12" t="str">
            <v>7VX415TFFG1927</v>
          </cell>
          <cell r="D12">
            <v>2.9275294117647062</v>
          </cell>
          <cell r="E12">
            <v>0</v>
          </cell>
          <cell r="F12">
            <v>0</v>
          </cell>
          <cell r="G12">
            <v>0</v>
          </cell>
          <cell r="H12">
            <v>1</v>
          </cell>
          <cell r="I12">
            <v>0</v>
          </cell>
          <cell r="J12">
            <v>9.9</v>
          </cell>
          <cell r="K12">
            <v>1</v>
          </cell>
          <cell r="L12">
            <v>0</v>
          </cell>
          <cell r="M12">
            <v>0.7</v>
          </cell>
          <cell r="N12">
            <v>0</v>
          </cell>
          <cell r="O12">
            <v>0</v>
          </cell>
          <cell r="P12">
            <v>1</v>
          </cell>
          <cell r="Q12">
            <v>1</v>
          </cell>
        </row>
        <row r="13">
          <cell r="C13" t="str">
            <v>7VX485TFFG1157</v>
          </cell>
          <cell r="D13">
            <v>3.6522352941176472</v>
          </cell>
          <cell r="E13">
            <v>0</v>
          </cell>
          <cell r="F13">
            <v>0</v>
          </cell>
          <cell r="G13">
            <v>0.70227272727272727</v>
          </cell>
          <cell r="H13">
            <v>0</v>
          </cell>
          <cell r="I13">
            <v>0</v>
          </cell>
          <cell r="J13">
            <v>11.5875</v>
          </cell>
          <cell r="K13">
            <v>1</v>
          </cell>
          <cell r="L13">
            <v>0</v>
          </cell>
          <cell r="M13">
            <v>0.7</v>
          </cell>
          <cell r="N13">
            <v>0</v>
          </cell>
          <cell r="O13">
            <v>0</v>
          </cell>
          <cell r="P13">
            <v>1</v>
          </cell>
          <cell r="Q13">
            <v>1</v>
          </cell>
        </row>
        <row r="14">
          <cell r="C14" t="str">
            <v>7VX485TFFG1761</v>
          </cell>
          <cell r="D14">
            <v>3.6522352941176472</v>
          </cell>
          <cell r="E14">
            <v>0</v>
          </cell>
          <cell r="F14">
            <v>0</v>
          </cell>
          <cell r="G14">
            <v>0.70227272727272727</v>
          </cell>
          <cell r="H14">
            <v>0</v>
          </cell>
          <cell r="I14">
            <v>0</v>
          </cell>
          <cell r="J14">
            <v>11.5875</v>
          </cell>
          <cell r="K14">
            <v>1</v>
          </cell>
          <cell r="L14">
            <v>0</v>
          </cell>
          <cell r="M14">
            <v>0.7</v>
          </cell>
          <cell r="N14">
            <v>0</v>
          </cell>
          <cell r="O14">
            <v>0</v>
          </cell>
          <cell r="P14">
            <v>1</v>
          </cell>
          <cell r="Q14">
            <v>1</v>
          </cell>
        </row>
        <row r="15">
          <cell r="C15" t="str">
            <v>7VX485TFFG1158</v>
          </cell>
          <cell r="D15">
            <v>3.6522352941176472</v>
          </cell>
          <cell r="E15">
            <v>0</v>
          </cell>
          <cell r="F15">
            <v>0</v>
          </cell>
          <cell r="G15">
            <v>0.70227272727272727</v>
          </cell>
          <cell r="H15">
            <v>0</v>
          </cell>
          <cell r="I15">
            <v>0</v>
          </cell>
          <cell r="J15">
            <v>11.5875</v>
          </cell>
          <cell r="K15">
            <v>1</v>
          </cell>
          <cell r="L15">
            <v>0</v>
          </cell>
          <cell r="M15">
            <v>0.7</v>
          </cell>
          <cell r="N15">
            <v>0</v>
          </cell>
          <cell r="O15">
            <v>0</v>
          </cell>
          <cell r="P15">
            <v>1</v>
          </cell>
          <cell r="Q15">
            <v>1</v>
          </cell>
        </row>
        <row r="16">
          <cell r="C16" t="str">
            <v>7VX485TFFG1927</v>
          </cell>
          <cell r="D16">
            <v>3.6522352941176472</v>
          </cell>
          <cell r="E16">
            <v>0</v>
          </cell>
          <cell r="F16">
            <v>0</v>
          </cell>
          <cell r="G16">
            <v>0.70227272727272727</v>
          </cell>
          <cell r="H16">
            <v>0</v>
          </cell>
          <cell r="I16">
            <v>0</v>
          </cell>
          <cell r="J16">
            <v>11.5875</v>
          </cell>
          <cell r="K16">
            <v>1</v>
          </cell>
          <cell r="L16">
            <v>0</v>
          </cell>
          <cell r="M16">
            <v>0.7</v>
          </cell>
          <cell r="N16">
            <v>0</v>
          </cell>
          <cell r="O16">
            <v>0</v>
          </cell>
          <cell r="P16">
            <v>1</v>
          </cell>
          <cell r="Q16">
            <v>1</v>
          </cell>
        </row>
        <row r="17">
          <cell r="C17" t="str">
            <v>7VX485TFFG1930</v>
          </cell>
          <cell r="D17">
            <v>3.6522352941176472</v>
          </cell>
          <cell r="E17">
            <v>0</v>
          </cell>
          <cell r="F17">
            <v>0</v>
          </cell>
          <cell r="G17">
            <v>0.70227272727272727</v>
          </cell>
          <cell r="H17">
            <v>0</v>
          </cell>
          <cell r="I17">
            <v>0</v>
          </cell>
          <cell r="J17">
            <v>11.5875</v>
          </cell>
          <cell r="K17">
            <v>1</v>
          </cell>
          <cell r="L17">
            <v>0</v>
          </cell>
          <cell r="M17">
            <v>0.7</v>
          </cell>
          <cell r="N17">
            <v>0</v>
          </cell>
          <cell r="O17">
            <v>0</v>
          </cell>
          <cell r="P17">
            <v>1</v>
          </cell>
          <cell r="Q17">
            <v>1</v>
          </cell>
        </row>
        <row r="18">
          <cell r="C18" t="str">
            <v>7VX550TFFG1158</v>
          </cell>
          <cell r="D18">
            <v>3.9171764705882359</v>
          </cell>
          <cell r="E18">
            <v>0</v>
          </cell>
          <cell r="F18">
            <v>0</v>
          </cell>
          <cell r="G18">
            <v>0.80454545454545456</v>
          </cell>
          <cell r="H18">
            <v>0</v>
          </cell>
          <cell r="I18">
            <v>0</v>
          </cell>
          <cell r="J18">
            <v>13.275</v>
          </cell>
          <cell r="K18">
            <v>1</v>
          </cell>
          <cell r="L18">
            <v>0</v>
          </cell>
          <cell r="M18">
            <v>0.7</v>
          </cell>
          <cell r="N18">
            <v>0</v>
          </cell>
          <cell r="O18">
            <v>0</v>
          </cell>
          <cell r="P18">
            <v>1</v>
          </cell>
          <cell r="Q18">
            <v>1</v>
          </cell>
        </row>
        <row r="19">
          <cell r="C19" t="str">
            <v>7VX550TFFG1927</v>
          </cell>
          <cell r="D19">
            <v>3.9171764705882359</v>
          </cell>
          <cell r="E19">
            <v>0</v>
          </cell>
          <cell r="F19">
            <v>0</v>
          </cell>
          <cell r="G19">
            <v>0.80454545454545456</v>
          </cell>
          <cell r="H19">
            <v>0</v>
          </cell>
          <cell r="I19">
            <v>0</v>
          </cell>
          <cell r="J19">
            <v>13.275</v>
          </cell>
          <cell r="K19">
            <v>1</v>
          </cell>
          <cell r="L19">
            <v>0</v>
          </cell>
          <cell r="M19">
            <v>0.7</v>
          </cell>
          <cell r="N19">
            <v>0</v>
          </cell>
          <cell r="O19">
            <v>0</v>
          </cell>
          <cell r="P19">
            <v>1</v>
          </cell>
          <cell r="Q19">
            <v>1</v>
          </cell>
        </row>
        <row r="20">
          <cell r="C20" t="str">
            <v>7VX690TFFG1157</v>
          </cell>
          <cell r="D20">
            <v>4.8974117647058826</v>
          </cell>
          <cell r="E20">
            <v>0</v>
          </cell>
          <cell r="F20">
            <v>0</v>
          </cell>
          <cell r="G20">
            <v>1.0022727272727272</v>
          </cell>
          <cell r="H20">
            <v>0</v>
          </cell>
          <cell r="I20">
            <v>0</v>
          </cell>
          <cell r="J20">
            <v>16.537500000000001</v>
          </cell>
          <cell r="K20">
            <v>1</v>
          </cell>
          <cell r="L20">
            <v>0</v>
          </cell>
          <cell r="M20">
            <v>0.7</v>
          </cell>
          <cell r="N20">
            <v>0</v>
          </cell>
          <cell r="O20">
            <v>0</v>
          </cell>
          <cell r="P20">
            <v>1</v>
          </cell>
          <cell r="Q20">
            <v>1</v>
          </cell>
        </row>
        <row r="21">
          <cell r="C21" t="str">
            <v>7VX690TFFG1158</v>
          </cell>
          <cell r="D21">
            <v>4.8974117647058826</v>
          </cell>
          <cell r="E21">
            <v>0</v>
          </cell>
          <cell r="F21">
            <v>0</v>
          </cell>
          <cell r="G21">
            <v>1.0022727272727272</v>
          </cell>
          <cell r="H21">
            <v>0</v>
          </cell>
          <cell r="I21">
            <v>0</v>
          </cell>
          <cell r="J21">
            <v>16.537500000000001</v>
          </cell>
          <cell r="K21">
            <v>1</v>
          </cell>
          <cell r="L21">
            <v>0</v>
          </cell>
          <cell r="M21">
            <v>0.7</v>
          </cell>
          <cell r="N21">
            <v>0</v>
          </cell>
          <cell r="O21">
            <v>0</v>
          </cell>
          <cell r="P21">
            <v>1</v>
          </cell>
          <cell r="Q21">
            <v>1</v>
          </cell>
        </row>
        <row r="22">
          <cell r="C22" t="str">
            <v>7VX690TFFG1761</v>
          </cell>
          <cell r="D22">
            <v>4.8974117647058826</v>
          </cell>
          <cell r="E22">
            <v>0</v>
          </cell>
          <cell r="F22">
            <v>0</v>
          </cell>
          <cell r="G22">
            <v>1.0022727272727272</v>
          </cell>
          <cell r="H22">
            <v>0</v>
          </cell>
          <cell r="I22">
            <v>0</v>
          </cell>
          <cell r="J22">
            <v>16.537500000000001</v>
          </cell>
          <cell r="K22">
            <v>1</v>
          </cell>
          <cell r="L22">
            <v>0</v>
          </cell>
          <cell r="M22">
            <v>0.7</v>
          </cell>
          <cell r="N22">
            <v>0</v>
          </cell>
          <cell r="O22">
            <v>0</v>
          </cell>
          <cell r="P22">
            <v>1</v>
          </cell>
          <cell r="Q22">
            <v>1</v>
          </cell>
        </row>
        <row r="23">
          <cell r="C23" t="str">
            <v>7VX690TFFG1926</v>
          </cell>
          <cell r="D23">
            <v>4.8974117647058826</v>
          </cell>
          <cell r="E23">
            <v>0</v>
          </cell>
          <cell r="F23">
            <v>0</v>
          </cell>
          <cell r="G23">
            <v>1.0022727272727272</v>
          </cell>
          <cell r="H23">
            <v>0</v>
          </cell>
          <cell r="I23">
            <v>0</v>
          </cell>
          <cell r="J23">
            <v>16.537500000000001</v>
          </cell>
          <cell r="K23">
            <v>1</v>
          </cell>
          <cell r="L23">
            <v>0</v>
          </cell>
          <cell r="M23">
            <v>0.7</v>
          </cell>
          <cell r="N23">
            <v>0</v>
          </cell>
          <cell r="O23">
            <v>0</v>
          </cell>
          <cell r="P23">
            <v>1</v>
          </cell>
          <cell r="Q23">
            <v>1</v>
          </cell>
        </row>
        <row r="24">
          <cell r="C24" t="str">
            <v>7VX690TFFG1927</v>
          </cell>
          <cell r="D24">
            <v>4.8974117647058826</v>
          </cell>
          <cell r="E24">
            <v>0</v>
          </cell>
          <cell r="F24">
            <v>0</v>
          </cell>
          <cell r="G24">
            <v>1.0022727272727272</v>
          </cell>
          <cell r="H24">
            <v>0</v>
          </cell>
          <cell r="I24">
            <v>0</v>
          </cell>
          <cell r="J24">
            <v>16.537500000000001</v>
          </cell>
          <cell r="K24">
            <v>1</v>
          </cell>
          <cell r="L24">
            <v>0</v>
          </cell>
          <cell r="M24">
            <v>0.7</v>
          </cell>
          <cell r="N24">
            <v>0</v>
          </cell>
          <cell r="O24">
            <v>0</v>
          </cell>
          <cell r="P24">
            <v>1</v>
          </cell>
          <cell r="Q24">
            <v>1</v>
          </cell>
        </row>
        <row r="25">
          <cell r="C25" t="str">
            <v>7VX690TFFG1930</v>
          </cell>
          <cell r="D25">
            <v>4.8974117647058826</v>
          </cell>
          <cell r="E25">
            <v>0</v>
          </cell>
          <cell r="F25">
            <v>0</v>
          </cell>
          <cell r="G25">
            <v>1.0022727272727272</v>
          </cell>
          <cell r="H25">
            <v>0</v>
          </cell>
          <cell r="I25">
            <v>0</v>
          </cell>
          <cell r="J25">
            <v>16.537500000000001</v>
          </cell>
          <cell r="K25">
            <v>1</v>
          </cell>
          <cell r="L25">
            <v>0</v>
          </cell>
          <cell r="M25">
            <v>0.7</v>
          </cell>
          <cell r="N25">
            <v>0</v>
          </cell>
          <cell r="O25">
            <v>0</v>
          </cell>
          <cell r="P25">
            <v>1</v>
          </cell>
          <cell r="Q25">
            <v>1</v>
          </cell>
        </row>
        <row r="26">
          <cell r="C26" t="str">
            <v>7VX980TFFG1926</v>
          </cell>
          <cell r="D26">
            <v>5.7388235294117651</v>
          </cell>
          <cell r="E26">
            <v>0</v>
          </cell>
          <cell r="F26">
            <v>0</v>
          </cell>
          <cell r="G26">
            <v>1.0227272727272727</v>
          </cell>
          <cell r="H26">
            <v>1</v>
          </cell>
          <cell r="I26">
            <v>0</v>
          </cell>
          <cell r="J26">
            <v>16.875</v>
          </cell>
          <cell r="K26">
            <v>1</v>
          </cell>
          <cell r="L26">
            <v>0</v>
          </cell>
          <cell r="M26">
            <v>0.7</v>
          </cell>
          <cell r="N26">
            <v>0</v>
          </cell>
          <cell r="O26">
            <v>0</v>
          </cell>
          <cell r="P26">
            <v>1</v>
          </cell>
          <cell r="Q26">
            <v>1</v>
          </cell>
        </row>
        <row r="27">
          <cell r="C27" t="str">
            <v>7VX980TFFG1928</v>
          </cell>
          <cell r="D27">
            <v>5.6576470588235299</v>
          </cell>
          <cell r="E27">
            <v>0</v>
          </cell>
          <cell r="F27">
            <v>0</v>
          </cell>
          <cell r="G27">
            <v>1.2068181818181818</v>
          </cell>
          <cell r="H27">
            <v>1</v>
          </cell>
          <cell r="I27">
            <v>0</v>
          </cell>
          <cell r="J27">
            <v>19.912500000000001</v>
          </cell>
          <cell r="K27">
            <v>1</v>
          </cell>
          <cell r="L27">
            <v>0</v>
          </cell>
          <cell r="M27">
            <v>0.7</v>
          </cell>
          <cell r="N27">
            <v>0</v>
          </cell>
          <cell r="O27">
            <v>0</v>
          </cell>
          <cell r="P27">
            <v>1</v>
          </cell>
          <cell r="Q27">
            <v>1</v>
          </cell>
        </row>
        <row r="28">
          <cell r="C28" t="str">
            <v>7VX980TFFG1930</v>
          </cell>
          <cell r="D28">
            <v>5.6576470588235299</v>
          </cell>
          <cell r="E28">
            <v>0</v>
          </cell>
          <cell r="F28">
            <v>0</v>
          </cell>
          <cell r="G28">
            <v>1.2068181818181818</v>
          </cell>
          <cell r="H28">
            <v>1</v>
          </cell>
          <cell r="I28">
            <v>0</v>
          </cell>
          <cell r="J28">
            <v>19.912500000000001</v>
          </cell>
          <cell r="K28">
            <v>1</v>
          </cell>
          <cell r="L28">
            <v>0</v>
          </cell>
          <cell r="M28">
            <v>0.7</v>
          </cell>
          <cell r="N28">
            <v>0</v>
          </cell>
          <cell r="O28">
            <v>0</v>
          </cell>
          <cell r="P28">
            <v>1</v>
          </cell>
          <cell r="Q28">
            <v>1</v>
          </cell>
        </row>
        <row r="29">
          <cell r="C29" t="str">
            <v>7VX980TFFG1933</v>
          </cell>
          <cell r="D29">
            <v>5.6576470588235299</v>
          </cell>
          <cell r="E29">
            <v>0</v>
          </cell>
          <cell r="F29">
            <v>0</v>
          </cell>
          <cell r="G29">
            <v>1.2068181818181818</v>
          </cell>
          <cell r="H29">
            <v>1</v>
          </cell>
          <cell r="I29">
            <v>0</v>
          </cell>
          <cell r="J29">
            <v>19.912500000000001</v>
          </cell>
          <cell r="K29">
            <v>1</v>
          </cell>
          <cell r="L29">
            <v>0</v>
          </cell>
          <cell r="M29">
            <v>0.7</v>
          </cell>
          <cell r="N29">
            <v>0</v>
          </cell>
          <cell r="O29">
            <v>0</v>
          </cell>
          <cell r="P29">
            <v>1</v>
          </cell>
          <cell r="Q29">
            <v>1</v>
          </cell>
        </row>
        <row r="30">
          <cell r="C30" t="str">
            <v>7VX1140TFLG1928</v>
          </cell>
          <cell r="D30">
            <v>6.0188235294117653</v>
          </cell>
          <cell r="E30">
            <v>0</v>
          </cell>
          <cell r="F30">
            <v>0</v>
          </cell>
          <cell r="G30">
            <v>1.2818181818181817</v>
          </cell>
          <cell r="H30">
            <v>0</v>
          </cell>
          <cell r="I30">
            <v>0</v>
          </cell>
          <cell r="J30">
            <v>21.15</v>
          </cell>
          <cell r="K30">
            <v>1</v>
          </cell>
          <cell r="L30">
            <v>0</v>
          </cell>
          <cell r="M30">
            <v>0.7</v>
          </cell>
          <cell r="N30">
            <v>0</v>
          </cell>
          <cell r="O30">
            <v>0</v>
          </cell>
          <cell r="P30">
            <v>1</v>
          </cell>
          <cell r="Q30">
            <v>1</v>
          </cell>
        </row>
        <row r="31">
          <cell r="C31" t="str">
            <v>7VX1140TFLG1930</v>
          </cell>
          <cell r="D31">
            <v>6.0188235294117653</v>
          </cell>
          <cell r="E31">
            <v>0</v>
          </cell>
          <cell r="F31">
            <v>0</v>
          </cell>
          <cell r="G31">
            <v>1.2818181818181817</v>
          </cell>
          <cell r="H31">
            <v>0</v>
          </cell>
          <cell r="I31">
            <v>0</v>
          </cell>
          <cell r="J31">
            <v>21.15</v>
          </cell>
          <cell r="K31">
            <v>1</v>
          </cell>
          <cell r="L31">
            <v>0</v>
          </cell>
          <cell r="M31">
            <v>0.7</v>
          </cell>
          <cell r="N31">
            <v>0</v>
          </cell>
          <cell r="O31">
            <v>0</v>
          </cell>
          <cell r="P31">
            <v>1</v>
          </cell>
          <cell r="Q31">
            <v>1</v>
          </cell>
        </row>
        <row r="32">
          <cell r="C32" t="str">
            <v>7VH290THCG1155</v>
          </cell>
          <cell r="D32">
            <v>1.8858823529411766</v>
          </cell>
          <cell r="E32">
            <v>0</v>
          </cell>
          <cell r="F32">
            <v>0</v>
          </cell>
          <cell r="G32">
            <v>0</v>
          </cell>
          <cell r="H32">
            <v>1</v>
          </cell>
          <cell r="I32">
            <v>0</v>
          </cell>
          <cell r="J32">
            <v>6.6375000000000002</v>
          </cell>
          <cell r="K32">
            <v>1</v>
          </cell>
          <cell r="L32">
            <v>0</v>
          </cell>
          <cell r="M32">
            <v>0.7</v>
          </cell>
          <cell r="N32">
            <v>0</v>
          </cell>
          <cell r="O32">
            <v>0</v>
          </cell>
          <cell r="P32">
            <v>1</v>
          </cell>
          <cell r="Q32">
            <v>1</v>
          </cell>
        </row>
        <row r="33">
          <cell r="C33" t="str">
            <v>7VH580THCG1155</v>
          </cell>
          <cell r="D33">
            <v>3.0414117647058823</v>
          </cell>
          <cell r="E33">
            <v>0</v>
          </cell>
          <cell r="F33">
            <v>0</v>
          </cell>
          <cell r="G33">
            <v>0.64090909090909087</v>
          </cell>
          <cell r="H33">
            <v>0</v>
          </cell>
          <cell r="I33">
            <v>0</v>
          </cell>
          <cell r="J33">
            <v>10.574999999999999</v>
          </cell>
          <cell r="K33">
            <v>1</v>
          </cell>
          <cell r="L33">
            <v>0</v>
          </cell>
          <cell r="M33">
            <v>0.7</v>
          </cell>
          <cell r="N33">
            <v>0</v>
          </cell>
          <cell r="O33">
            <v>0</v>
          </cell>
          <cell r="P33">
            <v>1</v>
          </cell>
          <cell r="Q33">
            <v>1</v>
          </cell>
        </row>
        <row r="34">
          <cell r="C34" t="str">
            <v>7VH580THCG11931</v>
          </cell>
          <cell r="D34">
            <v>3.0414117647058823</v>
          </cell>
          <cell r="E34">
            <v>0</v>
          </cell>
          <cell r="F34">
            <v>0</v>
          </cell>
          <cell r="G34">
            <v>0.64090909090909087</v>
          </cell>
          <cell r="H34">
            <v>0</v>
          </cell>
          <cell r="I34">
            <v>0</v>
          </cell>
          <cell r="J34">
            <v>10.574999999999999</v>
          </cell>
          <cell r="K34">
            <v>1</v>
          </cell>
          <cell r="L34">
            <v>0</v>
          </cell>
          <cell r="M34">
            <v>0.7</v>
          </cell>
          <cell r="N34">
            <v>0</v>
          </cell>
          <cell r="O34">
            <v>0</v>
          </cell>
          <cell r="P34">
            <v>1</v>
          </cell>
          <cell r="Q34">
            <v>1</v>
          </cell>
        </row>
        <row r="35">
          <cell r="C35" t="str">
            <v>7VH580THCG1932</v>
          </cell>
          <cell r="D35">
            <v>3.8037647058823536</v>
          </cell>
          <cell r="E35">
            <v>0</v>
          </cell>
          <cell r="F35">
            <v>0</v>
          </cell>
          <cell r="G35">
            <v>0.8113636363636364</v>
          </cell>
          <cell r="H35">
            <v>0</v>
          </cell>
          <cell r="I35">
            <v>0</v>
          </cell>
          <cell r="J35">
            <v>13.387499999999999</v>
          </cell>
          <cell r="K35">
            <v>1</v>
          </cell>
          <cell r="L35">
            <v>0</v>
          </cell>
          <cell r="M35">
            <v>0.7</v>
          </cell>
          <cell r="N35">
            <v>0</v>
          </cell>
          <cell r="O35">
            <v>0</v>
          </cell>
          <cell r="P35">
            <v>1</v>
          </cell>
          <cell r="Q35">
            <v>1</v>
          </cell>
        </row>
        <row r="36">
          <cell r="C36" t="str">
            <v>7VH870THCG1931</v>
          </cell>
          <cell r="D36">
            <v>5.72164705882353</v>
          </cell>
          <cell r="E36">
            <v>0</v>
          </cell>
          <cell r="F36">
            <v>0</v>
          </cell>
          <cell r="G36">
            <v>1.2204545454545455</v>
          </cell>
          <cell r="H36">
            <v>1</v>
          </cell>
          <cell r="I36">
            <v>0</v>
          </cell>
          <cell r="J36">
            <v>20.137499999999999</v>
          </cell>
          <cell r="K36">
            <v>1</v>
          </cell>
          <cell r="L36">
            <v>0</v>
          </cell>
          <cell r="M36">
            <v>0.7</v>
          </cell>
          <cell r="N36">
            <v>0</v>
          </cell>
          <cell r="O36">
            <v>0</v>
          </cell>
          <cell r="P36">
            <v>1</v>
          </cell>
          <cell r="Q36">
            <v>1</v>
          </cell>
        </row>
        <row r="37">
          <cell r="C37" t="str">
            <v>7VH870THCG1932</v>
          </cell>
          <cell r="D37">
            <v>5.72164705882353</v>
          </cell>
          <cell r="E37">
            <v>0</v>
          </cell>
          <cell r="F37">
            <v>0</v>
          </cell>
          <cell r="G37">
            <v>1.2204545454545455</v>
          </cell>
          <cell r="H37">
            <v>1</v>
          </cell>
          <cell r="I37">
            <v>0</v>
          </cell>
          <cell r="J37">
            <v>20.137499999999999</v>
          </cell>
          <cell r="K37">
            <v>1</v>
          </cell>
          <cell r="L37">
            <v>0</v>
          </cell>
          <cell r="M37">
            <v>0.7</v>
          </cell>
          <cell r="N37">
            <v>0</v>
          </cell>
          <cell r="O37">
            <v>0</v>
          </cell>
          <cell r="P37">
            <v>1</v>
          </cell>
          <cell r="Q37">
            <v>1</v>
          </cell>
        </row>
        <row r="38">
          <cell r="C38" t="str">
            <v>7K70TSBG324</v>
          </cell>
          <cell r="D38">
            <v>0</v>
          </cell>
          <cell r="E38">
            <v>0.80193939393939406</v>
          </cell>
          <cell r="F38">
            <v>0</v>
          </cell>
          <cell r="G38">
            <v>0</v>
          </cell>
          <cell r="H38">
            <v>0</v>
          </cell>
          <cell r="I38">
            <v>0.60750000000000004</v>
          </cell>
          <cell r="J38">
            <v>1.51875</v>
          </cell>
          <cell r="K38">
            <v>1.2659574468085106</v>
          </cell>
          <cell r="L38">
            <v>1.4875</v>
          </cell>
          <cell r="M38" t="str">
            <v>N/A</v>
          </cell>
          <cell r="N38" t="str">
            <v>N/A</v>
          </cell>
          <cell r="O38" t="str">
            <v>N/A</v>
          </cell>
          <cell r="P38">
            <v>1</v>
          </cell>
          <cell r="Q38">
            <v>1</v>
          </cell>
        </row>
        <row r="39">
          <cell r="C39" t="str">
            <v>7K70TFBG484</v>
          </cell>
          <cell r="D39">
            <v>0</v>
          </cell>
          <cell r="E39">
            <v>0.80193939393939406</v>
          </cell>
          <cell r="F39">
            <v>0</v>
          </cell>
          <cell r="G39">
            <v>0</v>
          </cell>
          <cell r="H39">
            <v>0</v>
          </cell>
          <cell r="I39">
            <v>0.60750000000000004</v>
          </cell>
          <cell r="J39">
            <v>1.51875</v>
          </cell>
          <cell r="K39">
            <v>2.1223404255319149</v>
          </cell>
          <cell r="L39">
            <v>2.4937499999999999</v>
          </cell>
          <cell r="M39" t="str">
            <v>N/A</v>
          </cell>
          <cell r="N39" t="str">
            <v>N/A</v>
          </cell>
          <cell r="O39" t="str">
            <v>N/A</v>
          </cell>
          <cell r="P39">
            <v>1</v>
          </cell>
          <cell r="Q39">
            <v>1</v>
          </cell>
        </row>
        <row r="40">
          <cell r="C40" t="str">
            <v>7K160TFBG484</v>
          </cell>
          <cell r="D40">
            <v>0</v>
          </cell>
          <cell r="E40">
            <v>1.6378181818181818</v>
          </cell>
          <cell r="F40">
            <v>0</v>
          </cell>
          <cell r="G40">
            <v>0</v>
          </cell>
          <cell r="H40">
            <v>0</v>
          </cell>
          <cell r="I40">
            <v>1.0125</v>
          </cell>
          <cell r="J40">
            <v>2.53125</v>
          </cell>
          <cell r="K40">
            <v>2.1223404255319149</v>
          </cell>
          <cell r="L40">
            <v>2.4937499999999999</v>
          </cell>
          <cell r="M40" t="str">
            <v>N/A</v>
          </cell>
          <cell r="N40" t="str">
            <v>N/A</v>
          </cell>
          <cell r="O40" t="str">
            <v>N/A</v>
          </cell>
          <cell r="P40">
            <v>1</v>
          </cell>
          <cell r="Q40">
            <v>1</v>
          </cell>
        </row>
        <row r="41">
          <cell r="C41" t="str">
            <v>7K70TFBG676</v>
          </cell>
          <cell r="D41">
            <v>0</v>
          </cell>
          <cell r="E41">
            <v>0.80193939393939406</v>
          </cell>
          <cell r="F41">
            <v>0</v>
          </cell>
          <cell r="G41">
            <v>0</v>
          </cell>
          <cell r="H41">
            <v>0</v>
          </cell>
          <cell r="I41">
            <v>0.60750000000000004</v>
          </cell>
          <cell r="J41">
            <v>1.51875</v>
          </cell>
          <cell r="K41">
            <v>2.2340425531914891</v>
          </cell>
          <cell r="L41">
            <v>2.625</v>
          </cell>
          <cell r="M41" t="str">
            <v>N/A</v>
          </cell>
          <cell r="N41" t="str">
            <v>N/A</v>
          </cell>
          <cell r="O41" t="str">
            <v>N/A</v>
          </cell>
          <cell r="P41">
            <v>1</v>
          </cell>
          <cell r="Q41">
            <v>1</v>
          </cell>
        </row>
        <row r="42">
          <cell r="C42" t="str">
            <v>7K160TFBG676</v>
          </cell>
          <cell r="D42">
            <v>0</v>
          </cell>
          <cell r="E42">
            <v>1.6378181818181818</v>
          </cell>
          <cell r="F42">
            <v>0</v>
          </cell>
          <cell r="G42">
            <v>0</v>
          </cell>
          <cell r="H42">
            <v>0</v>
          </cell>
          <cell r="I42">
            <v>1.0125</v>
          </cell>
          <cell r="J42">
            <v>2.53125</v>
          </cell>
          <cell r="K42">
            <v>2.978723404255319</v>
          </cell>
          <cell r="L42">
            <v>3.5</v>
          </cell>
          <cell r="M42" t="str">
            <v>N/A</v>
          </cell>
          <cell r="N42" t="str">
            <v>N/A</v>
          </cell>
          <cell r="O42" t="str">
            <v>N/A</v>
          </cell>
          <cell r="P42">
            <v>1</v>
          </cell>
          <cell r="Q42">
            <v>1</v>
          </cell>
        </row>
        <row r="43">
          <cell r="C43" t="str">
            <v>7K325TFBG676</v>
          </cell>
          <cell r="D43">
            <v>0</v>
          </cell>
          <cell r="E43">
            <v>3.3507878787878793</v>
          </cell>
          <cell r="F43">
            <v>5</v>
          </cell>
          <cell r="G43">
            <v>0</v>
          </cell>
          <cell r="H43">
            <v>0</v>
          </cell>
          <cell r="I43">
            <v>2.0024999999999999</v>
          </cell>
          <cell r="J43">
            <v>5.0062499999999996</v>
          </cell>
          <cell r="K43">
            <v>2.978723404255319</v>
          </cell>
          <cell r="L43">
            <v>3.5</v>
          </cell>
          <cell r="M43" t="str">
            <v>N/A</v>
          </cell>
          <cell r="N43" t="str">
            <v>N/A</v>
          </cell>
          <cell r="O43" t="str">
            <v>N/A</v>
          </cell>
          <cell r="P43">
            <v>1</v>
          </cell>
          <cell r="Q43">
            <v>1</v>
          </cell>
        </row>
        <row r="44">
          <cell r="C44" t="str">
            <v>7K410TFBG676</v>
          </cell>
          <cell r="D44">
            <v>0</v>
          </cell>
          <cell r="E44">
            <v>4.9849696969696966</v>
          </cell>
          <cell r="F44">
            <v>10</v>
          </cell>
          <cell r="G44">
            <v>0</v>
          </cell>
          <cell r="H44">
            <v>1.084090909090909</v>
          </cell>
          <cell r="I44">
            <v>0</v>
          </cell>
          <cell r="J44">
            <v>8.9437499999999996</v>
          </cell>
          <cell r="K44">
            <v>2.978723404255319</v>
          </cell>
          <cell r="L44">
            <v>3.5</v>
          </cell>
          <cell r="M44" t="str">
            <v>N/A</v>
          </cell>
          <cell r="N44" t="str">
            <v>N/A</v>
          </cell>
          <cell r="O44" t="str">
            <v>N/A</v>
          </cell>
          <cell r="P44">
            <v>1</v>
          </cell>
          <cell r="Q44">
            <v>1</v>
          </cell>
        </row>
        <row r="45">
          <cell r="C45" t="str">
            <v>7K325TFBG900</v>
          </cell>
          <cell r="D45">
            <v>0</v>
          </cell>
          <cell r="E45">
            <v>3.3507878787878793</v>
          </cell>
          <cell r="F45">
            <v>5</v>
          </cell>
          <cell r="G45">
            <v>0</v>
          </cell>
          <cell r="H45">
            <v>0</v>
          </cell>
          <cell r="I45">
            <v>2.0024999999999999</v>
          </cell>
          <cell r="J45">
            <v>5.0062499999999996</v>
          </cell>
          <cell r="K45">
            <v>3.7234042553191489</v>
          </cell>
          <cell r="L45">
            <v>4.375</v>
          </cell>
          <cell r="M45" t="str">
            <v>N/A</v>
          </cell>
          <cell r="N45" t="str">
            <v>N/A</v>
          </cell>
          <cell r="O45" t="str">
            <v>N/A</v>
          </cell>
          <cell r="P45">
            <v>1</v>
          </cell>
          <cell r="Q45">
            <v>1</v>
          </cell>
        </row>
        <row r="46">
          <cell r="C46" t="str">
            <v>7K410TFBG900</v>
          </cell>
          <cell r="D46">
            <v>0</v>
          </cell>
          <cell r="E46">
            <v>4.9849696969696966</v>
          </cell>
          <cell r="F46">
            <v>10</v>
          </cell>
          <cell r="G46">
            <v>0</v>
          </cell>
          <cell r="H46">
            <v>1.084090909090909</v>
          </cell>
          <cell r="I46">
            <v>0</v>
          </cell>
          <cell r="J46">
            <v>8.9437499999999996</v>
          </cell>
          <cell r="K46">
            <v>3.7234042553191489</v>
          </cell>
          <cell r="L46">
            <v>4.375</v>
          </cell>
          <cell r="M46" t="str">
            <v>N/A</v>
          </cell>
          <cell r="N46" t="str">
            <v>N/A</v>
          </cell>
          <cell r="O46" t="str">
            <v>N/A</v>
          </cell>
          <cell r="P46">
            <v>1</v>
          </cell>
          <cell r="Q46">
            <v>1</v>
          </cell>
        </row>
        <row r="47">
          <cell r="C47" t="str">
            <v>7K160TFFG676</v>
          </cell>
          <cell r="D47">
            <v>0</v>
          </cell>
          <cell r="E47">
            <v>1.6378181818181818</v>
          </cell>
          <cell r="F47">
            <v>0</v>
          </cell>
          <cell r="G47">
            <v>0</v>
          </cell>
          <cell r="H47">
            <v>0</v>
          </cell>
          <cell r="I47">
            <v>1.0125</v>
          </cell>
          <cell r="J47">
            <v>2.53125</v>
          </cell>
          <cell r="K47">
            <v>1.8617021276595744</v>
          </cell>
          <cell r="L47">
            <v>0</v>
          </cell>
          <cell r="M47">
            <v>0</v>
          </cell>
          <cell r="N47">
            <v>1.1170212765957446</v>
          </cell>
          <cell r="O47">
            <v>0</v>
          </cell>
          <cell r="P47">
            <v>1</v>
          </cell>
          <cell r="Q47">
            <v>1</v>
          </cell>
        </row>
        <row r="48">
          <cell r="C48" t="str">
            <v>7K325TFFG676</v>
          </cell>
          <cell r="D48">
            <v>0</v>
          </cell>
          <cell r="E48">
            <v>3.3507878787878793</v>
          </cell>
          <cell r="F48">
            <v>0</v>
          </cell>
          <cell r="G48">
            <v>0</v>
          </cell>
          <cell r="H48">
            <v>0</v>
          </cell>
          <cell r="I48">
            <v>2.0024999999999999</v>
          </cell>
          <cell r="J48">
            <v>5.0062499999999996</v>
          </cell>
          <cell r="K48">
            <v>1.8617021276595744</v>
          </cell>
          <cell r="L48">
            <v>0</v>
          </cell>
          <cell r="M48">
            <v>0</v>
          </cell>
          <cell r="N48">
            <v>1.1170212765957446</v>
          </cell>
          <cell r="O48">
            <v>0</v>
          </cell>
          <cell r="P48">
            <v>1</v>
          </cell>
          <cell r="Q48">
            <v>1</v>
          </cell>
        </row>
        <row r="49">
          <cell r="C49" t="str">
            <v>7K410TFFG676</v>
          </cell>
          <cell r="D49">
            <v>0</v>
          </cell>
          <cell r="E49">
            <v>4.9849696969696966</v>
          </cell>
          <cell r="F49">
            <v>0</v>
          </cell>
          <cell r="G49">
            <v>0</v>
          </cell>
          <cell r="H49">
            <v>1.084090909090909</v>
          </cell>
          <cell r="I49">
            <v>0</v>
          </cell>
          <cell r="J49">
            <v>8.9437499999999996</v>
          </cell>
          <cell r="K49">
            <v>1.8617021276595744</v>
          </cell>
          <cell r="L49">
            <v>0</v>
          </cell>
          <cell r="M49">
            <v>0</v>
          </cell>
          <cell r="N49">
            <v>1.1170212765957446</v>
          </cell>
          <cell r="O49">
            <v>0</v>
          </cell>
          <cell r="P49">
            <v>1</v>
          </cell>
          <cell r="Q49">
            <v>1</v>
          </cell>
        </row>
        <row r="50">
          <cell r="C50" t="str">
            <v>7K325TFFG900</v>
          </cell>
          <cell r="D50">
            <v>0</v>
          </cell>
          <cell r="E50">
            <v>3.3507878787878793</v>
          </cell>
          <cell r="F50">
            <v>0</v>
          </cell>
          <cell r="G50">
            <v>0</v>
          </cell>
          <cell r="H50">
            <v>0</v>
          </cell>
          <cell r="I50">
            <v>2.0024999999999999</v>
          </cell>
          <cell r="J50">
            <v>5.0062499999999996</v>
          </cell>
          <cell r="K50">
            <v>2.6063829787234041</v>
          </cell>
          <cell r="L50">
            <v>0</v>
          </cell>
          <cell r="M50">
            <v>0</v>
          </cell>
          <cell r="N50">
            <v>1.1170212765957446</v>
          </cell>
          <cell r="O50">
            <v>0</v>
          </cell>
          <cell r="P50">
            <v>1</v>
          </cell>
          <cell r="Q50">
            <v>1</v>
          </cell>
        </row>
        <row r="51">
          <cell r="C51" t="str">
            <v>7K410TFFG900</v>
          </cell>
          <cell r="D51">
            <v>0</v>
          </cell>
          <cell r="E51">
            <v>4.9849696969696966</v>
          </cell>
          <cell r="F51">
            <v>0</v>
          </cell>
          <cell r="G51">
            <v>0</v>
          </cell>
          <cell r="H51">
            <v>1.084090909090909</v>
          </cell>
          <cell r="I51">
            <v>0</v>
          </cell>
          <cell r="J51">
            <v>8.9437499999999996</v>
          </cell>
          <cell r="K51">
            <v>2.6063829787234041</v>
          </cell>
          <cell r="L51">
            <v>0</v>
          </cell>
          <cell r="M51">
            <v>0</v>
          </cell>
          <cell r="N51">
            <v>1.1170212765957446</v>
          </cell>
          <cell r="O51">
            <v>0</v>
          </cell>
          <cell r="P51">
            <v>1</v>
          </cell>
          <cell r="Q51">
            <v>1</v>
          </cell>
        </row>
        <row r="52">
          <cell r="C52" t="str">
            <v>7k480TFFG901</v>
          </cell>
          <cell r="D52">
            <v>0</v>
          </cell>
          <cell r="E52">
            <v>6.0373333333333337</v>
          </cell>
          <cell r="F52">
            <v>0</v>
          </cell>
          <cell r="G52">
            <v>0</v>
          </cell>
          <cell r="H52">
            <v>1.3022727272727272</v>
          </cell>
          <cell r="I52">
            <v>1</v>
          </cell>
          <cell r="J52">
            <v>10.74375</v>
          </cell>
          <cell r="K52">
            <v>2.8297872340425534</v>
          </cell>
          <cell r="L52">
            <v>0</v>
          </cell>
          <cell r="M52" t="str">
            <v>N/A</v>
          </cell>
          <cell r="N52" t="str">
            <v>N/A</v>
          </cell>
          <cell r="O52" t="str">
            <v>N/A</v>
          </cell>
          <cell r="P52">
            <v>1</v>
          </cell>
          <cell r="Q52">
            <v>1</v>
          </cell>
        </row>
        <row r="53">
          <cell r="C53" t="str">
            <v>7k480TFFG1156</v>
          </cell>
          <cell r="D53">
            <v>0</v>
          </cell>
          <cell r="E53">
            <v>6.0373333333333337</v>
          </cell>
          <cell r="F53">
            <v>0</v>
          </cell>
          <cell r="G53">
            <v>0</v>
          </cell>
          <cell r="H53">
            <v>1.3022727272727272</v>
          </cell>
          <cell r="I53">
            <v>1</v>
          </cell>
          <cell r="J53">
            <v>10.74375</v>
          </cell>
          <cell r="K53">
            <v>2.978723404255319</v>
          </cell>
          <cell r="L53">
            <v>0</v>
          </cell>
          <cell r="M53" t="str">
            <v>N/A</v>
          </cell>
          <cell r="N53" t="str">
            <v>N/A</v>
          </cell>
          <cell r="O53" t="str">
            <v>N/A</v>
          </cell>
          <cell r="P53">
            <v>1</v>
          </cell>
          <cell r="Q53">
            <v>1</v>
          </cell>
        </row>
        <row r="54">
          <cell r="C54" t="str">
            <v>7K420TFFG901</v>
          </cell>
          <cell r="D54">
            <v>0</v>
          </cell>
          <cell r="E54">
            <v>5.2761212121212129</v>
          </cell>
          <cell r="F54">
            <v>0</v>
          </cell>
          <cell r="G54">
            <v>0</v>
          </cell>
          <cell r="H54">
            <v>1.1386363636363637</v>
          </cell>
          <cell r="I54">
            <v>0</v>
          </cell>
          <cell r="J54">
            <v>9.3937500000000007</v>
          </cell>
          <cell r="K54">
            <v>2.6063829787234041</v>
          </cell>
          <cell r="L54">
            <v>0</v>
          </cell>
          <cell r="M54" t="str">
            <v>N/A</v>
          </cell>
          <cell r="N54" t="str">
            <v>N/A</v>
          </cell>
          <cell r="O54" t="str">
            <v>N/A</v>
          </cell>
          <cell r="P54">
            <v>1</v>
          </cell>
          <cell r="Q54">
            <v>1</v>
          </cell>
        </row>
        <row r="55">
          <cell r="C55" t="str">
            <v>7K420TFFG1156</v>
          </cell>
          <cell r="D55">
            <v>0</v>
          </cell>
          <cell r="E55">
            <v>5.2761212121212129</v>
          </cell>
          <cell r="F55">
            <v>0</v>
          </cell>
          <cell r="G55">
            <v>0</v>
          </cell>
          <cell r="H55">
            <v>1.1386363636363637</v>
          </cell>
          <cell r="I55">
            <v>0</v>
          </cell>
          <cell r="J55">
            <v>9.3937500000000007</v>
          </cell>
          <cell r="K55">
            <v>2.6063829787234041</v>
          </cell>
          <cell r="L55">
            <v>0</v>
          </cell>
          <cell r="M55" t="str">
            <v>N/A</v>
          </cell>
          <cell r="N55" t="str">
            <v>N/A</v>
          </cell>
          <cell r="O55" t="str">
            <v>N/A</v>
          </cell>
          <cell r="P55">
            <v>1</v>
          </cell>
          <cell r="Q55">
            <v>1</v>
          </cell>
        </row>
        <row r="56">
          <cell r="C56" t="str">
            <v>7k355TFFG901</v>
          </cell>
          <cell r="D56">
            <v>0</v>
          </cell>
          <cell r="E56">
            <v>4.5149090909090912</v>
          </cell>
          <cell r="F56">
            <v>0</v>
          </cell>
          <cell r="G56">
            <v>0</v>
          </cell>
          <cell r="H56">
            <v>0.97499999999999998</v>
          </cell>
          <cell r="I56">
            <v>0</v>
          </cell>
          <cell r="J56">
            <v>8.0437499999999993</v>
          </cell>
          <cell r="K56">
            <v>2.2340425531914891</v>
          </cell>
          <cell r="L56">
            <v>0</v>
          </cell>
          <cell r="M56" t="str">
            <v>N/A</v>
          </cell>
          <cell r="N56" t="str">
            <v>N/A</v>
          </cell>
          <cell r="O56" t="str">
            <v>N/A</v>
          </cell>
          <cell r="P56">
            <v>1</v>
          </cell>
          <cell r="Q56">
            <v>1</v>
          </cell>
        </row>
        <row r="103">
          <cell r="C103" t="str">
            <v>7A100TCSG324</v>
          </cell>
          <cell r="D103">
            <v>0</v>
          </cell>
          <cell r="E103">
            <v>1</v>
          </cell>
          <cell r="F103">
            <v>0</v>
          </cell>
          <cell r="G103">
            <v>0</v>
          </cell>
          <cell r="H103">
            <v>11.082666666666666</v>
          </cell>
          <cell r="I103">
            <v>16.624000000000002</v>
          </cell>
          <cell r="J103">
            <v>1</v>
          </cell>
          <cell r="K103">
            <v>0</v>
          </cell>
          <cell r="L103">
            <v>1.51875</v>
          </cell>
          <cell r="M103">
            <v>3.0375000000000001</v>
          </cell>
          <cell r="N103">
            <v>1.5638297872340425</v>
          </cell>
          <cell r="O103">
            <v>1.8374999999999999</v>
          </cell>
          <cell r="P103">
            <v>3.6749999999999998</v>
          </cell>
          <cell r="Q103">
            <v>1</v>
          </cell>
          <cell r="R103">
            <v>3</v>
          </cell>
          <cell r="S103">
            <v>5</v>
          </cell>
          <cell r="T103">
            <v>1</v>
          </cell>
        </row>
        <row r="104">
          <cell r="C104" t="str">
            <v>7A100TFTG256</v>
          </cell>
          <cell r="D104">
            <v>0</v>
          </cell>
          <cell r="E104">
            <v>1</v>
          </cell>
          <cell r="F104">
            <v>0</v>
          </cell>
          <cell r="G104">
            <v>0</v>
          </cell>
          <cell r="H104">
            <v>11.082666666666666</v>
          </cell>
          <cell r="I104">
            <v>16.624000000000002</v>
          </cell>
          <cell r="J104">
            <v>1</v>
          </cell>
          <cell r="K104">
            <v>0</v>
          </cell>
          <cell r="L104">
            <v>1.51875</v>
          </cell>
          <cell r="M104">
            <v>3.0375000000000001</v>
          </cell>
          <cell r="N104">
            <v>1.2659574468085104</v>
          </cell>
          <cell r="O104">
            <v>1.4874999999999998</v>
          </cell>
          <cell r="P104">
            <v>2.9749999999999996</v>
          </cell>
          <cell r="Q104">
            <v>1</v>
          </cell>
          <cell r="R104">
            <v>3</v>
          </cell>
          <cell r="S104">
            <v>5</v>
          </cell>
          <cell r="T104">
            <v>1</v>
          </cell>
        </row>
        <row r="105">
          <cell r="C105" t="str">
            <v>7A100TFGG484</v>
          </cell>
          <cell r="D105">
            <v>0</v>
          </cell>
          <cell r="E105">
            <v>1</v>
          </cell>
          <cell r="F105">
            <v>0</v>
          </cell>
          <cell r="G105">
            <v>0</v>
          </cell>
          <cell r="H105">
            <v>11.082666666666666</v>
          </cell>
          <cell r="I105">
            <v>16.624000000000002</v>
          </cell>
          <cell r="J105">
            <v>1</v>
          </cell>
          <cell r="K105">
            <v>0</v>
          </cell>
          <cell r="L105">
            <v>1.51875</v>
          </cell>
          <cell r="M105">
            <v>3.0375000000000001</v>
          </cell>
          <cell r="N105">
            <v>2.1223404255319149</v>
          </cell>
          <cell r="O105">
            <v>2.4937499999999999</v>
          </cell>
          <cell r="P105">
            <v>4.9874999999999998</v>
          </cell>
          <cell r="Q105">
            <v>1</v>
          </cell>
          <cell r="R105">
            <v>3</v>
          </cell>
          <cell r="S105">
            <v>5</v>
          </cell>
          <cell r="T105">
            <v>1</v>
          </cell>
        </row>
        <row r="106">
          <cell r="C106" t="str">
            <v>7A100TFGG676</v>
          </cell>
          <cell r="D106">
            <v>0</v>
          </cell>
          <cell r="E106">
            <v>1</v>
          </cell>
          <cell r="F106">
            <v>0</v>
          </cell>
          <cell r="G106">
            <v>0</v>
          </cell>
          <cell r="H106">
            <v>11.082666666666666</v>
          </cell>
          <cell r="I106">
            <v>16.624000000000002</v>
          </cell>
          <cell r="J106">
            <v>1</v>
          </cell>
          <cell r="K106">
            <v>0</v>
          </cell>
          <cell r="L106">
            <v>1.51875</v>
          </cell>
          <cell r="M106">
            <v>3.0375000000000001</v>
          </cell>
          <cell r="N106">
            <v>2.2340425531914891</v>
          </cell>
          <cell r="O106">
            <v>2.625</v>
          </cell>
          <cell r="P106">
            <v>5.25</v>
          </cell>
          <cell r="Q106">
            <v>1</v>
          </cell>
          <cell r="R106">
            <v>3</v>
          </cell>
          <cell r="S106">
            <v>5</v>
          </cell>
          <cell r="T106">
            <v>1</v>
          </cell>
        </row>
        <row r="107">
          <cell r="C107" t="str">
            <v>7A200TFBG484</v>
          </cell>
          <cell r="D107">
            <v>1</v>
          </cell>
          <cell r="E107">
            <v>0</v>
          </cell>
          <cell r="F107">
            <v>2</v>
          </cell>
          <cell r="G107">
            <v>0</v>
          </cell>
          <cell r="H107">
            <v>27.677333333333333</v>
          </cell>
          <cell r="I107">
            <v>41.516000000000005</v>
          </cell>
          <cell r="J107">
            <v>2</v>
          </cell>
          <cell r="K107">
            <v>0</v>
          </cell>
          <cell r="L107">
            <v>4.1062500000000002</v>
          </cell>
          <cell r="M107">
            <v>8.2125000000000004</v>
          </cell>
          <cell r="N107">
            <v>2.1223404255319149</v>
          </cell>
          <cell r="O107">
            <v>2.4937499999999999</v>
          </cell>
          <cell r="P107">
            <v>4.9874999999999998</v>
          </cell>
          <cell r="Q107">
            <v>1</v>
          </cell>
          <cell r="R107">
            <v>3</v>
          </cell>
          <cell r="S107">
            <v>5</v>
          </cell>
          <cell r="T107">
            <v>1</v>
          </cell>
        </row>
        <row r="108">
          <cell r="C108" t="str">
            <v>7A350TFBG484</v>
          </cell>
          <cell r="D108">
            <v>2</v>
          </cell>
          <cell r="E108">
            <v>0</v>
          </cell>
          <cell r="F108">
            <v>0</v>
          </cell>
          <cell r="G108">
            <v>0</v>
          </cell>
          <cell r="H108">
            <v>42.72</v>
          </cell>
          <cell r="I108">
            <v>64.08</v>
          </cell>
          <cell r="J108">
            <v>2</v>
          </cell>
          <cell r="K108">
            <v>1</v>
          </cell>
          <cell r="L108">
            <v>5.7937500000000002</v>
          </cell>
          <cell r="M108">
            <v>11.5875</v>
          </cell>
          <cell r="N108">
            <v>2.1223404255319149</v>
          </cell>
          <cell r="O108">
            <v>2.4937499999999999</v>
          </cell>
          <cell r="P108">
            <v>4.9874999999999998</v>
          </cell>
          <cell r="Q108">
            <v>1</v>
          </cell>
          <cell r="R108">
            <v>3</v>
          </cell>
          <cell r="S108">
            <v>5</v>
          </cell>
          <cell r="T108">
            <v>1</v>
          </cell>
        </row>
        <row r="109">
          <cell r="C109" t="str">
            <v>7A200TFBG676</v>
          </cell>
          <cell r="D109">
            <v>1</v>
          </cell>
          <cell r="E109">
            <v>0</v>
          </cell>
          <cell r="F109">
            <v>2</v>
          </cell>
          <cell r="G109">
            <v>0</v>
          </cell>
          <cell r="H109">
            <v>27.677333333333333</v>
          </cell>
          <cell r="I109">
            <v>41.516000000000005</v>
          </cell>
          <cell r="J109">
            <v>2</v>
          </cell>
          <cell r="K109">
            <v>0</v>
          </cell>
          <cell r="L109">
            <v>4.1062500000000002</v>
          </cell>
          <cell r="M109">
            <v>8.2125000000000004</v>
          </cell>
          <cell r="N109">
            <v>2.978723404255319</v>
          </cell>
          <cell r="O109">
            <v>3.5</v>
          </cell>
          <cell r="P109">
            <v>7</v>
          </cell>
          <cell r="Q109">
            <v>1</v>
          </cell>
          <cell r="R109">
            <v>3</v>
          </cell>
          <cell r="S109">
            <v>5</v>
          </cell>
          <cell r="T109">
            <v>1</v>
          </cell>
        </row>
        <row r="110">
          <cell r="C110" t="str">
            <v>7A350TFBG676</v>
          </cell>
          <cell r="D110">
            <v>2</v>
          </cell>
          <cell r="E110">
            <v>0</v>
          </cell>
          <cell r="F110">
            <v>0</v>
          </cell>
          <cell r="G110">
            <v>0</v>
          </cell>
          <cell r="H110">
            <v>42.72</v>
          </cell>
          <cell r="I110">
            <v>64.08</v>
          </cell>
          <cell r="J110">
            <v>2</v>
          </cell>
          <cell r="K110">
            <v>1</v>
          </cell>
          <cell r="L110">
            <v>5.7937500000000002</v>
          </cell>
          <cell r="M110">
            <v>11.5875</v>
          </cell>
          <cell r="N110">
            <v>2.978723404255319</v>
          </cell>
          <cell r="O110">
            <v>3.5</v>
          </cell>
          <cell r="P110">
            <v>7</v>
          </cell>
          <cell r="Q110">
            <v>1</v>
          </cell>
          <cell r="R110">
            <v>3</v>
          </cell>
          <cell r="S110">
            <v>5</v>
          </cell>
          <cell r="T110">
            <v>1</v>
          </cell>
        </row>
        <row r="111">
          <cell r="C111" t="str">
            <v>7A200TFFG1156</v>
          </cell>
          <cell r="D111">
            <v>1</v>
          </cell>
          <cell r="E111">
            <v>0</v>
          </cell>
          <cell r="F111">
            <v>2</v>
          </cell>
          <cell r="G111">
            <v>0</v>
          </cell>
          <cell r="H111">
            <v>27.677333333333333</v>
          </cell>
          <cell r="I111">
            <v>41.516000000000005</v>
          </cell>
          <cell r="J111">
            <v>2</v>
          </cell>
          <cell r="K111">
            <v>0</v>
          </cell>
          <cell r="L111">
            <v>4.1062500000000002</v>
          </cell>
          <cell r="M111">
            <v>8.2125000000000004</v>
          </cell>
          <cell r="N111">
            <v>3.7234042553191489</v>
          </cell>
          <cell r="O111">
            <v>4.375</v>
          </cell>
          <cell r="P111">
            <v>8.75</v>
          </cell>
          <cell r="Q111">
            <v>1</v>
          </cell>
          <cell r="R111">
            <v>3</v>
          </cell>
          <cell r="S111">
            <v>5</v>
          </cell>
          <cell r="T111">
            <v>1</v>
          </cell>
        </row>
        <row r="112">
          <cell r="C112" t="str">
            <v>7A350TFFG1156</v>
          </cell>
          <cell r="D112">
            <v>2</v>
          </cell>
          <cell r="E112">
            <v>0</v>
          </cell>
          <cell r="F112">
            <v>0</v>
          </cell>
          <cell r="G112">
            <v>0</v>
          </cell>
          <cell r="H112">
            <v>42.72</v>
          </cell>
          <cell r="I112">
            <v>64.08</v>
          </cell>
          <cell r="J112">
            <v>2</v>
          </cell>
          <cell r="K112">
            <v>1</v>
          </cell>
          <cell r="L112">
            <v>5.7937500000000002</v>
          </cell>
          <cell r="M112">
            <v>11.5875</v>
          </cell>
          <cell r="N112">
            <v>4.4680851063829783</v>
          </cell>
          <cell r="O112">
            <v>5.25</v>
          </cell>
          <cell r="P112">
            <v>10.5</v>
          </cell>
          <cell r="Q112">
            <v>1</v>
          </cell>
          <cell r="R112">
            <v>3</v>
          </cell>
          <cell r="S112">
            <v>5</v>
          </cell>
          <cell r="T112">
            <v>1</v>
          </cell>
        </row>
      </sheetData>
      <sheetData sheetId="10">
        <row r="3">
          <cell r="C3" t="str">
            <v>7K70TFBG484</v>
          </cell>
          <cell r="D3" t="str">
            <v>7K160T_FBG484</v>
          </cell>
        </row>
        <row r="4">
          <cell r="C4" t="str">
            <v>7K160TFBG484</v>
          </cell>
          <cell r="D4" t="str">
            <v>7K70T_FBG484</v>
          </cell>
        </row>
        <row r="5">
          <cell r="C5" t="str">
            <v>7K70TFBG676</v>
          </cell>
          <cell r="D5" t="str">
            <v>7K160T_FBG676</v>
          </cell>
          <cell r="E5" t="str">
            <v>7K325T_FBG676</v>
          </cell>
          <cell r="F5" t="str">
            <v>7K410T_FBG676</v>
          </cell>
          <cell r="G5" t="str">
            <v>7K160T_FFG676</v>
          </cell>
          <cell r="H5" t="str">
            <v>7K325T_FFG676</v>
          </cell>
          <cell r="I5" t="str">
            <v>7K410T_FFG676</v>
          </cell>
        </row>
        <row r="6">
          <cell r="C6" t="str">
            <v>7K160TFBG676</v>
          </cell>
          <cell r="D6" t="str">
            <v>7K70T_FBG676</v>
          </cell>
          <cell r="E6" t="str">
            <v>7K325T_FBG676</v>
          </cell>
          <cell r="F6" t="str">
            <v>7K410T_FBG676</v>
          </cell>
          <cell r="G6" t="str">
            <v>7K325T_FFG676</v>
          </cell>
          <cell r="H6" t="str">
            <v>7K410T_FFG676</v>
          </cell>
          <cell r="I6" t="str">
            <v>7K160T_FFG676</v>
          </cell>
        </row>
        <row r="7">
          <cell r="C7" t="str">
            <v>7K325TFBG676</v>
          </cell>
          <cell r="D7" t="str">
            <v>7K70T_FBG676</v>
          </cell>
          <cell r="E7" t="str">
            <v>7K160T_FBG676</v>
          </cell>
          <cell r="F7" t="str">
            <v>7K410T_FBG676</v>
          </cell>
          <cell r="G7" t="str">
            <v>7K160T_FFG676</v>
          </cell>
          <cell r="H7" t="str">
            <v>7K410T_FFG676</v>
          </cell>
          <cell r="I7" t="str">
            <v>7K325T_FFG676</v>
          </cell>
        </row>
        <row r="8">
          <cell r="C8" t="str">
            <v>7K410TFBG676</v>
          </cell>
          <cell r="D8" t="str">
            <v>7K70T_FBG676</v>
          </cell>
          <cell r="E8" t="str">
            <v>7K160T_FBG676</v>
          </cell>
          <cell r="F8" t="str">
            <v>7K325T_FBG676</v>
          </cell>
          <cell r="G8" t="str">
            <v>7K160T_FFG676</v>
          </cell>
          <cell r="H8" t="str">
            <v>7K325T_FFG676</v>
          </cell>
          <cell r="I8" t="str">
            <v>7K410T_FFG676</v>
          </cell>
        </row>
        <row r="9">
          <cell r="C9" t="str">
            <v>7K160TFFG676</v>
          </cell>
          <cell r="D9" t="str">
            <v>7K325T_FBG676</v>
          </cell>
          <cell r="E9" t="str">
            <v>7K410T_FBG676</v>
          </cell>
          <cell r="F9" t="str">
            <v>7K325T_FFG676</v>
          </cell>
          <cell r="G9" t="str">
            <v>7K410T_FFG676</v>
          </cell>
          <cell r="H9" t="str">
            <v>7K70T_FBG676</v>
          </cell>
          <cell r="I9" t="str">
            <v>7K160T_FBG676</v>
          </cell>
        </row>
        <row r="10">
          <cell r="C10" t="str">
            <v>7K325TFFG676</v>
          </cell>
          <cell r="D10" t="str">
            <v>7K160T_FBG676</v>
          </cell>
          <cell r="E10" t="str">
            <v>7K410T_FBG676</v>
          </cell>
          <cell r="F10" t="str">
            <v>7K160T_FFG676</v>
          </cell>
          <cell r="G10" t="str">
            <v>7K410T_FFG676</v>
          </cell>
          <cell r="H10" t="str">
            <v>7K70T_FBG676</v>
          </cell>
          <cell r="I10" t="str">
            <v>7K325T_FBG676</v>
          </cell>
        </row>
        <row r="11">
          <cell r="C11" t="str">
            <v>7K410TFFG676</v>
          </cell>
          <cell r="D11" t="str">
            <v>7K160T_FBG676</v>
          </cell>
          <cell r="E11" t="str">
            <v>7K325T_FBG676</v>
          </cell>
          <cell r="F11" t="str">
            <v>7K160T_FFG676</v>
          </cell>
          <cell r="G11" t="str">
            <v>7K325T_FFG676</v>
          </cell>
          <cell r="H11" t="str">
            <v>7K70T_FBG676</v>
          </cell>
          <cell r="I11" t="str">
            <v>7K410T_FBG676</v>
          </cell>
        </row>
        <row r="12">
          <cell r="C12" t="str">
            <v>7K325TFBG900</v>
          </cell>
          <cell r="D12" t="str">
            <v>7K410T_FBG900</v>
          </cell>
          <cell r="E12" t="str">
            <v>7K410T_FFG900</v>
          </cell>
          <cell r="F12" t="str">
            <v>7K325T_FFG900</v>
          </cell>
        </row>
        <row r="13">
          <cell r="C13" t="str">
            <v>7K410TFBG900</v>
          </cell>
          <cell r="D13" t="str">
            <v>7K325T_FBG900</v>
          </cell>
          <cell r="E13" t="str">
            <v>7K325T_FFG900</v>
          </cell>
          <cell r="F13" t="str">
            <v>7K410T_FFG900</v>
          </cell>
        </row>
        <row r="14">
          <cell r="C14" t="str">
            <v>7K325TFFG900</v>
          </cell>
          <cell r="D14" t="str">
            <v>7K410T_FBG900</v>
          </cell>
          <cell r="E14" t="str">
            <v>7K410T_FFG900</v>
          </cell>
          <cell r="F14" t="str">
            <v>7K325T_FBG900</v>
          </cell>
        </row>
        <row r="15">
          <cell r="C15" t="str">
            <v>7K410TFFG900</v>
          </cell>
          <cell r="D15" t="str">
            <v>7K325T_FBG900</v>
          </cell>
          <cell r="E15" t="str">
            <v>7K325T_FFG900</v>
          </cell>
          <cell r="F15" t="str">
            <v>7K410T_FBG900</v>
          </cell>
        </row>
        <row r="16">
          <cell r="C16" t="str">
            <v>7K355TFFG901</v>
          </cell>
          <cell r="D16" t="str">
            <v>7K420T_FFG901</v>
          </cell>
          <cell r="E16" t="str">
            <v>7K480T_FFG901</v>
          </cell>
        </row>
        <row r="17">
          <cell r="C17" t="str">
            <v>7K420TFFG901</v>
          </cell>
          <cell r="D17" t="str">
            <v>7K355T_FFG901</v>
          </cell>
          <cell r="E17" t="str">
            <v>7K480T_FFG901</v>
          </cell>
        </row>
        <row r="18">
          <cell r="C18" t="str">
            <v>7K480TFFG901</v>
          </cell>
          <cell r="D18" t="str">
            <v>7K355T_FFG901</v>
          </cell>
          <cell r="E18" t="str">
            <v>7K420T_FFG901</v>
          </cell>
        </row>
        <row r="19">
          <cell r="C19" t="str">
            <v>7K420TFFG1156</v>
          </cell>
          <cell r="D19" t="str">
            <v>7K480T_FFG1156</v>
          </cell>
        </row>
        <row r="20">
          <cell r="C20" t="str">
            <v>7K480TFFG1156</v>
          </cell>
          <cell r="D20" t="str">
            <v>7K420T_FFG1156</v>
          </cell>
        </row>
        <row r="21">
          <cell r="C21" t="str">
            <v>7VX485TFFG1157</v>
          </cell>
          <cell r="D21" t="str">
            <v>7V585T_FFG1157</v>
          </cell>
          <cell r="E21" t="str">
            <v>7VX330T_FFG1157</v>
          </cell>
          <cell r="F21" t="str">
            <v>7VX415T_FFG1157</v>
          </cell>
          <cell r="G21" t="str">
            <v>7VX690T_FFG1157</v>
          </cell>
        </row>
        <row r="22">
          <cell r="C22" t="str">
            <v>7V1500TFLG1761</v>
          </cell>
          <cell r="D22" t="str">
            <v>7V585T_FFG1761</v>
          </cell>
          <cell r="E22" t="str">
            <v>7V2000T_FHG1761</v>
          </cell>
          <cell r="F22" t="str">
            <v>7VX330T_FFG1761</v>
          </cell>
          <cell r="G22" t="str">
            <v>7VX485T_FFG1761</v>
          </cell>
          <cell r="H22" t="str">
            <v>7VX690T_FFG1761</v>
          </cell>
        </row>
        <row r="23">
          <cell r="C23" t="str">
            <v>7V2000TFHG1761</v>
          </cell>
          <cell r="D23" t="str">
            <v>7V585T_FFG1761</v>
          </cell>
          <cell r="E23" t="str">
            <v>7V1500T_FLG1761</v>
          </cell>
          <cell r="F23" t="str">
            <v>7VX330T_FFG1761</v>
          </cell>
          <cell r="G23" t="str">
            <v>7VX485T_FFG1761</v>
          </cell>
          <cell r="H23" t="str">
            <v>7VX690T_FFG1761</v>
          </cell>
        </row>
        <row r="24">
          <cell r="C24" t="str">
            <v>7VX485TFFG1761</v>
          </cell>
          <cell r="D24" t="str">
            <v>7V585T_FFG1761</v>
          </cell>
          <cell r="E24" t="str">
            <v>7V1500T_FLG1761</v>
          </cell>
          <cell r="F24" t="str">
            <v>7V2000T_FHG1761</v>
          </cell>
          <cell r="G24" t="str">
            <v>7VX330T_FFG1761</v>
          </cell>
          <cell r="H24" t="str">
            <v>7VX690T_FFG1761</v>
          </cell>
        </row>
        <row r="25">
          <cell r="C25" t="str">
            <v>7V2000TFLG1925</v>
          </cell>
        </row>
        <row r="26">
          <cell r="C26" t="str">
            <v>7VX485TFFG1158</v>
          </cell>
          <cell r="D26" t="str">
            <v>7VX415T_FFG1158</v>
          </cell>
          <cell r="E26" t="str">
            <v>7VX550T_FFG1158</v>
          </cell>
        </row>
        <row r="27">
          <cell r="C27" t="str">
            <v>7VX485TFFG1927</v>
          </cell>
          <cell r="D27" t="str">
            <v>7VX415T_FFG1927</v>
          </cell>
          <cell r="E27" t="str">
            <v>7VX550T_FFG1927</v>
          </cell>
          <cell r="F27" t="str">
            <v>7VX690T_FFG1927</v>
          </cell>
        </row>
        <row r="28">
          <cell r="C28" t="str">
            <v>7VX485TFFG1930</v>
          </cell>
          <cell r="D28" t="str">
            <v>7VX690T_FFG1930</v>
          </cell>
          <cell r="E28" t="str">
            <v>7VX980T_FFG1930</v>
          </cell>
          <cell r="F28" t="str">
            <v>7VX1140T_FLG1930</v>
          </cell>
        </row>
        <row r="29">
          <cell r="C29" t="str">
            <v>7V585TFFG1157</v>
          </cell>
          <cell r="D29" t="str">
            <v>7VX330T_FFG1157</v>
          </cell>
          <cell r="E29" t="str">
            <v>7VX485T_FFG1157</v>
          </cell>
          <cell r="F29" t="str">
            <v>7VX415T_FFG1157</v>
          </cell>
          <cell r="G29" t="str">
            <v>7VX690T_FFG1157</v>
          </cell>
        </row>
        <row r="30">
          <cell r="C30" t="str">
            <v>7V585TFFG1761</v>
          </cell>
          <cell r="D30" t="str">
            <v>7V1500T_FFG1761</v>
          </cell>
          <cell r="E30" t="str">
            <v>7V2000T_FFG1761</v>
          </cell>
          <cell r="F30" t="str">
            <v>7VX330T_FFG1761</v>
          </cell>
          <cell r="G30" t="str">
            <v>7VX485T_FFG1761</v>
          </cell>
          <cell r="H30" t="str">
            <v>7VX690T_FFG1761</v>
          </cell>
        </row>
        <row r="31">
          <cell r="C31" t="str">
            <v>7A100TCSG324</v>
          </cell>
        </row>
        <row r="32">
          <cell r="C32" t="str">
            <v>7A100TFGG484</v>
          </cell>
          <cell r="D32" t="str">
            <v>7A200TFBG484</v>
          </cell>
          <cell r="E32" t="str">
            <v>7A350TFBG484</v>
          </cell>
        </row>
        <row r="33">
          <cell r="C33" t="str">
            <v>7A100TFGG676</v>
          </cell>
          <cell r="D33" t="str">
            <v>7A200TFBG676</v>
          </cell>
          <cell r="E33" t="str">
            <v>7A350TFBG676</v>
          </cell>
        </row>
        <row r="34">
          <cell r="C34" t="str">
            <v>7A100TFTG256</v>
          </cell>
        </row>
        <row r="35">
          <cell r="C35" t="str">
            <v>7A200TFBG484</v>
          </cell>
          <cell r="D35" t="str">
            <v>7A100T_FGG484</v>
          </cell>
        </row>
        <row r="36">
          <cell r="C36" t="str">
            <v>7A200TFBG676</v>
          </cell>
          <cell r="D36" t="str">
            <v>7A100T_FGG676</v>
          </cell>
          <cell r="E36" t="str">
            <v>7A350T_FBG676</v>
          </cell>
        </row>
        <row r="37">
          <cell r="C37" t="str">
            <v>7A200TFFG1156</v>
          </cell>
          <cell r="D37" t="str">
            <v>7A350T_FFG1156</v>
          </cell>
        </row>
        <row r="38">
          <cell r="C38" t="str">
            <v>7A350TFBG484</v>
          </cell>
          <cell r="D38" t="str">
            <v>7A100T_FGG484</v>
          </cell>
        </row>
        <row r="39">
          <cell r="C39" t="str">
            <v>7A350TFBG676</v>
          </cell>
          <cell r="D39" t="str">
            <v>7A100T_FGG676</v>
          </cell>
          <cell r="E39" t="str">
            <v>7A200T_FBG676</v>
          </cell>
        </row>
        <row r="40">
          <cell r="C40" t="str">
            <v>7A350TFFG1156</v>
          </cell>
          <cell r="D40" t="str">
            <v>7A200T_FFG1156</v>
          </cell>
        </row>
        <row r="41">
          <cell r="C41" t="str">
            <v>7VX330TFFG1157</v>
          </cell>
          <cell r="D41" t="str">
            <v>7V585T_FFG1157</v>
          </cell>
          <cell r="E41" t="str">
            <v>7VX485T_FFG1157</v>
          </cell>
          <cell r="F41" t="str">
            <v>7VX415T_FFG1157</v>
          </cell>
          <cell r="G41" t="str">
            <v>7VX690T_FFG1157</v>
          </cell>
        </row>
        <row r="42">
          <cell r="C42" t="str">
            <v>7VX330TFFG1761</v>
          </cell>
          <cell r="D42" t="str">
            <v>7V585T_FFG1761</v>
          </cell>
          <cell r="E42" t="str">
            <v>7V1500T_FFG1761</v>
          </cell>
          <cell r="F42" t="str">
            <v>7V2000T_FFG1761</v>
          </cell>
          <cell r="G42" t="str">
            <v>7VX485T_FFG1761</v>
          </cell>
          <cell r="H42" t="str">
            <v>7VX690T_FFG1761</v>
          </cell>
        </row>
        <row r="43">
          <cell r="C43" t="str">
            <v>7VX415TFFG1157</v>
          </cell>
          <cell r="D43" t="str">
            <v>7V585T_FFG1157</v>
          </cell>
          <cell r="E43" t="str">
            <v>7VX330T_FFG1157</v>
          </cell>
          <cell r="F43" t="str">
            <v>7VX485T_FFG1157</v>
          </cell>
          <cell r="G43" t="str">
            <v>7VX690T_FFG1157</v>
          </cell>
        </row>
        <row r="44">
          <cell r="C44" t="str">
            <v>7VX415TFFG1158</v>
          </cell>
          <cell r="D44" t="str">
            <v>7VX485T_FFG1158</v>
          </cell>
          <cell r="E44" t="str">
            <v>7VX550T_FFG1158</v>
          </cell>
        </row>
        <row r="45">
          <cell r="C45" t="str">
            <v>7VX415TFFG1927</v>
          </cell>
          <cell r="D45" t="str">
            <v>7VX485T_FFG1927</v>
          </cell>
          <cell r="E45" t="str">
            <v>7VX550T_FFG1927</v>
          </cell>
          <cell r="F45" t="str">
            <v>7VX690T_FFG1927</v>
          </cell>
        </row>
        <row r="46">
          <cell r="C46" t="str">
            <v>7VX550TFFG1158</v>
          </cell>
          <cell r="D46" t="str">
            <v>7VX485T_FFG1158</v>
          </cell>
          <cell r="E46" t="str">
            <v>7VX415T_FFG1158</v>
          </cell>
        </row>
        <row r="47">
          <cell r="C47" t="str">
            <v>7VX550TFFG1927</v>
          </cell>
          <cell r="D47" t="str">
            <v>7VX485T_FFG1927</v>
          </cell>
          <cell r="E47" t="str">
            <v>7VX415T_FFG1927</v>
          </cell>
          <cell r="F47" t="str">
            <v>7VX690T_FFG1927</v>
          </cell>
        </row>
        <row r="48">
          <cell r="C48" t="str">
            <v>7VX690TFFG1157</v>
          </cell>
          <cell r="D48" t="str">
            <v>7V585T_FFG1157</v>
          </cell>
          <cell r="E48" t="str">
            <v>7VX330T_FFG1157</v>
          </cell>
          <cell r="F48" t="str">
            <v>7VX485T_FFG1157</v>
          </cell>
          <cell r="G48" t="str">
            <v>7VX415T_FFG1157</v>
          </cell>
        </row>
        <row r="49">
          <cell r="C49" t="str">
            <v>7VX690TFFG1761</v>
          </cell>
          <cell r="D49" t="str">
            <v>7V585T_FFG1761</v>
          </cell>
          <cell r="E49" t="str">
            <v>7V1500T_FFG1761</v>
          </cell>
          <cell r="F49" t="str">
            <v>7V2000T_FFG1761</v>
          </cell>
          <cell r="G49" t="str">
            <v>7VX330T_FFG1761</v>
          </cell>
          <cell r="H49" t="str">
            <v>7VX485T_FFG1761</v>
          </cell>
        </row>
        <row r="50">
          <cell r="C50" t="str">
            <v>7VX690TFFG1926</v>
          </cell>
          <cell r="D50" t="str">
            <v>7VX980T_FFG1926</v>
          </cell>
        </row>
        <row r="51">
          <cell r="C51" t="str">
            <v>7VX690TFFG1927</v>
          </cell>
          <cell r="D51" t="str">
            <v>7VX485T_FFG1927</v>
          </cell>
          <cell r="E51" t="str">
            <v>7VX415T_FFG1927</v>
          </cell>
          <cell r="F51" t="str">
            <v>7VX550T_FFG1927</v>
          </cell>
        </row>
        <row r="52">
          <cell r="C52" t="str">
            <v>7VX690TFFG1930</v>
          </cell>
          <cell r="D52" t="str">
            <v>7VX980T_FFG1930</v>
          </cell>
          <cell r="E52" t="str">
            <v>7VX1140T_FFG1930</v>
          </cell>
          <cell r="F52" t="str">
            <v>7VX485T_FFG1930</v>
          </cell>
        </row>
        <row r="53">
          <cell r="C53" t="str">
            <v>7VX980TFFG1926</v>
          </cell>
          <cell r="D53" t="str">
            <v>7VX690T_FFG1926</v>
          </cell>
        </row>
        <row r="54">
          <cell r="C54" t="str">
            <v>7VX980TFFG1928</v>
          </cell>
          <cell r="D54" t="str">
            <v>7VX1140T_FFG1928</v>
          </cell>
        </row>
        <row r="55">
          <cell r="C55" t="str">
            <v>7VX980TFFG1930</v>
          </cell>
          <cell r="D55" t="str">
            <v>7VX690T_FFG1930</v>
          </cell>
          <cell r="E55" t="str">
            <v>7VX1140T_FFG1930</v>
          </cell>
          <cell r="F55" t="str">
            <v>7VX485T_FFG1930</v>
          </cell>
        </row>
        <row r="56">
          <cell r="C56" t="str">
            <v>7VX1140TFLG1928</v>
          </cell>
          <cell r="D56" t="str">
            <v>7VX980T_FLG1928</v>
          </cell>
        </row>
        <row r="57">
          <cell r="C57" t="str">
            <v>7VX1140TFLG1930</v>
          </cell>
          <cell r="D57" t="str">
            <v>7VX690T_FLG1930</v>
          </cell>
          <cell r="E57" t="str">
            <v>7VX980T_FLG1930</v>
          </cell>
          <cell r="F57" t="str">
            <v>7VX485T_FLG1930</v>
          </cell>
        </row>
        <row r="58">
          <cell r="C58" t="str">
            <v>7Z010CLG400</v>
          </cell>
          <cell r="D58" t="str">
            <v>7Z020_CLG400</v>
          </cell>
        </row>
        <row r="59">
          <cell r="C59" t="str">
            <v>7Z010CLG484</v>
          </cell>
          <cell r="D59" t="str">
            <v>7Z020_CLG484</v>
          </cell>
        </row>
        <row r="60">
          <cell r="C60" t="str">
            <v>7Z020CLG400</v>
          </cell>
          <cell r="D60" t="str">
            <v>7Z010_CLG400</v>
          </cell>
        </row>
        <row r="61">
          <cell r="C61" t="str">
            <v>7Z020CLG484</v>
          </cell>
          <cell r="D61" t="str">
            <v>7Z010_CLG484</v>
          </cell>
        </row>
      </sheetData>
      <sheetData sheetId="11">
        <row r="3">
          <cell r="C3" t="str">
            <v>7A100TCSG324</v>
          </cell>
          <cell r="D3" t="str">
            <v>0</v>
          </cell>
          <cell r="E3" t="str">
            <v>HR</v>
          </cell>
          <cell r="F3" t="str">
            <v>HR</v>
          </cell>
          <cell r="G3" t="str">
            <v>14,15,16,34,35</v>
          </cell>
          <cell r="H3" t="str">
            <v>N/A</v>
          </cell>
          <cell r="I3" t="str">
            <v>N/A</v>
          </cell>
          <cell r="J3" t="str">
            <v>N/A</v>
          </cell>
          <cell r="K3" t="str">
            <v>N/A</v>
          </cell>
          <cell r="L3" t="str">
            <v>N/A</v>
          </cell>
        </row>
        <row r="4">
          <cell r="C4" t="str">
            <v>7A100TFGG484</v>
          </cell>
          <cell r="D4" t="str">
            <v>0</v>
          </cell>
          <cell r="E4" t="str">
            <v>HR</v>
          </cell>
          <cell r="F4" t="str">
            <v>HR</v>
          </cell>
          <cell r="G4" t="str">
            <v>13,14,15,16,34,35</v>
          </cell>
          <cell r="H4" t="str">
            <v>N/A</v>
          </cell>
          <cell r="I4" t="str">
            <v>N/A</v>
          </cell>
          <cell r="J4" t="str">
            <v>N/A</v>
          </cell>
          <cell r="K4" t="str">
            <v>116</v>
          </cell>
          <cell r="L4" t="str">
            <v>N/A</v>
          </cell>
        </row>
        <row r="5">
          <cell r="C5" t="str">
            <v>7A100TFGG676</v>
          </cell>
          <cell r="D5" t="str">
            <v>0</v>
          </cell>
          <cell r="E5" t="str">
            <v>HR</v>
          </cell>
          <cell r="F5" t="str">
            <v>HR</v>
          </cell>
          <cell r="G5" t="str">
            <v>13,14,15,16,34,35</v>
          </cell>
          <cell r="H5" t="str">
            <v>N/A</v>
          </cell>
          <cell r="I5" t="str">
            <v>N/A</v>
          </cell>
          <cell r="J5" t="str">
            <v>N/A</v>
          </cell>
          <cell r="K5" t="str">
            <v>113,116</v>
          </cell>
          <cell r="L5" t="str">
            <v>N/A</v>
          </cell>
        </row>
        <row r="6">
          <cell r="C6" t="str">
            <v>7A100TFTG256</v>
          </cell>
          <cell r="D6" t="str">
            <v>0</v>
          </cell>
          <cell r="E6" t="str">
            <v>HR</v>
          </cell>
          <cell r="F6" t="str">
            <v>HR</v>
          </cell>
          <cell r="G6" t="str">
            <v>14,15,34,35</v>
          </cell>
          <cell r="H6" t="str">
            <v>N/A</v>
          </cell>
          <cell r="I6" t="str">
            <v>N/A</v>
          </cell>
          <cell r="J6" t="str">
            <v>N/A</v>
          </cell>
          <cell r="K6" t="str">
            <v>N/A</v>
          </cell>
          <cell r="L6" t="str">
            <v>N/A</v>
          </cell>
        </row>
        <row r="7">
          <cell r="C7" t="str">
            <v>7A200TFBG484</v>
          </cell>
          <cell r="D7" t="str">
            <v>0</v>
          </cell>
          <cell r="E7" t="str">
            <v>HR</v>
          </cell>
          <cell r="F7" t="str">
            <v>HR</v>
          </cell>
          <cell r="G7" t="str">
            <v>13,14,15,16,34,35</v>
          </cell>
          <cell r="H7" t="str">
            <v>N/A</v>
          </cell>
          <cell r="I7" t="str">
            <v>N/A</v>
          </cell>
          <cell r="J7" t="str">
            <v>N/A</v>
          </cell>
          <cell r="K7" t="str">
            <v>216</v>
          </cell>
          <cell r="L7" t="str">
            <v>N/A</v>
          </cell>
        </row>
        <row r="8">
          <cell r="C8" t="str">
            <v>7A200TFBG676</v>
          </cell>
          <cell r="D8" t="str">
            <v>0</v>
          </cell>
          <cell r="E8" t="str">
            <v>HR</v>
          </cell>
          <cell r="F8" t="str">
            <v>HR</v>
          </cell>
          <cell r="G8" t="str">
            <v>12,13,14,15,16,33,34,35</v>
          </cell>
          <cell r="H8" t="str">
            <v>N/A</v>
          </cell>
          <cell r="I8" t="str">
            <v>N/A</v>
          </cell>
          <cell r="J8" t="str">
            <v>N/A</v>
          </cell>
          <cell r="K8" t="str">
            <v>213,216</v>
          </cell>
          <cell r="L8" t="str">
            <v>N/A</v>
          </cell>
        </row>
        <row r="9">
          <cell r="C9" t="str">
            <v>7A200TFFG1156</v>
          </cell>
          <cell r="D9" t="str">
            <v>0</v>
          </cell>
          <cell r="E9" t="str">
            <v>HR</v>
          </cell>
          <cell r="F9" t="str">
            <v>HR</v>
          </cell>
          <cell r="G9" t="str">
            <v>12,13,14,15,16,32,33,34,35,36</v>
          </cell>
          <cell r="H9" t="str">
            <v>N/A</v>
          </cell>
          <cell r="I9" t="str">
            <v>N/A</v>
          </cell>
          <cell r="J9" t="str">
            <v>N/A</v>
          </cell>
          <cell r="K9" t="str">
            <v>113,116,213,216</v>
          </cell>
          <cell r="L9" t="str">
            <v>N/A</v>
          </cell>
        </row>
        <row r="10">
          <cell r="C10" t="str">
            <v>7A350TFBG484</v>
          </cell>
          <cell r="D10" t="str">
            <v>0</v>
          </cell>
          <cell r="E10" t="str">
            <v>HR</v>
          </cell>
          <cell r="F10" t="str">
            <v>HR</v>
          </cell>
          <cell r="G10" t="str">
            <v>13,14,15,16,34,35</v>
          </cell>
          <cell r="H10" t="str">
            <v>N/A</v>
          </cell>
          <cell r="I10" t="str">
            <v>N/A</v>
          </cell>
          <cell r="J10" t="str">
            <v>N/A</v>
          </cell>
          <cell r="K10" t="str">
            <v>216</v>
          </cell>
          <cell r="L10" t="str">
            <v>N/A</v>
          </cell>
        </row>
        <row r="11">
          <cell r="C11" t="str">
            <v>7A350TFBG676</v>
          </cell>
          <cell r="D11" t="str">
            <v>0</v>
          </cell>
          <cell r="E11" t="str">
            <v>HR</v>
          </cell>
          <cell r="F11" t="str">
            <v>HR</v>
          </cell>
          <cell r="G11" t="str">
            <v>12,13,14,15,16,33,34,35</v>
          </cell>
          <cell r="H11" t="str">
            <v>N/A</v>
          </cell>
          <cell r="I11" t="str">
            <v>N/A</v>
          </cell>
          <cell r="J11" t="str">
            <v>N/A</v>
          </cell>
          <cell r="K11" t="str">
            <v>213,216</v>
          </cell>
          <cell r="L11" t="str">
            <v>N/A</v>
          </cell>
        </row>
        <row r="12">
          <cell r="C12" t="str">
            <v>7A350TFFG1156</v>
          </cell>
          <cell r="D12" t="str">
            <v>0</v>
          </cell>
          <cell r="E12" t="str">
            <v>HR</v>
          </cell>
          <cell r="F12" t="str">
            <v>HR</v>
          </cell>
          <cell r="G12" t="str">
            <v>12,13,14,15,16,17,32,33,34,35,36,37</v>
          </cell>
          <cell r="H12" t="str">
            <v>N/A</v>
          </cell>
          <cell r="I12" t="str">
            <v>N/A</v>
          </cell>
          <cell r="J12" t="str">
            <v>N/A</v>
          </cell>
          <cell r="K12" t="str">
            <v>113,116,213,216</v>
          </cell>
          <cell r="L12" t="str">
            <v>N/A</v>
          </cell>
        </row>
        <row r="13">
          <cell r="C13" t="str">
            <v>7K160TFBG484</v>
          </cell>
          <cell r="D13">
            <v>0</v>
          </cell>
          <cell r="E13" t="str">
            <v>HR</v>
          </cell>
          <cell r="F13" t="str">
            <v>HR</v>
          </cell>
          <cell r="G13" t="str">
            <v>13,14,15,16</v>
          </cell>
          <cell r="H13" t="str">
            <v>33,34</v>
          </cell>
          <cell r="I13">
            <v>115</v>
          </cell>
          <cell r="J13" t="str">
            <v>N/A</v>
          </cell>
          <cell r="K13" t="str">
            <v>N/A</v>
          </cell>
          <cell r="L13" t="str">
            <v>N/A</v>
          </cell>
        </row>
        <row r="14">
          <cell r="C14" t="str">
            <v>7K160TFBG676</v>
          </cell>
          <cell r="D14">
            <v>0</v>
          </cell>
          <cell r="E14" t="str">
            <v>HR</v>
          </cell>
          <cell r="F14" t="str">
            <v>HR</v>
          </cell>
          <cell r="G14" t="str">
            <v>12,13,14,15,16</v>
          </cell>
          <cell r="H14" t="str">
            <v>32,33,34</v>
          </cell>
          <cell r="I14" t="str">
            <v>115,116</v>
          </cell>
          <cell r="J14" t="str">
            <v>N/A</v>
          </cell>
          <cell r="K14" t="str">
            <v>N/A</v>
          </cell>
          <cell r="L14" t="str">
            <v>N/A</v>
          </cell>
        </row>
        <row r="15">
          <cell r="C15" t="str">
            <v>7K160TFFG676</v>
          </cell>
          <cell r="D15">
            <v>0</v>
          </cell>
          <cell r="E15" t="str">
            <v>HR</v>
          </cell>
          <cell r="F15" t="str">
            <v>HR</v>
          </cell>
          <cell r="G15" t="str">
            <v>12,13,14,15,16</v>
          </cell>
          <cell r="H15" t="str">
            <v>32,33,34</v>
          </cell>
          <cell r="I15" t="str">
            <v>115,116</v>
          </cell>
          <cell r="J15" t="str">
            <v>N/A</v>
          </cell>
          <cell r="K15" t="str">
            <v>N/A</v>
          </cell>
          <cell r="L15" t="str">
            <v>N/A</v>
          </cell>
        </row>
        <row r="16">
          <cell r="C16" t="str">
            <v>7K325TFBG676</v>
          </cell>
          <cell r="D16" t="str">
            <v>0</v>
          </cell>
          <cell r="E16" t="str">
            <v>HR</v>
          </cell>
          <cell r="F16" t="str">
            <v>HR</v>
          </cell>
          <cell r="G16" t="str">
            <v>12,13,14,15,16</v>
          </cell>
          <cell r="H16" t="str">
            <v>32,33,34</v>
          </cell>
          <cell r="I16" t="str">
            <v>115,116</v>
          </cell>
          <cell r="J16" t="str">
            <v>N/A</v>
          </cell>
          <cell r="K16" t="str">
            <v>N/A</v>
          </cell>
          <cell r="L16" t="str">
            <v>N/A</v>
          </cell>
        </row>
        <row r="17">
          <cell r="C17" t="str">
            <v>7K325TFFG676</v>
          </cell>
          <cell r="D17" t="str">
            <v>0</v>
          </cell>
          <cell r="E17" t="str">
            <v>HR</v>
          </cell>
          <cell r="F17" t="str">
            <v>HR</v>
          </cell>
          <cell r="G17" t="str">
            <v>12,13,14,15,16</v>
          </cell>
          <cell r="H17" t="str">
            <v>32,33,34</v>
          </cell>
          <cell r="I17" t="str">
            <v>115,116</v>
          </cell>
          <cell r="J17" t="str">
            <v>N/A</v>
          </cell>
          <cell r="K17" t="str">
            <v>N/A</v>
          </cell>
          <cell r="L17" t="str">
            <v>N/A</v>
          </cell>
        </row>
        <row r="18">
          <cell r="C18" t="str">
            <v>7K325TFBG900</v>
          </cell>
          <cell r="D18" t="str">
            <v>0</v>
          </cell>
          <cell r="E18" t="str">
            <v>HR</v>
          </cell>
          <cell r="F18" t="str">
            <v>HR</v>
          </cell>
          <cell r="G18" t="str">
            <v>12,13,14,15,16,17,18</v>
          </cell>
          <cell r="H18" t="str">
            <v>32,33,34</v>
          </cell>
          <cell r="I18" t="str">
            <v>115,116,117,118</v>
          </cell>
          <cell r="J18" t="str">
            <v>N/A</v>
          </cell>
          <cell r="K18" t="str">
            <v>N/A</v>
          </cell>
          <cell r="L18" t="str">
            <v>N/A</v>
          </cell>
        </row>
        <row r="19">
          <cell r="C19" t="str">
            <v>7K325TFFG900</v>
          </cell>
          <cell r="D19" t="str">
            <v>0</v>
          </cell>
          <cell r="E19" t="str">
            <v>HR</v>
          </cell>
          <cell r="F19" t="str">
            <v>HR</v>
          </cell>
          <cell r="G19" t="str">
            <v>12,13,14,15,16,17,18</v>
          </cell>
          <cell r="H19" t="str">
            <v>32,33,34</v>
          </cell>
          <cell r="I19" t="str">
            <v>115,116,117,118</v>
          </cell>
          <cell r="J19" t="str">
            <v>N/A</v>
          </cell>
          <cell r="K19" t="str">
            <v>N/A</v>
          </cell>
          <cell r="L19" t="str">
            <v>N/A</v>
          </cell>
        </row>
        <row r="20">
          <cell r="C20" t="str">
            <v>7K355TFFG901</v>
          </cell>
          <cell r="D20" t="str">
            <v>0</v>
          </cell>
          <cell r="E20" t="str">
            <v>HR</v>
          </cell>
          <cell r="F20" t="str">
            <v>HR</v>
          </cell>
          <cell r="G20" t="str">
            <v>12,13,14,15,16,17</v>
          </cell>
          <cell r="H20" t="str">
            <v>N/A</v>
          </cell>
          <cell r="I20" t="str">
            <v>112,113,114,115,116,117</v>
          </cell>
          <cell r="J20" t="str">
            <v>N/A</v>
          </cell>
          <cell r="K20" t="str">
            <v>N/A</v>
          </cell>
          <cell r="L20" t="str">
            <v>N/A</v>
          </cell>
        </row>
        <row r="21">
          <cell r="C21" t="str">
            <v>7K410TFBG676</v>
          </cell>
          <cell r="D21" t="str">
            <v>0</v>
          </cell>
          <cell r="E21" t="str">
            <v>HR</v>
          </cell>
          <cell r="F21" t="str">
            <v>HR</v>
          </cell>
          <cell r="G21" t="str">
            <v>12,13,14,15,16</v>
          </cell>
          <cell r="H21" t="str">
            <v>32,33,34</v>
          </cell>
          <cell r="I21" t="str">
            <v>115,116</v>
          </cell>
          <cell r="J21" t="str">
            <v>N/A</v>
          </cell>
          <cell r="K21" t="str">
            <v>N/A</v>
          </cell>
          <cell r="L21" t="str">
            <v>N/A</v>
          </cell>
        </row>
        <row r="22">
          <cell r="C22" t="str">
            <v>7K410TFFG676</v>
          </cell>
          <cell r="D22" t="str">
            <v>0</v>
          </cell>
          <cell r="E22" t="str">
            <v>HR</v>
          </cell>
          <cell r="F22" t="str">
            <v>HR</v>
          </cell>
          <cell r="G22" t="str">
            <v>12,13,14,15,16</v>
          </cell>
          <cell r="H22" t="str">
            <v>32,33,34</v>
          </cell>
          <cell r="I22" t="str">
            <v>115,116</v>
          </cell>
          <cell r="J22" t="str">
            <v>N/A</v>
          </cell>
          <cell r="K22" t="str">
            <v>N/A</v>
          </cell>
          <cell r="L22" t="str">
            <v>N/A</v>
          </cell>
        </row>
        <row r="23">
          <cell r="C23" t="str">
            <v>7K410TFBG900</v>
          </cell>
          <cell r="D23" t="str">
            <v>0</v>
          </cell>
          <cell r="E23" t="str">
            <v>HR</v>
          </cell>
          <cell r="F23" t="str">
            <v>HR</v>
          </cell>
          <cell r="G23" t="str">
            <v>12,13,14,15,16,17,18</v>
          </cell>
          <cell r="H23" t="str">
            <v>32,33,34</v>
          </cell>
          <cell r="I23" t="str">
            <v>115,116,117,118</v>
          </cell>
          <cell r="J23" t="str">
            <v>N/A</v>
          </cell>
          <cell r="K23" t="str">
            <v>N/A</v>
          </cell>
          <cell r="L23" t="str">
            <v>N/A</v>
          </cell>
        </row>
        <row r="24">
          <cell r="C24" t="str">
            <v>7K410TFFG900</v>
          </cell>
          <cell r="D24" t="str">
            <v>0</v>
          </cell>
          <cell r="E24" t="str">
            <v>HR</v>
          </cell>
          <cell r="F24" t="str">
            <v>HR</v>
          </cell>
          <cell r="G24" t="str">
            <v>12,13,14,15,16,17,18</v>
          </cell>
          <cell r="H24" t="str">
            <v>32,33,34</v>
          </cell>
          <cell r="I24" t="str">
            <v>115,116,117,118</v>
          </cell>
          <cell r="J24" t="str">
            <v>N/A</v>
          </cell>
          <cell r="K24" t="str">
            <v>N/A</v>
          </cell>
          <cell r="L24" t="str">
            <v>N/A</v>
          </cell>
        </row>
        <row r="25">
          <cell r="C25" t="str">
            <v>7K420TFFG901</v>
          </cell>
          <cell r="D25" t="str">
            <v>0</v>
          </cell>
          <cell r="E25" t="str">
            <v>HR</v>
          </cell>
          <cell r="F25" t="str">
            <v>HR</v>
          </cell>
          <cell r="G25" t="str">
            <v>11,12,13,14,15,16,17,18</v>
          </cell>
          <cell r="H25" t="str">
            <v>N/A</v>
          </cell>
          <cell r="I25" t="str">
            <v>111,112,113,114,115,116,117</v>
          </cell>
          <cell r="J25" t="str">
            <v>N/A</v>
          </cell>
          <cell r="K25" t="str">
            <v>N/A</v>
          </cell>
          <cell r="L25" t="str">
            <v>N/A</v>
          </cell>
        </row>
        <row r="26">
          <cell r="C26" t="str">
            <v>7K420TFFG1156</v>
          </cell>
          <cell r="D26" t="str">
            <v>0</v>
          </cell>
          <cell r="E26" t="str">
            <v>HR</v>
          </cell>
          <cell r="F26" t="str">
            <v>HR</v>
          </cell>
          <cell r="G26" t="str">
            <v>11,12,13,14,15,16,17,18</v>
          </cell>
          <cell r="H26" t="str">
            <v>N/A</v>
          </cell>
          <cell r="I26" t="str">
            <v>111,112,113,114,115,116,117,118</v>
          </cell>
          <cell r="J26" t="str">
            <v>N/A</v>
          </cell>
          <cell r="K26" t="str">
            <v>N/A</v>
          </cell>
          <cell r="L26" t="str">
            <v>N/A</v>
          </cell>
        </row>
        <row r="27">
          <cell r="C27" t="str">
            <v>7K480TFFG901</v>
          </cell>
          <cell r="D27" t="str">
            <v>0</v>
          </cell>
          <cell r="E27" t="str">
            <v>HR</v>
          </cell>
          <cell r="F27" t="str">
            <v>HR</v>
          </cell>
          <cell r="G27" t="str">
            <v>11,12,13,14,15,16,17,18</v>
          </cell>
          <cell r="H27" t="str">
            <v>N/A</v>
          </cell>
          <cell r="I27" t="str">
            <v>111,112,113,114,115,116,117</v>
          </cell>
          <cell r="J27" t="str">
            <v>N/A</v>
          </cell>
          <cell r="K27" t="str">
            <v>N/A</v>
          </cell>
          <cell r="L27" t="str">
            <v>N/A</v>
          </cell>
        </row>
        <row r="28">
          <cell r="C28" t="str">
            <v>7K480TFFG1156</v>
          </cell>
          <cell r="D28" t="str">
            <v>0</v>
          </cell>
          <cell r="E28" t="str">
            <v>HR</v>
          </cell>
          <cell r="F28" t="str">
            <v>HR</v>
          </cell>
          <cell r="G28" t="str">
            <v>11,12,13,14,15,16,17,18</v>
          </cell>
          <cell r="H28" t="str">
            <v>N/A</v>
          </cell>
          <cell r="I28" t="str">
            <v>111,112,113,114,115,116,117,118</v>
          </cell>
          <cell r="J28" t="str">
            <v>N/A</v>
          </cell>
          <cell r="K28" t="str">
            <v>N/A</v>
          </cell>
          <cell r="L28" t="str">
            <v>N/A</v>
          </cell>
        </row>
        <row r="29">
          <cell r="C29" t="str">
            <v>7K70TFBG484</v>
          </cell>
          <cell r="D29" t="str">
            <v>0</v>
          </cell>
          <cell r="E29" t="str">
            <v>HR</v>
          </cell>
          <cell r="F29" t="str">
            <v>HR</v>
          </cell>
          <cell r="G29" t="str">
            <v>13,14,15,16</v>
          </cell>
          <cell r="H29" t="str">
            <v>33,34</v>
          </cell>
          <cell r="I29" t="str">
            <v>115</v>
          </cell>
          <cell r="J29" t="str">
            <v>N/A</v>
          </cell>
          <cell r="K29" t="str">
            <v>N/A</v>
          </cell>
          <cell r="L29" t="str">
            <v>N/A</v>
          </cell>
        </row>
        <row r="30">
          <cell r="C30" t="str">
            <v>7K70TFBG676</v>
          </cell>
          <cell r="D30" t="str">
            <v>0</v>
          </cell>
          <cell r="E30" t="str">
            <v>HR</v>
          </cell>
          <cell r="F30" t="str">
            <v>HR</v>
          </cell>
          <cell r="G30" t="str">
            <v>13,14,15,16</v>
          </cell>
          <cell r="H30" t="str">
            <v>33,34</v>
          </cell>
          <cell r="I30" t="str">
            <v>115,116</v>
          </cell>
          <cell r="J30" t="str">
            <v>N/A</v>
          </cell>
          <cell r="K30" t="str">
            <v>N/A</v>
          </cell>
          <cell r="L30" t="str">
            <v>N/A</v>
          </cell>
        </row>
        <row r="31">
          <cell r="C31" t="str">
            <v>7V1500TFLG1761</v>
          </cell>
          <cell r="D31" t="str">
            <v>0</v>
          </cell>
          <cell r="E31" t="str">
            <v>HP</v>
          </cell>
          <cell r="F31" t="str">
            <v>HP</v>
          </cell>
          <cell r="G31" t="str">
            <v>N/A</v>
          </cell>
          <cell r="H31" t="str">
            <v>12,13,14,15,16,17,18,19,31,32,33,34,35,36,37,38,39</v>
          </cell>
          <cell r="I31" t="str">
            <v>111,112,113,114,115,116,117,118,119</v>
          </cell>
          <cell r="J31" t="str">
            <v>N/A</v>
          </cell>
          <cell r="K31" t="str">
            <v>N/A</v>
          </cell>
          <cell r="L31" t="str">
            <v>N/A</v>
          </cell>
        </row>
        <row r="32">
          <cell r="C32" t="str">
            <v>7V2000TFHG1761</v>
          </cell>
          <cell r="D32" t="str">
            <v>0</v>
          </cell>
          <cell r="E32" t="str">
            <v>HP</v>
          </cell>
          <cell r="F32" t="str">
            <v>HP</v>
          </cell>
          <cell r="G32" t="str">
            <v>N/A</v>
          </cell>
          <cell r="H32" t="str">
            <v>12,13,14,15,16,17,18,19,31,32,33,34,35,36,37,38,39</v>
          </cell>
          <cell r="I32" t="str">
            <v>111,112,113,114,115,116,117,118,119</v>
          </cell>
          <cell r="J32" t="str">
            <v>N/A</v>
          </cell>
          <cell r="K32" t="str">
            <v>N/A</v>
          </cell>
          <cell r="L32" t="str">
            <v>N/A</v>
          </cell>
        </row>
        <row r="33">
          <cell r="C33" t="str">
            <v>7V2000TFLG1925</v>
          </cell>
          <cell r="D33" t="str">
            <v>0</v>
          </cell>
          <cell r="E33" t="str">
            <v>HP</v>
          </cell>
          <cell r="F33" t="str">
            <v>HP</v>
          </cell>
          <cell r="G33" t="str">
            <v>N/A</v>
          </cell>
          <cell r="H33" t="str">
            <v>11,12,13,14,15,16,17,18,19,20,21,22,31,32,33,34,35,36,37,38,39,40,41,42</v>
          </cell>
          <cell r="I33" t="str">
            <v>112,113,114,115</v>
          </cell>
          <cell r="J33" t="str">
            <v>N/A</v>
          </cell>
          <cell r="K33" t="str">
            <v>N/A</v>
          </cell>
          <cell r="L33" t="str">
            <v>N/A</v>
          </cell>
        </row>
        <row r="34">
          <cell r="C34" t="str">
            <v>7V585TFFG1157</v>
          </cell>
          <cell r="D34" t="str">
            <v>0</v>
          </cell>
          <cell r="E34" t="str">
            <v>HP</v>
          </cell>
          <cell r="F34" t="str">
            <v>HP</v>
          </cell>
          <cell r="G34" t="str">
            <v>N/A</v>
          </cell>
          <cell r="H34" t="str">
            <v>14,15,16,17,18,19,34,35,36,37,38,39</v>
          </cell>
          <cell r="I34" t="str">
            <v>114,115,116,117,118</v>
          </cell>
          <cell r="J34" t="str">
            <v>N/A</v>
          </cell>
          <cell r="K34" t="str">
            <v>N/A</v>
          </cell>
          <cell r="L34" t="str">
            <v>N/A</v>
          </cell>
        </row>
        <row r="35">
          <cell r="C35" t="str">
            <v>7V585TFFG1761</v>
          </cell>
          <cell r="D35" t="str">
            <v>0</v>
          </cell>
          <cell r="E35" t="str">
            <v>HP</v>
          </cell>
          <cell r="F35" t="str">
            <v>HP</v>
          </cell>
          <cell r="G35" t="str">
            <v>12,13</v>
          </cell>
          <cell r="H35" t="str">
            <v>14,15,16,17,18,19,31,32,33,34,35,36,37,38,39</v>
          </cell>
          <cell r="I35" t="str">
            <v>111,112,113,114,115,116,117,118,119</v>
          </cell>
          <cell r="J35" t="str">
            <v>N/A</v>
          </cell>
          <cell r="K35" t="str">
            <v>N/A</v>
          </cell>
          <cell r="L35" t="str">
            <v>N/A</v>
          </cell>
        </row>
        <row r="36">
          <cell r="C36" t="str">
            <v>7VX1140TFLG1928</v>
          </cell>
          <cell r="D36" t="str">
            <v>0</v>
          </cell>
          <cell r="E36" t="str">
            <v>HP</v>
          </cell>
          <cell r="F36" t="str">
            <v>HP</v>
          </cell>
          <cell r="G36" t="str">
            <v>N/A</v>
          </cell>
          <cell r="H36" t="str">
            <v>13,14,15,16,33,34,35,36,37,38</v>
          </cell>
          <cell r="I36" t="str">
            <v>N/A</v>
          </cell>
          <cell r="J36" t="str">
            <v>110,111,112,113,114,115,116,117,118,119,120,121,210,211,212,213,214,215,216,217,218,219,220,221</v>
          </cell>
          <cell r="K36" t="str">
            <v>N/A</v>
          </cell>
          <cell r="L36" t="str">
            <v>N/A</v>
          </cell>
        </row>
        <row r="37">
          <cell r="C37" t="str">
            <v>7VX1140TFLG1930</v>
          </cell>
          <cell r="D37" t="str">
            <v>0</v>
          </cell>
          <cell r="E37" t="str">
            <v>HP</v>
          </cell>
          <cell r="F37" t="str">
            <v>HP</v>
          </cell>
          <cell r="G37" t="str">
            <v>N/A</v>
          </cell>
          <cell r="H37" t="str">
            <v>10,11,12,13,14,15,16,17,18,19,20,21,30,31,32,33,34,35,36,37,38,39</v>
          </cell>
          <cell r="I37" t="str">
            <v>N/A</v>
          </cell>
          <cell r="J37" t="str">
            <v>113,114,115,116,117,118</v>
          </cell>
          <cell r="K37" t="str">
            <v>N/A</v>
          </cell>
          <cell r="L37" t="str">
            <v>N/A</v>
          </cell>
        </row>
        <row r="38">
          <cell r="C38" t="str">
            <v>7VX330TFFG1157</v>
          </cell>
          <cell r="D38" t="str">
            <v>0</v>
          </cell>
          <cell r="E38" t="str">
            <v>HP</v>
          </cell>
          <cell r="F38" t="str">
            <v>HP</v>
          </cell>
          <cell r="G38" t="str">
            <v>N/A</v>
          </cell>
          <cell r="H38" t="str">
            <v>14,15,16,17,18,19,34,35,36,37,38,39</v>
          </cell>
          <cell r="I38" t="str">
            <v>N/A</v>
          </cell>
          <cell r="J38" t="str">
            <v>114,115,116,117,118</v>
          </cell>
          <cell r="K38" t="str">
            <v>N/A</v>
          </cell>
          <cell r="L38" t="str">
            <v>N/A</v>
          </cell>
        </row>
        <row r="39">
          <cell r="C39" t="str">
            <v>7VX330TFFG1761</v>
          </cell>
          <cell r="D39" t="str">
            <v>0</v>
          </cell>
          <cell r="E39" t="str">
            <v>HP</v>
          </cell>
          <cell r="F39" t="str">
            <v>HP</v>
          </cell>
          <cell r="G39" t="str">
            <v>13</v>
          </cell>
          <cell r="H39" t="str">
            <v>14,15,16,17,18,19,33,34,35,36,37,38,39</v>
          </cell>
          <cell r="I39" t="str">
            <v>N/A</v>
          </cell>
          <cell r="J39" t="str">
            <v>113,114,115,116,117,118,119</v>
          </cell>
          <cell r="K39" t="str">
            <v>N/A</v>
          </cell>
          <cell r="L39" t="str">
            <v>N/A</v>
          </cell>
        </row>
        <row r="40">
          <cell r="C40" t="str">
            <v>7VX415TFFG1157</v>
          </cell>
          <cell r="D40" t="str">
            <v>0</v>
          </cell>
          <cell r="E40" t="str">
            <v>HP</v>
          </cell>
          <cell r="F40" t="str">
            <v>HP</v>
          </cell>
          <cell r="G40" t="str">
            <v>N/A</v>
          </cell>
          <cell r="H40" t="str">
            <v>14,15,16,17,18,19,34,35,36,37,38,39</v>
          </cell>
          <cell r="I40" t="str">
            <v>N/A</v>
          </cell>
          <cell r="J40" t="str">
            <v>114,115,116,117,118</v>
          </cell>
          <cell r="K40" t="str">
            <v>N/A</v>
          </cell>
          <cell r="L40" t="str">
            <v>N/A</v>
          </cell>
        </row>
        <row r="41">
          <cell r="C41" t="str">
            <v>7VX415TFFG1158</v>
          </cell>
          <cell r="D41" t="str">
            <v>0</v>
          </cell>
          <cell r="E41" t="str">
            <v>HP</v>
          </cell>
          <cell r="F41" t="str">
            <v>HP</v>
          </cell>
          <cell r="G41" t="str">
            <v>N/A</v>
          </cell>
          <cell r="H41" t="str">
            <v>14,15,16,17,34,35,36</v>
          </cell>
          <cell r="I41" t="str">
            <v>N/A</v>
          </cell>
          <cell r="J41" t="str">
            <v>114,115,116,117,118,119,214,215,216,217,218,219</v>
          </cell>
          <cell r="K41" t="str">
            <v>N/A</v>
          </cell>
          <cell r="L41" t="str">
            <v>N/A</v>
          </cell>
        </row>
        <row r="42">
          <cell r="C42" t="str">
            <v>7VX415TFFG1927</v>
          </cell>
          <cell r="D42" t="str">
            <v>0</v>
          </cell>
          <cell r="E42" t="str">
            <v>HP</v>
          </cell>
          <cell r="F42" t="str">
            <v>HP</v>
          </cell>
          <cell r="G42" t="str">
            <v>N/A</v>
          </cell>
          <cell r="H42" t="str">
            <v>14,15,16,17,18,19,34,35,36,37,38,39</v>
          </cell>
          <cell r="I42" t="str">
            <v>N/A</v>
          </cell>
          <cell r="J42" t="str">
            <v>113,114,115,116,117,118,119,213,214,215,216,217,218,219</v>
          </cell>
          <cell r="K42" t="str">
            <v>N/A</v>
          </cell>
          <cell r="L42" t="str">
            <v>N/A</v>
          </cell>
        </row>
        <row r="43">
          <cell r="C43" t="str">
            <v>7VX485TFFG1157</v>
          </cell>
          <cell r="D43" t="str">
            <v>0</v>
          </cell>
          <cell r="E43" t="str">
            <v>HP</v>
          </cell>
          <cell r="F43" t="str">
            <v>HP</v>
          </cell>
          <cell r="G43" t="str">
            <v>N/A</v>
          </cell>
          <cell r="H43" t="str">
            <v>14,15,16,17,18,19,34,35,36,37,38,39</v>
          </cell>
          <cell r="I43" t="str">
            <v>114,115,116,117,118</v>
          </cell>
          <cell r="J43" t="str">
            <v>N/A</v>
          </cell>
          <cell r="K43" t="str">
            <v>N/A</v>
          </cell>
          <cell r="L43" t="str">
            <v>N/A</v>
          </cell>
        </row>
        <row r="44">
          <cell r="C44" t="str">
            <v>7VX485TFFG1761</v>
          </cell>
          <cell r="D44" t="str">
            <v>0</v>
          </cell>
          <cell r="E44" t="str">
            <v>HP</v>
          </cell>
          <cell r="F44" t="str">
            <v>HP</v>
          </cell>
          <cell r="G44" t="str">
            <v>N/A</v>
          </cell>
          <cell r="H44" t="str">
            <v>13,14,15,16,17,18,19,33,34,35,36,37,38,39</v>
          </cell>
          <cell r="I44" t="str">
            <v>113,114,115,116,117,118,119</v>
          </cell>
          <cell r="J44" t="str">
            <v>N/A</v>
          </cell>
          <cell r="K44" t="str">
            <v>N/A</v>
          </cell>
          <cell r="L44" t="str">
            <v>N/A</v>
          </cell>
        </row>
        <row r="45">
          <cell r="C45" t="str">
            <v>7VX485TFFG1158</v>
          </cell>
          <cell r="D45" t="str">
            <v>0</v>
          </cell>
          <cell r="E45" t="str">
            <v>HP</v>
          </cell>
          <cell r="F45" t="str">
            <v>HP</v>
          </cell>
          <cell r="G45" t="str">
            <v>N/A</v>
          </cell>
          <cell r="H45" t="str">
            <v>14,15,16,17,34,35,36</v>
          </cell>
          <cell r="I45" t="str">
            <v>114,115,116,117,118,119,214,215,216,217,218,219</v>
          </cell>
          <cell r="J45" t="str">
            <v>N/A</v>
          </cell>
          <cell r="K45" t="str">
            <v>N/A</v>
          </cell>
          <cell r="L45" t="str">
            <v>N/A</v>
          </cell>
        </row>
        <row r="46">
          <cell r="C46" t="str">
            <v>7VX485TFFG1927</v>
          </cell>
          <cell r="D46" t="str">
            <v>0</v>
          </cell>
          <cell r="E46" t="str">
            <v>HP</v>
          </cell>
          <cell r="F46" t="str">
            <v>HP</v>
          </cell>
          <cell r="G46" t="str">
            <v>N/A</v>
          </cell>
          <cell r="H46" t="str">
            <v>14,15,16,17,18,19,34,35,36,37,38,39</v>
          </cell>
          <cell r="I46" t="str">
            <v>113,114,115,116,117,118,119,213,214,215,216,217,218,219</v>
          </cell>
          <cell r="J46" t="str">
            <v>N/A</v>
          </cell>
          <cell r="K46" t="str">
            <v>N/A</v>
          </cell>
          <cell r="L46" t="str">
            <v>N/A</v>
          </cell>
        </row>
        <row r="47">
          <cell r="C47" t="str">
            <v>7VX485TFFG1930</v>
          </cell>
          <cell r="D47" t="str">
            <v>0</v>
          </cell>
          <cell r="E47" t="str">
            <v>HP</v>
          </cell>
          <cell r="F47" t="str">
            <v>HP</v>
          </cell>
          <cell r="G47" t="str">
            <v>N/A</v>
          </cell>
          <cell r="H47" t="str">
            <v>13,14,15,16,17,18,19,33,34,35,36,37,38,39</v>
          </cell>
          <cell r="I47" t="str">
            <v>113,114,115,116,117,118</v>
          </cell>
          <cell r="J47" t="str">
            <v>N/A</v>
          </cell>
          <cell r="K47" t="str">
            <v>N/A</v>
          </cell>
          <cell r="L47" t="str">
            <v>N/A</v>
          </cell>
        </row>
        <row r="48">
          <cell r="C48" t="str">
            <v>7VX550TFFG1158</v>
          </cell>
          <cell r="D48" t="str">
            <v>0</v>
          </cell>
          <cell r="E48" t="str">
            <v>HP</v>
          </cell>
          <cell r="F48" t="str">
            <v>HP</v>
          </cell>
          <cell r="G48" t="str">
            <v>N/A</v>
          </cell>
          <cell r="H48" t="str">
            <v>14,15,16,17,34,35,36</v>
          </cell>
          <cell r="I48" t="str">
            <v>N/A</v>
          </cell>
          <cell r="J48" t="str">
            <v>114,115,116,117,118,119,214,215,216,217,218,219</v>
          </cell>
          <cell r="K48" t="str">
            <v>N/A</v>
          </cell>
          <cell r="L48" t="str">
            <v>N/A</v>
          </cell>
        </row>
        <row r="49">
          <cell r="C49" t="str">
            <v>7VX550TFFG1927</v>
          </cell>
          <cell r="D49" t="str">
            <v>0</v>
          </cell>
          <cell r="E49" t="str">
            <v>HP</v>
          </cell>
          <cell r="F49" t="str">
            <v>HP</v>
          </cell>
          <cell r="G49" t="str">
            <v>N/A</v>
          </cell>
          <cell r="H49" t="str">
            <v>14,15,16,17,18,19,34,35,36,37,38,39</v>
          </cell>
          <cell r="I49" t="str">
            <v>N/A</v>
          </cell>
          <cell r="J49" t="str">
            <v>113,114,115,116,117,118,119,213,214,215,216,217,218,219</v>
          </cell>
          <cell r="K49" t="str">
            <v>N/A</v>
          </cell>
          <cell r="L49" t="str">
            <v>N/A</v>
          </cell>
        </row>
        <row r="50">
          <cell r="C50" t="str">
            <v>7VX690TFFG1157</v>
          </cell>
          <cell r="D50" t="str">
            <v>0</v>
          </cell>
          <cell r="E50" t="str">
            <v>HP</v>
          </cell>
          <cell r="F50" t="str">
            <v>HP</v>
          </cell>
          <cell r="G50" t="str">
            <v>N/A</v>
          </cell>
          <cell r="H50" t="str">
            <v>14,15,16,17,18,19,34,35,36,37,38,39</v>
          </cell>
          <cell r="I50" t="str">
            <v>N/A</v>
          </cell>
          <cell r="J50" t="str">
            <v>114,115,116,117,118</v>
          </cell>
          <cell r="K50" t="str">
            <v>N/A</v>
          </cell>
          <cell r="L50" t="str">
            <v>N/A</v>
          </cell>
        </row>
        <row r="51">
          <cell r="C51" t="str">
            <v>7VX690TFFG1761</v>
          </cell>
          <cell r="D51" t="str">
            <v>0</v>
          </cell>
          <cell r="E51" t="str">
            <v>HP</v>
          </cell>
          <cell r="F51" t="str">
            <v>HP</v>
          </cell>
          <cell r="G51" t="str">
            <v>N/A</v>
          </cell>
          <cell r="H51" t="str">
            <v>12,13,14,15,16,17,18,19,31,32,33,34,35,36,37,38,39</v>
          </cell>
          <cell r="I51" t="str">
            <v>N/A</v>
          </cell>
          <cell r="J51" t="str">
            <v>111,112,113,114,115,116,117,118,119</v>
          </cell>
          <cell r="K51" t="str">
            <v>N/A</v>
          </cell>
          <cell r="L51" t="str">
            <v>N/A</v>
          </cell>
        </row>
        <row r="52">
          <cell r="C52" t="str">
            <v>7VX690TFFG1926</v>
          </cell>
          <cell r="D52" t="str">
            <v>0</v>
          </cell>
          <cell r="E52" t="str">
            <v>HP</v>
          </cell>
          <cell r="F52" t="str">
            <v>HP</v>
          </cell>
          <cell r="G52" t="str">
            <v>N/A</v>
          </cell>
          <cell r="H52" t="str">
            <v>10,11,12,13,14,15,16,17,30,31,32,33,34,35,36</v>
          </cell>
          <cell r="I52" t="str">
            <v>N/A</v>
          </cell>
          <cell r="J52" t="str">
            <v>111,112,113,114,115,116,117,118,211,212,213,214,215,216,217,218</v>
          </cell>
          <cell r="K52" t="str">
            <v>N/A</v>
          </cell>
          <cell r="L52" t="str">
            <v>N/A</v>
          </cell>
        </row>
        <row r="53">
          <cell r="C53" t="str">
            <v>7VX690TFFG1927</v>
          </cell>
          <cell r="D53" t="str">
            <v>0</v>
          </cell>
          <cell r="E53" t="str">
            <v>HP</v>
          </cell>
          <cell r="F53" t="str">
            <v>HP</v>
          </cell>
          <cell r="G53" t="str">
            <v>N/A</v>
          </cell>
          <cell r="H53" t="str">
            <v>14,15,16,17,18,19,34,35,36,37,38,39</v>
          </cell>
          <cell r="I53" t="str">
            <v>N/A</v>
          </cell>
          <cell r="J53" t="str">
            <v>113,114,115,116,117,118,119,213,214,215,216,217,218,219</v>
          </cell>
          <cell r="K53" t="str">
            <v>N/A</v>
          </cell>
          <cell r="L53" t="str">
            <v>N/A</v>
          </cell>
        </row>
        <row r="54">
          <cell r="C54" t="str">
            <v>7VX690TFFG1930</v>
          </cell>
          <cell r="D54" t="str">
            <v>0</v>
          </cell>
          <cell r="E54" t="str">
            <v>HP</v>
          </cell>
          <cell r="F54" t="str">
            <v>HP</v>
          </cell>
          <cell r="G54" t="str">
            <v>N/A</v>
          </cell>
          <cell r="H54" t="str">
            <v>10,11,12,13,14,15,16,17,18,19,30,31,32,33,34,35,36,37,38,39</v>
          </cell>
          <cell r="I54" t="str">
            <v>N/A</v>
          </cell>
          <cell r="J54" t="str">
            <v>113,114,115,116,117,118</v>
          </cell>
          <cell r="K54" t="str">
            <v>N/A</v>
          </cell>
          <cell r="L54" t="str">
            <v>N/A</v>
          </cell>
        </row>
        <row r="55">
          <cell r="C55" t="str">
            <v>7VX980TFFG1926</v>
          </cell>
          <cell r="D55" t="str">
            <v>0</v>
          </cell>
          <cell r="E55" t="str">
            <v>HP</v>
          </cell>
          <cell r="F55" t="str">
            <v>HP</v>
          </cell>
          <cell r="G55" t="str">
            <v>N/A</v>
          </cell>
          <cell r="H55" t="str">
            <v>10,11,12,13,14,15,16,17,30,31,32,33,34,35,36</v>
          </cell>
          <cell r="I55" t="str">
            <v>N/A</v>
          </cell>
          <cell r="J55" t="str">
            <v>111,112,113,114,115,116,117,118,211,212,213,214,215,216,217,218</v>
          </cell>
          <cell r="K55" t="str">
            <v>N/A</v>
          </cell>
          <cell r="L55" t="str">
            <v>N/A</v>
          </cell>
        </row>
        <row r="56">
          <cell r="C56" t="str">
            <v>7VX980TFFG1928</v>
          </cell>
          <cell r="D56" t="str">
            <v>0</v>
          </cell>
          <cell r="E56" t="str">
            <v>HP</v>
          </cell>
          <cell r="F56" t="str">
            <v>HP</v>
          </cell>
          <cell r="G56" t="str">
            <v>N/A</v>
          </cell>
          <cell r="H56" t="str">
            <v>13,14,15,16,33,34,35,36,37,38</v>
          </cell>
          <cell r="I56" t="str">
            <v>N/A</v>
          </cell>
          <cell r="J56" t="str">
            <v>110,111,112,113,114,115,116,117,118,210,211,212,213,214,215,216,217,218</v>
          </cell>
          <cell r="K56" t="str">
            <v>N/A</v>
          </cell>
          <cell r="L56" t="str">
            <v>N/A</v>
          </cell>
        </row>
        <row r="57">
          <cell r="C57" t="str">
            <v>7VX980TFFG1930</v>
          </cell>
          <cell r="D57" t="str">
            <v>0</v>
          </cell>
          <cell r="E57" t="str">
            <v>HP</v>
          </cell>
          <cell r="F57" t="str">
            <v>HP</v>
          </cell>
          <cell r="G57" t="str">
            <v>N/A</v>
          </cell>
          <cell r="H57" t="str">
            <v>10,11,12,13,14,15,16,17,18,30,31,32,33,34,35,36,37,38</v>
          </cell>
          <cell r="I57" t="str">
            <v>N/A</v>
          </cell>
          <cell r="J57" t="str">
            <v>113,114,115,116,117,118</v>
          </cell>
          <cell r="K57" t="str">
            <v>N/A</v>
          </cell>
          <cell r="L57" t="str">
            <v>N/A</v>
          </cell>
        </row>
        <row r="58">
          <cell r="C58" t="str">
            <v>7Z010CLG400</v>
          </cell>
          <cell r="D58" t="str">
            <v>0</v>
          </cell>
          <cell r="E58" t="str">
            <v>HR</v>
          </cell>
          <cell r="F58" t="str">
            <v>HR</v>
          </cell>
          <cell r="G58" t="str">
            <v>34,35</v>
          </cell>
          <cell r="H58" t="str">
            <v>N/A</v>
          </cell>
          <cell r="I58" t="str">
            <v>N/A</v>
          </cell>
          <cell r="J58" t="str">
            <v>N/A</v>
          </cell>
          <cell r="K58" t="str">
            <v>N/A</v>
          </cell>
          <cell r="L58" t="str">
            <v>500,501,502</v>
          </cell>
        </row>
        <row r="59">
          <cell r="C59" t="str">
            <v>7Z010CLG484</v>
          </cell>
          <cell r="D59" t="str">
            <v>0</v>
          </cell>
          <cell r="E59" t="str">
            <v>HR</v>
          </cell>
          <cell r="F59" t="str">
            <v>HR</v>
          </cell>
          <cell r="G59" t="str">
            <v>35,35</v>
          </cell>
          <cell r="H59" t="str">
            <v>N/A</v>
          </cell>
          <cell r="I59" t="str">
            <v>N/A</v>
          </cell>
          <cell r="J59" t="str">
            <v>N/A</v>
          </cell>
          <cell r="K59" t="str">
            <v>N/A</v>
          </cell>
          <cell r="L59" t="str">
            <v>500,501,502</v>
          </cell>
        </row>
        <row r="60">
          <cell r="C60" t="str">
            <v>7Z020CLG400</v>
          </cell>
          <cell r="D60" t="str">
            <v>0</v>
          </cell>
          <cell r="E60" t="str">
            <v>HR</v>
          </cell>
          <cell r="F60" t="str">
            <v>HR</v>
          </cell>
          <cell r="G60" t="str">
            <v>13,34,35</v>
          </cell>
          <cell r="H60" t="str">
            <v>N/A</v>
          </cell>
          <cell r="I60" t="str">
            <v>N/A</v>
          </cell>
          <cell r="J60" t="str">
            <v>N/A</v>
          </cell>
          <cell r="K60" t="str">
            <v>N/A</v>
          </cell>
          <cell r="L60" t="str">
            <v>500,501,502</v>
          </cell>
        </row>
        <row r="61">
          <cell r="C61" t="str">
            <v>7Z020CLG484</v>
          </cell>
          <cell r="D61" t="str">
            <v>0</v>
          </cell>
          <cell r="E61" t="str">
            <v>HR</v>
          </cell>
          <cell r="F61" t="str">
            <v>HR</v>
          </cell>
          <cell r="G61" t="str">
            <v>13,33,34,35</v>
          </cell>
          <cell r="H61" t="str">
            <v>N/A</v>
          </cell>
          <cell r="I61" t="str">
            <v>N/A</v>
          </cell>
          <cell r="J61" t="str">
            <v>N/A</v>
          </cell>
          <cell r="K61" t="str">
            <v>N/A</v>
          </cell>
          <cell r="L61" t="str">
            <v>500,501,502</v>
          </cell>
        </row>
      </sheetData>
      <sheetData sheetId="12">
        <row r="1">
          <cell r="D1" t="str">
            <v>JTAG (Only) (Mode 101)Artix-73.3</v>
          </cell>
          <cell r="E1" t="str">
            <v>Connect to VCCO_0</v>
          </cell>
        </row>
        <row r="2">
          <cell r="D2" t="str">
            <v>JTAG (Only) (Mode 101)Artix-72.5</v>
          </cell>
          <cell r="E2" t="str">
            <v>Connect to VCCO_0</v>
          </cell>
        </row>
        <row r="3">
          <cell r="D3" t="str">
            <v>JTAG (Only) (Mode 101)Artix-71.8</v>
          </cell>
          <cell r="E3" t="str">
            <v>Connect to GND</v>
          </cell>
        </row>
        <row r="4">
          <cell r="D4" t="str">
            <v>JTAG (Only) (Mode 101)Artix-71.5</v>
          </cell>
          <cell r="E4" t="str">
            <v>UNSUPPORTED configuration mode with voltage selection. Check configuration mode and voltages on banks 0.</v>
          </cell>
        </row>
        <row r="5">
          <cell r="D5" t="str">
            <v>JTAG (Only) (Mode 101)Artix-71.2</v>
          </cell>
          <cell r="E5" t="str">
            <v>UNSUPPORTED configuration mode with voltage selection. Check configuration mode and voltages on banks 0.</v>
          </cell>
        </row>
        <row r="6">
          <cell r="D6" t="str">
            <v>JTAG (Only) (Mode 101)Artix-70</v>
          </cell>
          <cell r="E6" t="str">
            <v>UNSUPPORTED configuration mode with voltage selection. Check configuration mode and voltages on banks 0.</v>
          </cell>
        </row>
        <row r="7">
          <cell r="D7" t="str">
            <v>JTAG (Only) (Mode 101)Kintex-73.3</v>
          </cell>
          <cell r="E7" t="str">
            <v>Connect to VCCO_0</v>
          </cell>
        </row>
        <row r="8">
          <cell r="D8" t="str">
            <v>JTAG (Only) (Mode 101)Kintex-72.5</v>
          </cell>
          <cell r="E8" t="str">
            <v>Connect to VCCO_0</v>
          </cell>
        </row>
        <row r="9">
          <cell r="D9" t="str">
            <v>JTAG (Only) (Mode 101)Kintex-71.8</v>
          </cell>
          <cell r="E9" t="str">
            <v>Connect to GND</v>
          </cell>
        </row>
        <row r="10">
          <cell r="D10" t="str">
            <v>JTAG (Only) (Mode 101)Kintex-71.5</v>
          </cell>
          <cell r="E10" t="str">
            <v>UNSUPPORTED configuration mode with voltage selection. Check configuration mode and voltages on banks 0.</v>
          </cell>
        </row>
        <row r="11">
          <cell r="D11" t="str">
            <v>JTAG (Only) (Mode 101)Kintex-71.2</v>
          </cell>
          <cell r="E11" t="str">
            <v>UNSUPPORTED configuration mode with voltage selection. Check configuration mode and voltages on banks 0.</v>
          </cell>
        </row>
        <row r="12">
          <cell r="D12" t="str">
            <v>JTAG (Only) (Mode 101)Kintex-70</v>
          </cell>
          <cell r="E12" t="str">
            <v>UNSUPPORTED configuration mode with voltage selection. Check configuration mode and voltages on banks 0.</v>
          </cell>
        </row>
        <row r="13">
          <cell r="D13" t="str">
            <v>JTAG (Only) (Mode 101)Virtex-73.3</v>
          </cell>
          <cell r="E13" t="str">
            <v>Connect to VCCO_0</v>
          </cell>
        </row>
        <row r="14">
          <cell r="D14" t="str">
            <v>JTAG (Only) (Mode 101)Virtex-72.5</v>
          </cell>
          <cell r="E14" t="str">
            <v>Connect to VCCO_0</v>
          </cell>
        </row>
        <row r="15">
          <cell r="D15" t="str">
            <v>JTAG (Only) (Mode 101)Virtex-71.8</v>
          </cell>
          <cell r="E15" t="str">
            <v>Connect to GND</v>
          </cell>
        </row>
        <row r="16">
          <cell r="D16" t="str">
            <v>JTAG (Only) (Mode 101)Virtex-71.5</v>
          </cell>
          <cell r="E16" t="str">
            <v>UNSUPPORTED configuration mode with voltage selection. Check configuration mode and voltages on banks 0.</v>
          </cell>
        </row>
        <row r="17">
          <cell r="D17" t="str">
            <v>JTAG (Only) (Mode 101)Virtex-71.2</v>
          </cell>
          <cell r="E17" t="str">
            <v>UNSUPPORTED configuration mode with voltage selection. Check configuration mode and voltages on banks 0.</v>
          </cell>
        </row>
        <row r="18">
          <cell r="D18" t="str">
            <v>JTAG (Only) (Mode 101)Virtex-70</v>
          </cell>
          <cell r="E18" t="str">
            <v>UNSUPPORTED configuration mode with voltage selection. Check configuration mode and voltages on banks 0.</v>
          </cell>
        </row>
        <row r="19">
          <cell r="D19" t="str">
            <v>Slave Serial (and JTAG) (Mode 111)Artix-73.3</v>
          </cell>
          <cell r="E19" t="str">
            <v>Connect to VCCO_0</v>
          </cell>
        </row>
        <row r="20">
          <cell r="D20" t="str">
            <v>Slave Serial (and JTAG) (Mode 111)Artix-72.5</v>
          </cell>
          <cell r="E20" t="str">
            <v>Connect to VCCO_0</v>
          </cell>
        </row>
        <row r="21">
          <cell r="D21" t="str">
            <v>Slave Serial (and JTAG) (Mode 111)Artix-71.8</v>
          </cell>
          <cell r="E21" t="str">
            <v>Connect to GND</v>
          </cell>
        </row>
        <row r="22">
          <cell r="D22" t="str">
            <v>Slave Serial (and JTAG) (Mode 111)Artix-71.5</v>
          </cell>
          <cell r="E22" t="str">
            <v>UNSUPPORTED configuration mode with voltage selection. Check configuration mode and voltages on banks 0.</v>
          </cell>
        </row>
        <row r="23">
          <cell r="D23" t="str">
            <v>Slave Serial (and JTAG) (Mode 111)Artix-71.2</v>
          </cell>
          <cell r="E23" t="str">
            <v>UNSUPPORTED configuration mode with voltage selection. Check configuration mode and voltages on banks 0.</v>
          </cell>
        </row>
        <row r="24">
          <cell r="D24" t="str">
            <v>Slave Serial (and JTAG) (Mode 111)Artix-70</v>
          </cell>
          <cell r="E24" t="str">
            <v>UNSUPPORTED configuration mode with voltage selection. Check configuration mode and voltages on banks 0.</v>
          </cell>
        </row>
        <row r="25">
          <cell r="D25" t="str">
            <v>Slave Serial (and JTAG) (Mode 111)Kintex-73.3</v>
          </cell>
          <cell r="E25" t="str">
            <v>Connect to VCCO_0</v>
          </cell>
        </row>
        <row r="26">
          <cell r="D26" t="str">
            <v>Slave Serial (and JTAG) (Mode 111)Kintex-72.5</v>
          </cell>
          <cell r="E26" t="str">
            <v>Connect to VCCO_0</v>
          </cell>
        </row>
        <row r="27">
          <cell r="D27" t="str">
            <v>Slave Serial (and JTAG) (Mode 111)Kintex-71.8</v>
          </cell>
          <cell r="E27" t="str">
            <v>Connect to GND</v>
          </cell>
        </row>
        <row r="28">
          <cell r="D28" t="str">
            <v>Slave Serial (and JTAG) (Mode 111)Kintex-71.5</v>
          </cell>
          <cell r="E28" t="str">
            <v>UNSUPPORTED configuration mode with voltage selection. Check configuration mode and voltages on banks 0.</v>
          </cell>
        </row>
        <row r="29">
          <cell r="D29" t="str">
            <v>Slave Serial (and JTAG) (Mode 111)Kintex-71.2</v>
          </cell>
          <cell r="E29" t="str">
            <v>UNSUPPORTED configuration mode with voltage selection. Check configuration mode and voltages on banks 0.</v>
          </cell>
        </row>
        <row r="30">
          <cell r="D30" t="str">
            <v>Slave Serial (and JTAG) (Mode 111)Kintex-70</v>
          </cell>
          <cell r="E30" t="str">
            <v>UNSUPPORTED configuration mode with voltage selection. Check configuration mode and voltages on banks 0.</v>
          </cell>
        </row>
        <row r="31">
          <cell r="D31" t="str">
            <v>Slave Serial (and JTAG) (Mode 111)Virtex-73.3</v>
          </cell>
          <cell r="E31" t="str">
            <v>UNSUPPORTED configuration mode with voltage selection. Check configuration mode and voltages on banks 0.</v>
          </cell>
        </row>
        <row r="32">
          <cell r="D32" t="str">
            <v>Slave Serial (and JTAG) (Mode 111)Virtex-72.5</v>
          </cell>
          <cell r="E32" t="str">
            <v>UNSUPPORTED configuration mode with voltage selection. Check configuration mode and voltages on banks 0.</v>
          </cell>
        </row>
        <row r="33">
          <cell r="D33" t="str">
            <v>Slave Serial (and JTAG) (Mode 111)Virtex-71.8</v>
          </cell>
          <cell r="E33" t="str">
            <v>Connect to GND</v>
          </cell>
        </row>
        <row r="34">
          <cell r="D34" t="str">
            <v>Slave Serial (and JTAG) (Mode 111)Virtex-71.5</v>
          </cell>
          <cell r="E34" t="str">
            <v>UNSUPPORTED configuration mode with voltage selection. Check configuration mode and voltages on banks 0.</v>
          </cell>
        </row>
        <row r="35">
          <cell r="D35" t="str">
            <v>Slave Serial (and JTAG) (Mode 111)Virtex-71.2</v>
          </cell>
          <cell r="E35" t="str">
            <v>UNSUPPORTED configuration mode with voltage selection. Check configuration mode and voltages on banks 0.</v>
          </cell>
        </row>
        <row r="36">
          <cell r="D36" t="str">
            <v>Slave Serial (and JTAG) (Mode 111)Virtex-70</v>
          </cell>
          <cell r="E36" t="str">
            <v>UNSUPPORTED configuration mode with voltage selection. Check configuration mode and voltages on banks 0.</v>
          </cell>
        </row>
        <row r="37">
          <cell r="D37" t="str">
            <v>Master Serial (and JTAG) (Mode 000)Artix-73.3</v>
          </cell>
          <cell r="E37" t="str">
            <v>Connect to VCCO_0</v>
          </cell>
        </row>
        <row r="38">
          <cell r="D38" t="str">
            <v>Master Serial (and JTAG) (Mode 000)Artix-72.5</v>
          </cell>
          <cell r="E38" t="str">
            <v>Connect to VCCO_0</v>
          </cell>
        </row>
        <row r="39">
          <cell r="D39" t="str">
            <v>Master Serial (and JTAG) (Mode 000)Artix-71.8</v>
          </cell>
          <cell r="E39" t="str">
            <v>Connect to GND</v>
          </cell>
        </row>
        <row r="40">
          <cell r="D40" t="str">
            <v>Master Serial (and JTAG) (Mode 000)Artix-71.5</v>
          </cell>
          <cell r="E40" t="str">
            <v>UNSUPPORTED configuration mode with voltage selection. Check configuration mode and voltages on banks 0.</v>
          </cell>
        </row>
        <row r="41">
          <cell r="D41" t="str">
            <v>Master Serial (and JTAG) (Mode 000)Artix-71.2</v>
          </cell>
          <cell r="E41" t="str">
            <v>UNSUPPORTED configuration mode with voltage selection. Check configuration mode and voltages on banks 0.</v>
          </cell>
        </row>
        <row r="42">
          <cell r="D42" t="str">
            <v>Master Serial (and JTAG) (Mode 000)Artix-70</v>
          </cell>
          <cell r="E42" t="str">
            <v>UNSUPPORTED configuration mode with voltage selection. Check configuration mode and voltages on banks 0.</v>
          </cell>
        </row>
        <row r="43">
          <cell r="D43" t="str">
            <v>Master Serial (and JTAG) (Mode 000)Kintex-73.3</v>
          </cell>
          <cell r="E43" t="str">
            <v>Connect to VCCO_0</v>
          </cell>
        </row>
        <row r="44">
          <cell r="D44" t="str">
            <v>Master Serial (and JTAG) (Mode 000)Kintex-72.5</v>
          </cell>
          <cell r="E44" t="str">
            <v>Connect to VCCO_0</v>
          </cell>
        </row>
        <row r="45">
          <cell r="D45" t="str">
            <v>Master Serial (and JTAG) (Mode 000)Kintex-71.8</v>
          </cell>
          <cell r="E45" t="str">
            <v>Connect to GND</v>
          </cell>
        </row>
        <row r="46">
          <cell r="D46" t="str">
            <v>Master Serial (and JTAG) (Mode 000)Kintex-71.5</v>
          </cell>
          <cell r="E46" t="str">
            <v>UNSUPPORTED configuration mode with voltage selection. Check configuration mode and voltages on banks 0.</v>
          </cell>
        </row>
        <row r="47">
          <cell r="D47" t="str">
            <v>Master Serial (and JTAG) (Mode 000)Kintex-71.2</v>
          </cell>
          <cell r="E47" t="str">
            <v>UNSUPPORTED configuration mode with voltage selection. Check configuration mode and voltages on banks 0.</v>
          </cell>
        </row>
        <row r="48">
          <cell r="D48" t="str">
            <v>Master Serial (and JTAG) (Mode 000)Kintex-70</v>
          </cell>
          <cell r="E48" t="str">
            <v>UNSUPPORTED configuration mode with voltage selection. Check configuration mode and voltages on banks 0.</v>
          </cell>
        </row>
        <row r="49">
          <cell r="D49" t="str">
            <v>Master Serial (and JTAG) (Mode 000)Virtex-73.3</v>
          </cell>
          <cell r="E49" t="str">
            <v>UNSUPPORTED configuration mode with voltage selection. Check configuration mode and voltages on banks 0.</v>
          </cell>
        </row>
        <row r="50">
          <cell r="D50" t="str">
            <v>Master Serial (and JTAG) (Mode 000)Virtex-72.5</v>
          </cell>
          <cell r="E50" t="str">
            <v>UNSUPPORTED configuration mode with voltage selection. Check configuration mode and voltages on banks 0.</v>
          </cell>
        </row>
        <row r="51">
          <cell r="D51" t="str">
            <v>Master Serial (and JTAG) (Mode 000)Virtex-71.8</v>
          </cell>
          <cell r="E51" t="str">
            <v>Connect to GND</v>
          </cell>
        </row>
        <row r="52">
          <cell r="D52" t="str">
            <v>Master Serial (and JTAG) (Mode 000)Virtex-71.5</v>
          </cell>
          <cell r="E52" t="str">
            <v>UNSUPPORTED configuration mode with voltage selection. Check configuration mode and voltages on banks 0.</v>
          </cell>
        </row>
        <row r="53">
          <cell r="D53" t="str">
            <v>Master Serial (and JTAG) (Mode 000)Virtex-71.2</v>
          </cell>
          <cell r="E53" t="str">
            <v>UNSUPPORTED configuration mode with voltage selection. Check configuration mode and voltages on banks 0.</v>
          </cell>
        </row>
        <row r="54">
          <cell r="D54" t="str">
            <v>Master Serial (and JTAG) (Mode 000)Virtex-70</v>
          </cell>
          <cell r="E54" t="str">
            <v>UNSUPPORTED configuration mode with voltage selection. Check configuration mode and voltages on banks 0.</v>
          </cell>
        </row>
        <row r="55">
          <cell r="D55" t="str">
            <v>Master SPI X1 (and JTAG) (Mode (001)Artix-73.3</v>
          </cell>
          <cell r="E55" t="str">
            <v>Connect to VCCO_0</v>
          </cell>
        </row>
        <row r="56">
          <cell r="D56" t="str">
            <v>Master SPI X1 (and JTAG) (Mode (001)Artix-72.5</v>
          </cell>
          <cell r="E56" t="str">
            <v>Connect to VCCO_0</v>
          </cell>
        </row>
        <row r="57">
          <cell r="D57" t="str">
            <v>Master SPI X1 (and JTAG) (Mode (001)Artix-71.8</v>
          </cell>
          <cell r="E57" t="str">
            <v>Connect to GND</v>
          </cell>
        </row>
        <row r="58">
          <cell r="D58" t="str">
            <v>Master SPI X1 (and JTAG) (Mode (001)Artix-71.5</v>
          </cell>
          <cell r="E58" t="str">
            <v>UNSUPPORTED configuration mode with voltage selection. Check configuration mode and voltages on banks 0.</v>
          </cell>
        </row>
        <row r="59">
          <cell r="D59" t="str">
            <v>Master SPI X1 (and JTAG) (Mode (001)Artix-71.2</v>
          </cell>
          <cell r="E59" t="str">
            <v>UNSUPPORTED configuration mode with voltage selection. Check configuration mode and voltages on banks 0.</v>
          </cell>
        </row>
        <row r="60">
          <cell r="D60" t="str">
            <v>Master SPI X1 (and JTAG) (Mode (001)Artix-70</v>
          </cell>
          <cell r="E60" t="str">
            <v>UNSUPPORTED configuration mode with voltage selection. Check configuration mode and voltages on banks 0.</v>
          </cell>
        </row>
        <row r="61">
          <cell r="D61" t="str">
            <v>Master SPI X1 (and JTAG) (Mode (001)Kintex-73.3</v>
          </cell>
          <cell r="E61" t="str">
            <v>Connect to VCCO_0</v>
          </cell>
        </row>
        <row r="62">
          <cell r="D62" t="str">
            <v>Master SPI X1 (and JTAG) (Mode (001)Kintex-72.5</v>
          </cell>
          <cell r="E62" t="str">
            <v>Connect to VCCO_0</v>
          </cell>
        </row>
        <row r="63">
          <cell r="D63" t="str">
            <v>Master SPI X1 (and JTAG) (Mode (001)Kintex-71.8</v>
          </cell>
          <cell r="E63" t="str">
            <v>Connect to GND</v>
          </cell>
        </row>
        <row r="64">
          <cell r="D64" t="str">
            <v>Master SPI X1 (and JTAG) (Mode (001)Kintex-71.5</v>
          </cell>
          <cell r="E64" t="str">
            <v>UNSUPPORTED configuration mode with voltage selection. Check configuration mode and voltages on banks 0.</v>
          </cell>
        </row>
        <row r="65">
          <cell r="D65" t="str">
            <v>Master SPI X1 (and JTAG) (Mode (001)Kintex-71.2</v>
          </cell>
          <cell r="E65" t="str">
            <v>UNSUPPORTED configuration mode with voltage selection. Check configuration mode and voltages on banks 0.</v>
          </cell>
        </row>
        <row r="66">
          <cell r="D66" t="str">
            <v>Master SPI X1 (and JTAG) (Mode (001)Kintex-70</v>
          </cell>
          <cell r="E66" t="str">
            <v>UNSUPPORTED configuration mode with voltage selection. Check configuration mode and voltages on banks 0.</v>
          </cell>
        </row>
        <row r="67">
          <cell r="D67" t="str">
            <v>Master SPI X1 (and JTAG) (Mode (001)Virtex-73.3</v>
          </cell>
          <cell r="E67" t="str">
            <v>UNSUPPORTED configuration mode with voltage selection. Check configuration mode and voltages on banks 0.</v>
          </cell>
        </row>
        <row r="68">
          <cell r="D68" t="str">
            <v>Master SPI X1 (and JTAG) (Mode (001)Virtex-72.5</v>
          </cell>
          <cell r="E68" t="str">
            <v>UNSUPPORTED configuration mode with voltage selection. Check configuration mode and voltages on banks 0.</v>
          </cell>
        </row>
        <row r="69">
          <cell r="D69" t="str">
            <v>Master SPI X1 (and JTAG) (Mode (001)Virtex-71.8</v>
          </cell>
          <cell r="E69" t="str">
            <v>Connect to GND</v>
          </cell>
        </row>
        <row r="70">
          <cell r="D70" t="str">
            <v>Master SPI X1 (and JTAG) (Mode (001)Virtex-71.5</v>
          </cell>
          <cell r="E70" t="str">
            <v>UNSUPPORTED configuration mode with voltage selection. Check configuration mode and voltages on banks 0.</v>
          </cell>
        </row>
        <row r="71">
          <cell r="D71" t="str">
            <v>Master SPI X1 (and JTAG) (Mode (001)Virtex-71.2</v>
          </cell>
          <cell r="E71" t="str">
            <v>UNSUPPORTED configuration mode with voltage selection. Check configuration mode and voltages on banks 0.</v>
          </cell>
        </row>
        <row r="72">
          <cell r="D72" t="str">
            <v>Master SPI X1 (and JTAG) (Mode (001)Virtex-70</v>
          </cell>
          <cell r="E72" t="str">
            <v>UNSUPPORTED configuration mode with voltage selection. Check configuration mode and voltages on banks 0.</v>
          </cell>
        </row>
        <row r="73">
          <cell r="D73" t="str">
            <v>Master SPI X2 (and JTAG) (Mode 001)Artix-73.3</v>
          </cell>
          <cell r="E73" t="str">
            <v>Connect to VCCO_0</v>
          </cell>
        </row>
        <row r="74">
          <cell r="D74" t="str">
            <v>Master SPI X2 (and JTAG) (Mode 001)Artix-72.5</v>
          </cell>
          <cell r="E74" t="str">
            <v>Connect to VCCO_0</v>
          </cell>
        </row>
        <row r="75">
          <cell r="D75" t="str">
            <v>Master SPI X2 (and JTAG) (Mode 001)Artix-71.8</v>
          </cell>
          <cell r="E75" t="str">
            <v>Connect to GND</v>
          </cell>
        </row>
        <row r="76">
          <cell r="D76" t="str">
            <v>Master SPI X2 (and JTAG) (Mode 001)Artix-71.5</v>
          </cell>
          <cell r="E76" t="str">
            <v>UNSUPPORTED configuration mode with voltage selection. Check configuration mode and voltages on banks 0.</v>
          </cell>
        </row>
        <row r="77">
          <cell r="D77" t="str">
            <v>Master SPI X2 (and JTAG) (Mode 001)Artix-71.2</v>
          </cell>
          <cell r="E77" t="str">
            <v>UNSUPPORTED configuration mode with voltage selection. Check configuration mode and voltages on banks 0.</v>
          </cell>
        </row>
        <row r="78">
          <cell r="D78" t="str">
            <v>Master SPI X2 (and JTAG) (Mode 001)Artix-70</v>
          </cell>
          <cell r="E78" t="str">
            <v>UNSUPPORTED configuration mode with voltage selection. Check configuration mode and voltages on banks 0.</v>
          </cell>
        </row>
        <row r="79">
          <cell r="D79" t="str">
            <v>Master SPI X2 (and JTAG) (Mode 001)Kintex-73.3</v>
          </cell>
          <cell r="E79" t="str">
            <v>Connect to VCCO_0</v>
          </cell>
        </row>
        <row r="80">
          <cell r="D80" t="str">
            <v>Master SPI X2 (and JTAG) (Mode 001)Kintex-72.5</v>
          </cell>
          <cell r="E80" t="str">
            <v>Connect to VCCO_0</v>
          </cell>
        </row>
        <row r="81">
          <cell r="D81" t="str">
            <v>Master SPI X2 (and JTAG) (Mode 001)Kintex-71.8</v>
          </cell>
          <cell r="E81" t="str">
            <v>Connect to GND</v>
          </cell>
        </row>
        <row r="82">
          <cell r="D82" t="str">
            <v>Master SPI X2 (and JTAG) (Mode 001)Kintex-71.5</v>
          </cell>
          <cell r="E82" t="str">
            <v>UNSUPPORTED configuration mode with voltage selection. Check configuration mode and voltages on banks 0.</v>
          </cell>
        </row>
        <row r="83">
          <cell r="D83" t="str">
            <v>Master SPI X2 (and JTAG) (Mode 001)Kintex-71.2</v>
          </cell>
          <cell r="E83" t="str">
            <v>UNSUPPORTED configuration mode with voltage selection. Check configuration mode and voltages on banks 0.</v>
          </cell>
        </row>
        <row r="84">
          <cell r="D84" t="str">
            <v>Master SPI X2 (and JTAG) (Mode 001)Kintex-70</v>
          </cell>
          <cell r="E84" t="str">
            <v>UNSUPPORTED configuration mode with voltage selection. Check configuration mode and voltages on banks 0.</v>
          </cell>
        </row>
        <row r="85">
          <cell r="D85" t="str">
            <v>Master SPI X2 (and JTAG) (Mode 001)Virtex-73.3</v>
          </cell>
          <cell r="E85" t="str">
            <v>UNSUPPORTED configuration mode with voltage selection. Check configuration mode and voltages on banks 0.</v>
          </cell>
        </row>
        <row r="86">
          <cell r="D86" t="str">
            <v>Master SPI X2 (and JTAG) (Mode 001)Virtex-72.5</v>
          </cell>
          <cell r="E86" t="str">
            <v>UNSUPPORTED configuration mode with voltage selection. Check configuration mode and voltages on banks 0.</v>
          </cell>
        </row>
        <row r="87">
          <cell r="D87" t="str">
            <v>Master SPI X2 (and JTAG) (Mode 001)Virtex-71.8</v>
          </cell>
          <cell r="E87" t="str">
            <v>Connect to GND</v>
          </cell>
        </row>
        <row r="88">
          <cell r="D88" t="str">
            <v>Master SPI X2 (and JTAG) (Mode 001)Virtex-71.5</v>
          </cell>
          <cell r="E88" t="str">
            <v>UNSUPPORTED configuration mode with voltage selection. Check configuration mode and voltages on banks 0.</v>
          </cell>
        </row>
        <row r="89">
          <cell r="D89" t="str">
            <v>Master SPI X2 (and JTAG) (Mode 001)Virtex-71.2</v>
          </cell>
          <cell r="E89" t="str">
            <v>UNSUPPORTED configuration mode with voltage selection. Check configuration mode and voltages on banks 0.</v>
          </cell>
        </row>
        <row r="90">
          <cell r="D90" t="str">
            <v>Master SPI X2 (and JTAG) (Mode 001)Virtex-70</v>
          </cell>
          <cell r="E90" t="str">
            <v>UNSUPPORTED configuration mode with voltage selection. Check configuration mode and voltages on banks 0.</v>
          </cell>
        </row>
        <row r="91">
          <cell r="D91" t="str">
            <v>Master SPI X4 (and JTAG) (Mode 001)Artix-73.3</v>
          </cell>
          <cell r="E91" t="str">
            <v>Connect to VCCO_0</v>
          </cell>
        </row>
        <row r="92">
          <cell r="D92" t="str">
            <v>Master SPI X4 (and JTAG) (Mode 001)Artix-72.5</v>
          </cell>
          <cell r="E92" t="str">
            <v>Connect to VCCO_0</v>
          </cell>
        </row>
        <row r="93">
          <cell r="D93" t="str">
            <v>Master SPI X4 (and JTAG) (Mode 001)Artix-71.8</v>
          </cell>
          <cell r="E93" t="str">
            <v>Connect to GND</v>
          </cell>
        </row>
        <row r="94">
          <cell r="D94" t="str">
            <v>Master SPI X4 (and JTAG) (Mode 001)Artix-71.5</v>
          </cell>
          <cell r="E94" t="str">
            <v>UNSUPPORTED configuration mode with voltage selection. Check configuration mode and voltages on banks 0.</v>
          </cell>
        </row>
        <row r="95">
          <cell r="D95" t="str">
            <v>Master SPI X4 (and JTAG) (Mode 001)Artix-71.2</v>
          </cell>
          <cell r="E95" t="str">
            <v>UNSUPPORTED configuration mode with voltage selection. Check configuration mode and voltages on banks 0.</v>
          </cell>
        </row>
        <row r="96">
          <cell r="D96" t="str">
            <v>Master SPI X4 (and JTAG) (Mode 001)Artix-70</v>
          </cell>
          <cell r="E96" t="str">
            <v>UNSUPPORTED configuration mode with voltage selection. Check configuration mode and voltages on banks 0.</v>
          </cell>
        </row>
        <row r="97">
          <cell r="D97" t="str">
            <v>Master SPI X4 (and JTAG) (Mode 001)Kintex-73.3</v>
          </cell>
          <cell r="E97" t="str">
            <v>Connect to VCCO_0</v>
          </cell>
        </row>
        <row r="98">
          <cell r="D98" t="str">
            <v>Master SPI X4 (and JTAG) (Mode 001)Kintex-72.5</v>
          </cell>
          <cell r="E98" t="str">
            <v>Connect to VCCO_0</v>
          </cell>
        </row>
        <row r="99">
          <cell r="D99" t="str">
            <v>Master SPI X4 (and JTAG) (Mode 001)Kintex-71.8</v>
          </cell>
          <cell r="E99" t="str">
            <v>Connect to GND</v>
          </cell>
        </row>
        <row r="100">
          <cell r="D100" t="str">
            <v>Master SPI X4 (and JTAG) (Mode 001)Kintex-71.5</v>
          </cell>
          <cell r="E100" t="str">
            <v>UNSUPPORTED configuration mode with voltage selection. Check configuration mode and voltages on banks 0.</v>
          </cell>
        </row>
        <row r="101">
          <cell r="D101" t="str">
            <v>Master SPI X4 (and JTAG) (Mode 001)Kintex-71.2</v>
          </cell>
          <cell r="E101" t="str">
            <v>UNSUPPORTED configuration mode with voltage selection. Check configuration mode and voltages on banks 0.</v>
          </cell>
        </row>
        <row r="102">
          <cell r="D102" t="str">
            <v>Master SPI X4 (and JTAG) (Mode 001)Kintex-70</v>
          </cell>
          <cell r="E102" t="str">
            <v>UNSUPPORTED configuration mode with voltage selection. Check configuration mode and voltages on banks 0.</v>
          </cell>
        </row>
        <row r="103">
          <cell r="D103" t="str">
            <v>Master SPI X4 (and JTAG) (Mode 001)Virtex-73.3</v>
          </cell>
          <cell r="E103" t="str">
            <v>UNSUPPORTED configuration mode with voltage selection. Check configuration mode and voltages on banks 0.</v>
          </cell>
        </row>
        <row r="104">
          <cell r="D104" t="str">
            <v>Master SPI X4 (and JTAG) (Mode 001)Virtex-72.5</v>
          </cell>
          <cell r="E104" t="str">
            <v>UNSUPPORTED configuration mode with voltage selection. Check configuration mode and voltages on banks 0.</v>
          </cell>
        </row>
        <row r="105">
          <cell r="D105" t="str">
            <v>Master SPI X4 (and JTAG) (Mode 001)Virtex-71.8</v>
          </cell>
          <cell r="E105" t="str">
            <v>Connect to GND</v>
          </cell>
        </row>
        <row r="106">
          <cell r="D106" t="str">
            <v>Master SPI X4 (and JTAG) (Mode 001)Virtex-71.5</v>
          </cell>
          <cell r="E106" t="str">
            <v>UNSUPPORTED configuration mode with voltage selection. Check configuration mode and voltages on banks 0.</v>
          </cell>
        </row>
        <row r="107">
          <cell r="D107" t="str">
            <v>Master SPI X4 (and JTAG) (Mode 001)Virtex-71.2</v>
          </cell>
          <cell r="E107" t="str">
            <v>UNSUPPORTED configuration mode with voltage selection. Check configuration mode and voltages on banks 0.</v>
          </cell>
        </row>
        <row r="108">
          <cell r="D108" t="str">
            <v>Master SPI X4 (and JTAG) (Mode 001)Virtex-70</v>
          </cell>
          <cell r="E108" t="str">
            <v>UNSUPPORTED configuration mode with voltage selection. Check configuration mode and voltages on banks 0.</v>
          </cell>
        </row>
        <row r="109">
          <cell r="D109" t="str">
            <v>Master SelectMAP X8 (and JTAG) (Mode 100)Artix-73.3</v>
          </cell>
          <cell r="E109" t="str">
            <v>Connect to VCCO_0</v>
          </cell>
        </row>
        <row r="110">
          <cell r="D110" t="str">
            <v>Master SelectMAP X8 (and JTAG) (Mode 100)Artix-72.5</v>
          </cell>
          <cell r="E110" t="str">
            <v>Connect to VCCO_0</v>
          </cell>
        </row>
        <row r="111">
          <cell r="D111" t="str">
            <v>Master SelectMAP X8 (and JTAG) (Mode 100)Artix-71.8</v>
          </cell>
          <cell r="E111" t="str">
            <v>Connect to GND</v>
          </cell>
        </row>
        <row r="112">
          <cell r="D112" t="str">
            <v>Master SelectMAP X8 (and JTAG) (Mode 100)Artix-71.5</v>
          </cell>
          <cell r="E112" t="str">
            <v>UNSUPPORTED configuration mode with voltage selection. Check configuration mode and voltages on banks 0.</v>
          </cell>
        </row>
        <row r="113">
          <cell r="D113" t="str">
            <v>Master SelectMAP X8 (and JTAG) (Mode 100)Artix-71.2</v>
          </cell>
          <cell r="E113" t="str">
            <v>UNSUPPORTED configuration mode with voltage selection. Check configuration mode and voltages on banks 0.</v>
          </cell>
        </row>
        <row r="114">
          <cell r="D114" t="str">
            <v>Master SelectMAP X8 (and JTAG) (Mode 100)Artix-70</v>
          </cell>
          <cell r="E114" t="str">
            <v>UNSUPPORTED configuration mode with voltage selection. Check configuration mode and voltages on banks 0.</v>
          </cell>
        </row>
        <row r="115">
          <cell r="D115" t="str">
            <v>Master SelectMAP X8 (and JTAG) (Mode 100)Kintex-73.3</v>
          </cell>
          <cell r="E115" t="str">
            <v>Connect to VCCO_0</v>
          </cell>
        </row>
        <row r="116">
          <cell r="D116" t="str">
            <v>Master SelectMAP X8 (and JTAG) (Mode 100)Kintex-72.5</v>
          </cell>
          <cell r="E116" t="str">
            <v>Connect to VCCO_0</v>
          </cell>
        </row>
        <row r="117">
          <cell r="D117" t="str">
            <v>Master SelectMAP X8 (and JTAG) (Mode 100)Kintex-71.8</v>
          </cell>
          <cell r="E117" t="str">
            <v>Connect to GND</v>
          </cell>
        </row>
        <row r="118">
          <cell r="D118" t="str">
            <v>Master SelectMAP X8 (and JTAG) (Mode 100)Kintex-71.5</v>
          </cell>
          <cell r="E118" t="str">
            <v>UNSUPPORTED configuration mode with voltage selection. Check configuration mode and voltages on banks 0.</v>
          </cell>
        </row>
        <row r="119">
          <cell r="D119" t="str">
            <v>Master SelectMAP X8 (and JTAG) (Mode 100)Kintex-71.2</v>
          </cell>
          <cell r="E119" t="str">
            <v>UNSUPPORTED configuration mode with voltage selection. Check configuration mode and voltages on banks 0.</v>
          </cell>
        </row>
        <row r="120">
          <cell r="D120" t="str">
            <v>Master SelectMAP X8 (and JTAG) (Mode 100)Kintex-70</v>
          </cell>
          <cell r="E120" t="str">
            <v>UNSUPPORTED configuration mode with voltage selection. Check configuration mode and voltages on banks 0.</v>
          </cell>
        </row>
        <row r="121">
          <cell r="D121" t="str">
            <v>Master SelectMAP X8 (and JTAG) (Mode 100)Virtex-73.3</v>
          </cell>
          <cell r="E121" t="str">
            <v>UNSUPPORTED configuration mode with voltage selection. Check configuration mode and voltages on banks 0.</v>
          </cell>
        </row>
        <row r="122">
          <cell r="D122" t="str">
            <v>Master SelectMAP X8 (and JTAG) (Mode 100)Virtex-72.5</v>
          </cell>
          <cell r="E122" t="str">
            <v>UNSUPPORTED configuration mode with voltage selection. Check configuration mode and voltages on banks 0.</v>
          </cell>
        </row>
        <row r="123">
          <cell r="D123" t="str">
            <v>Master SelectMAP X8 (and JTAG) (Mode 100)Virtex-71.8</v>
          </cell>
          <cell r="E123" t="str">
            <v>Connect to GND</v>
          </cell>
        </row>
        <row r="124">
          <cell r="D124" t="str">
            <v>Master SelectMAP X8 (and JTAG) (Mode 100)Virtex-71.5</v>
          </cell>
          <cell r="E124" t="str">
            <v>UNSUPPORTED configuration mode with voltage selection. Check configuration mode and voltages on banks 0.</v>
          </cell>
        </row>
        <row r="125">
          <cell r="D125" t="str">
            <v>Master SelectMAP X8 (and JTAG) (Mode 100)Virtex-71.2</v>
          </cell>
          <cell r="E125" t="str">
            <v>UNSUPPORTED configuration mode with voltage selection. Check configuration mode and voltages on banks 0.</v>
          </cell>
        </row>
        <row r="126">
          <cell r="D126" t="str">
            <v>Master SelectMAP X8 (and JTAG) (Mode 100)Virtex-70</v>
          </cell>
          <cell r="E126" t="str">
            <v>UNSUPPORTED configuration mode with voltage selection. Check configuration mode and voltages on banks 0.</v>
          </cell>
        </row>
        <row r="127">
          <cell r="D127" t="str">
            <v>Master SelectMAP X16 (and JTAG) (Mode 100)Artix-73.3</v>
          </cell>
          <cell r="E127" t="str">
            <v>Connect to VCCO_0</v>
          </cell>
        </row>
        <row r="128">
          <cell r="D128" t="str">
            <v>Master SelectMAP X16 (and JTAG) (Mode 100)Artix-72.5</v>
          </cell>
          <cell r="E128" t="str">
            <v>Connect to VCCO_0</v>
          </cell>
        </row>
        <row r="129">
          <cell r="D129" t="str">
            <v>Master SelectMAP X16 (and JTAG) (Mode 100)Artix-71.8</v>
          </cell>
          <cell r="E129" t="str">
            <v>Connect to GND</v>
          </cell>
        </row>
        <row r="130">
          <cell r="D130" t="str">
            <v>Master SelectMAP X16 (and JTAG) (Mode 100)Artix-71.5</v>
          </cell>
          <cell r="E130" t="str">
            <v>UNSUPPORTED configuration mode with voltage selection. Check configuration mode and voltages on banks 0.</v>
          </cell>
        </row>
        <row r="131">
          <cell r="D131" t="str">
            <v>Master SelectMAP X16 (and JTAG) (Mode 100)Artix-71.2</v>
          </cell>
          <cell r="E131" t="str">
            <v>UNSUPPORTED configuration mode with voltage selection. Check configuration mode and voltages on banks 0.</v>
          </cell>
        </row>
        <row r="132">
          <cell r="D132" t="str">
            <v>Master SelectMAP X16 (and JTAG) (Mode 100)Artix-70</v>
          </cell>
          <cell r="E132" t="str">
            <v>UNSUPPORTED configuration mode with voltage selection. Check configuration mode and voltages on banks 0.</v>
          </cell>
        </row>
        <row r="133">
          <cell r="D133" t="str">
            <v>Master SelectMAP X16 (and JTAG) (Mode 100)Kintex-73.3</v>
          </cell>
          <cell r="E133" t="str">
            <v>Connect to VCCO_0</v>
          </cell>
        </row>
        <row r="134">
          <cell r="D134" t="str">
            <v>Master SelectMAP X16 (and JTAG) (Mode 100)Kintex-72.5</v>
          </cell>
          <cell r="E134" t="str">
            <v>Connect to VCCO_0</v>
          </cell>
        </row>
        <row r="135">
          <cell r="D135" t="str">
            <v>Master SelectMAP X16 (and JTAG) (Mode 100)Kintex-71.8</v>
          </cell>
          <cell r="E135" t="str">
            <v>Connect to GND</v>
          </cell>
        </row>
        <row r="136">
          <cell r="D136" t="str">
            <v>Master SelectMAP X16 (and JTAG) (Mode 100)Kintex-71.5</v>
          </cell>
          <cell r="E136" t="str">
            <v>UNSUPPORTED configuration mode with voltage selection. Check configuration mode and voltages on banks 0.</v>
          </cell>
        </row>
        <row r="137">
          <cell r="D137" t="str">
            <v>Master SelectMAP X16 (and JTAG) (Mode 100)Kintex-71.2</v>
          </cell>
          <cell r="E137" t="str">
            <v>UNSUPPORTED configuration mode with voltage selection. Check configuration mode and voltages on banks 0.</v>
          </cell>
        </row>
        <row r="138">
          <cell r="D138" t="str">
            <v>Master SelectMAP X16 (and JTAG) (Mode 100)Kintex-70</v>
          </cell>
          <cell r="E138" t="str">
            <v>UNSUPPORTED configuration mode with voltage selection. Check configuration mode and voltages on banks 0.</v>
          </cell>
        </row>
        <row r="139">
          <cell r="D139" t="str">
            <v>Master SelectMAP X16 (and JTAG) (Mode 100)Virtex-73.3</v>
          </cell>
          <cell r="E139" t="str">
            <v>UNSUPPORTED configuration mode with voltage selection. Check configuration mode and voltages on banks 0.</v>
          </cell>
        </row>
        <row r="140">
          <cell r="D140" t="str">
            <v>Master SelectMAP X16 (and JTAG) (Mode 100)Virtex-72.5</v>
          </cell>
          <cell r="E140" t="str">
            <v>UNSUPPORTED configuration mode with voltage selection. Check configuration mode and voltages on banks 0.</v>
          </cell>
        </row>
        <row r="141">
          <cell r="D141" t="str">
            <v>Master SelectMAP X16 (and JTAG) (Mode 100)Virtex-71.8</v>
          </cell>
          <cell r="E141" t="str">
            <v>Connect to GND</v>
          </cell>
        </row>
        <row r="142">
          <cell r="D142" t="str">
            <v>Master SelectMAP X16 (and JTAG) (Mode 100)Virtex-71.5</v>
          </cell>
          <cell r="E142" t="str">
            <v>UNSUPPORTED configuration mode with voltage selection. Check configuration mode and voltages on banks 0.</v>
          </cell>
        </row>
        <row r="143">
          <cell r="D143" t="str">
            <v>Master SelectMAP X16 (and JTAG) (Mode 100)Virtex-71.2</v>
          </cell>
          <cell r="E143" t="str">
            <v>UNSUPPORTED configuration mode with voltage selection. Check configuration mode and voltages on banks 0.</v>
          </cell>
        </row>
        <row r="144">
          <cell r="D144" t="str">
            <v>Master SelectMAP X16 (and JTAG) (Mode 100)Virtex-70</v>
          </cell>
          <cell r="E144" t="str">
            <v>UNSUPPORTED configuration mode with voltage selection. Check configuration mode and voltages on banks 0.</v>
          </cell>
        </row>
        <row r="145">
          <cell r="D145" t="str">
            <v>Slave SelectMAP X8 (and JTAG) (Mode 110)Artix-73.3</v>
          </cell>
          <cell r="E145" t="str">
            <v>Connect to VCCO_0</v>
          </cell>
        </row>
        <row r="146">
          <cell r="D146" t="str">
            <v>Slave SelectMAP X8 (and JTAG) (Mode 110)Artix-72.5</v>
          </cell>
          <cell r="E146" t="str">
            <v>Connect to VCCO_0</v>
          </cell>
        </row>
        <row r="147">
          <cell r="D147" t="str">
            <v>Slave SelectMAP X8 (and JTAG) (Mode 110)Artix-71.8</v>
          </cell>
          <cell r="E147" t="str">
            <v>Connect to GND</v>
          </cell>
        </row>
        <row r="148">
          <cell r="D148" t="str">
            <v>Slave SelectMAP X8 (and JTAG) (Mode 110)Artix-71.5</v>
          </cell>
          <cell r="E148" t="str">
            <v>UNSUPPORTED configuration mode with voltage selection. Check configuration mode and voltages on banks 0.</v>
          </cell>
        </row>
        <row r="149">
          <cell r="D149" t="str">
            <v>Slave SelectMAP X8 (and JTAG) (Mode 110)Artix-71.2</v>
          </cell>
          <cell r="E149" t="str">
            <v>UNSUPPORTED configuration mode with voltage selection. Check configuration mode and voltages on banks 0.</v>
          </cell>
        </row>
        <row r="150">
          <cell r="D150" t="str">
            <v>Slave SelectMAP X8 (and JTAG) (Mode 110)Artix-70</v>
          </cell>
          <cell r="E150" t="str">
            <v>UNSUPPORTED configuration mode with voltage selection. Check configuration mode and voltages on banks 0.</v>
          </cell>
        </row>
        <row r="151">
          <cell r="D151" t="str">
            <v>Slave SelectMAP X8 (and JTAG) (Mode 110)Kintex-73.3</v>
          </cell>
          <cell r="E151" t="str">
            <v>Connect to VCCO_0</v>
          </cell>
        </row>
        <row r="152">
          <cell r="D152" t="str">
            <v>Slave SelectMAP X8 (and JTAG) (Mode 110)Kintex-72.5</v>
          </cell>
          <cell r="E152" t="str">
            <v>Connect to VCCO_0</v>
          </cell>
        </row>
        <row r="153">
          <cell r="D153" t="str">
            <v>Slave SelectMAP X8 (and JTAG) (Mode 110)Kintex-71.8</v>
          </cell>
          <cell r="E153" t="str">
            <v>Connect to GND</v>
          </cell>
        </row>
        <row r="154">
          <cell r="D154" t="str">
            <v>Slave SelectMAP X8 (and JTAG) (Mode 110)Kintex-71.5</v>
          </cell>
          <cell r="E154" t="str">
            <v>UNSUPPORTED configuration mode with voltage selection. Check configuration mode and voltages on banks 0.</v>
          </cell>
        </row>
        <row r="155">
          <cell r="D155" t="str">
            <v>Slave SelectMAP X8 (and JTAG) (Mode 110)Kintex-71.2</v>
          </cell>
          <cell r="E155" t="str">
            <v>UNSUPPORTED configuration mode with voltage selection. Check configuration mode and voltages on banks 0.</v>
          </cell>
        </row>
        <row r="156">
          <cell r="D156" t="str">
            <v>Slave SelectMAP X8 (and JTAG) (Mode 110)Kintex-70</v>
          </cell>
          <cell r="E156" t="str">
            <v>UNSUPPORTED configuration mode with voltage selection. Check configuration mode and voltages on banks 0.</v>
          </cell>
        </row>
        <row r="157">
          <cell r="D157" t="str">
            <v>Slave SelectMAP X8 (and JTAG) (Mode 110)Virtex-73.3</v>
          </cell>
          <cell r="E157" t="str">
            <v>UNSUPPORTED configuration mode with voltage selection. Check configuration mode and voltages on banks 0.</v>
          </cell>
        </row>
        <row r="158">
          <cell r="D158" t="str">
            <v>Slave SelectMAP X8 (and JTAG) (Mode 110)Virtex-72.5</v>
          </cell>
          <cell r="E158" t="str">
            <v>UNSUPPORTED configuration mode with voltage selection. Check configuration mode and voltages on banks 0.</v>
          </cell>
        </row>
        <row r="159">
          <cell r="D159" t="str">
            <v>Slave SelectMAP X8 (and JTAG) (Mode 110)Virtex-71.8</v>
          </cell>
          <cell r="E159" t="str">
            <v>Connect to GND</v>
          </cell>
        </row>
        <row r="160">
          <cell r="D160" t="str">
            <v>Slave SelectMAP X8 (and JTAG) (Mode 110)Virtex-71.5</v>
          </cell>
          <cell r="E160" t="str">
            <v>UNSUPPORTED configuration mode with voltage selection. Check configuration mode and voltages on banks 0.</v>
          </cell>
        </row>
        <row r="161">
          <cell r="D161" t="str">
            <v>Slave SelectMAP X8 (and JTAG) (Mode 110)Virtex-71.2</v>
          </cell>
          <cell r="E161" t="str">
            <v>UNSUPPORTED configuration mode with voltage selection. Check configuration mode and voltages on banks 0.</v>
          </cell>
        </row>
        <row r="162">
          <cell r="D162" t="str">
            <v>Slave SelectMAP X8 (and JTAG) (Mode 110)Virtex-70</v>
          </cell>
          <cell r="E162" t="str">
            <v>UNSUPPORTED configuration mode with voltage selection. Check configuration mode and voltages on banks 0.</v>
          </cell>
        </row>
        <row r="163">
          <cell r="D163" t="str">
            <v>Slave SelectMAP X16 (and JTAG) (Mode 110)Artix-73.3</v>
          </cell>
          <cell r="E163" t="str">
            <v>Connect to VCCO_0</v>
          </cell>
        </row>
        <row r="164">
          <cell r="D164" t="str">
            <v>Slave SelectMAP X16 (and JTAG) (Mode 110)Artix-72.5</v>
          </cell>
          <cell r="E164" t="str">
            <v>Connect to VCCO_0</v>
          </cell>
        </row>
        <row r="165">
          <cell r="D165" t="str">
            <v>Slave SelectMAP X16 (and JTAG) (Mode 110)Artix-71.8</v>
          </cell>
          <cell r="E165" t="str">
            <v>Connect to GND</v>
          </cell>
        </row>
        <row r="166">
          <cell r="D166" t="str">
            <v>Slave SelectMAP X16 (and JTAG) (Mode 110)Artix-71.5</v>
          </cell>
          <cell r="E166" t="str">
            <v>UNSUPPORTED configuration mode with voltage selection. Check configuration mode and voltages on banks 0.</v>
          </cell>
        </row>
        <row r="167">
          <cell r="D167" t="str">
            <v>Slave SelectMAP X16 (and JTAG) (Mode 110)Artix-71.2</v>
          </cell>
          <cell r="E167" t="str">
            <v>UNSUPPORTED configuration mode with voltage selection. Check configuration mode and voltages on banks 0.</v>
          </cell>
        </row>
        <row r="168">
          <cell r="D168" t="str">
            <v>Slave SelectMAP X16 (and JTAG) (Mode 110)Artix-70</v>
          </cell>
          <cell r="E168" t="str">
            <v>UNSUPPORTED configuration mode with voltage selection. Check configuration mode and voltages on banks 0.</v>
          </cell>
        </row>
        <row r="169">
          <cell r="D169" t="str">
            <v>Slave SelectMAP X16 (and JTAG) (Mode 110)Kintex-73.3</v>
          </cell>
          <cell r="E169" t="str">
            <v>Connect to VCCO_0</v>
          </cell>
        </row>
        <row r="170">
          <cell r="D170" t="str">
            <v>Slave SelectMAP X16 (and JTAG) (Mode 110)Kintex-72.5</v>
          </cell>
          <cell r="E170" t="str">
            <v>Connect to VCCO_0</v>
          </cell>
        </row>
        <row r="171">
          <cell r="D171" t="str">
            <v>Slave SelectMAP X16 (and JTAG) (Mode 110)Kintex-71.8</v>
          </cell>
          <cell r="E171" t="str">
            <v>Connect to GND</v>
          </cell>
        </row>
        <row r="172">
          <cell r="D172" t="str">
            <v>Slave SelectMAP X16 (and JTAG) (Mode 110)Kintex-71.5</v>
          </cell>
          <cell r="E172" t="str">
            <v>UNSUPPORTED configuration mode with voltage selection. Check configuration mode and voltages on banks 0.</v>
          </cell>
        </row>
        <row r="173">
          <cell r="D173" t="str">
            <v>Slave SelectMAP X16 (and JTAG) (Mode 110)Kintex-71.2</v>
          </cell>
          <cell r="E173" t="str">
            <v>UNSUPPORTED configuration mode with voltage selection. Check configuration mode and voltages on banks 0.</v>
          </cell>
        </row>
        <row r="174">
          <cell r="D174" t="str">
            <v>Slave SelectMAP X16 (and JTAG) (Mode 110)Kintex-70</v>
          </cell>
          <cell r="E174" t="str">
            <v>UNSUPPORTED configuration mode with voltage selection. Check configuration mode and voltages on banks 0.</v>
          </cell>
        </row>
        <row r="175">
          <cell r="D175" t="str">
            <v>Slave SelectMAP X16 (and JTAG) (Mode 110)Virtex-73.3</v>
          </cell>
          <cell r="E175" t="str">
            <v>UNSUPPORTED configuration mode with voltage selection. Check configuration mode and voltages on banks 0.</v>
          </cell>
        </row>
        <row r="176">
          <cell r="D176" t="str">
            <v>Slave SelectMAP X16 (and JTAG) (Mode 110)Virtex-72.5</v>
          </cell>
          <cell r="E176" t="str">
            <v>UNSUPPORTED configuration mode with voltage selection. Check configuration mode and voltages on banks 0.</v>
          </cell>
        </row>
        <row r="177">
          <cell r="D177" t="str">
            <v>Slave SelectMAP X16 (and JTAG) (Mode 110)Virtex-71.8</v>
          </cell>
          <cell r="E177" t="str">
            <v>Connect to GND</v>
          </cell>
        </row>
        <row r="178">
          <cell r="D178" t="str">
            <v>Slave SelectMAP X16 (and JTAG) (Mode 110)Virtex-71.5</v>
          </cell>
          <cell r="E178" t="str">
            <v>UNSUPPORTED configuration mode with voltage selection. Check configuration mode and voltages on banks 0.</v>
          </cell>
        </row>
        <row r="179">
          <cell r="D179" t="str">
            <v>Slave SelectMAP X16 (and JTAG) (Mode 110)Virtex-71.2</v>
          </cell>
          <cell r="E179" t="str">
            <v>UNSUPPORTED configuration mode with voltage selection. Check configuration mode and voltages on banks 0.</v>
          </cell>
        </row>
        <row r="180">
          <cell r="D180" t="str">
            <v>Slave SelectMAP X16 (and JTAG) (Mode 110)Virtex-70</v>
          </cell>
          <cell r="E180" t="str">
            <v>UNSUPPORTED configuration mode with voltage selection. Check configuration mode and voltages on banks 0.</v>
          </cell>
        </row>
        <row r="181">
          <cell r="D181" t="str">
            <v>Slave SelectMAP X32 (and JTAG) (Mode 110)Artix-73.3</v>
          </cell>
          <cell r="E181" t="str">
            <v>Connect to VCCO_0</v>
          </cell>
        </row>
        <row r="182">
          <cell r="D182" t="str">
            <v>Slave SelectMAP X32 (and JTAG) (Mode 110)Artix-72.5</v>
          </cell>
          <cell r="E182" t="str">
            <v>Connect to VCCO_0</v>
          </cell>
        </row>
        <row r="183">
          <cell r="D183" t="str">
            <v>Slave SelectMAP X32 (and JTAG) (Mode 110)Artix-71.8</v>
          </cell>
          <cell r="E183" t="str">
            <v>Connect to GND</v>
          </cell>
        </row>
        <row r="184">
          <cell r="D184" t="str">
            <v>Slave SelectMAP X32 (and JTAG) (Mode 110)Artix-71.5</v>
          </cell>
          <cell r="E184" t="str">
            <v>UNSUPPORTED configuration mode with voltage selection. Check configuration mode and voltages on banks 0.</v>
          </cell>
        </row>
        <row r="185">
          <cell r="D185" t="str">
            <v>Slave SelectMAP X32 (and JTAG) (Mode 110)Artix-71.2</v>
          </cell>
          <cell r="E185" t="str">
            <v>UNSUPPORTED configuration mode with voltage selection. Check configuration mode and voltages on banks 0.</v>
          </cell>
        </row>
        <row r="186">
          <cell r="D186" t="str">
            <v>Slave SelectMAP X32 (and JTAG) (Mode 110)Artix-70</v>
          </cell>
          <cell r="E186" t="str">
            <v>UNSUPPORTED configuration mode with voltage selection. Check configuration mode and voltages on banks 0.</v>
          </cell>
        </row>
        <row r="187">
          <cell r="D187" t="str">
            <v>Slave SelectMAP X32 (and JTAG) (Mode 110)Kintex-73.3</v>
          </cell>
          <cell r="E187" t="str">
            <v>Connect to VCCO_0</v>
          </cell>
        </row>
        <row r="188">
          <cell r="D188" t="str">
            <v>Slave SelectMAP X32 (and JTAG) (Mode 110)Kintex-72.5</v>
          </cell>
          <cell r="E188" t="str">
            <v>Connect to VCCO_0</v>
          </cell>
        </row>
        <row r="189">
          <cell r="D189" t="str">
            <v>Slave SelectMAP X32 (and JTAG) (Mode 110)Kintex-71.8</v>
          </cell>
          <cell r="E189" t="str">
            <v>Connect to GND</v>
          </cell>
        </row>
        <row r="190">
          <cell r="D190" t="str">
            <v>Slave SelectMAP X32 (and JTAG) (Mode 110)Kintex-71.5</v>
          </cell>
          <cell r="E190" t="str">
            <v>UNSUPPORTED configuration mode with voltage selection. Check configuration mode and voltages on banks 0.</v>
          </cell>
        </row>
        <row r="191">
          <cell r="D191" t="str">
            <v>Slave SelectMAP X32 (and JTAG) (Mode 110)Kintex-71.2</v>
          </cell>
          <cell r="E191" t="str">
            <v>UNSUPPORTED configuration mode with voltage selection. Check configuration mode and voltages on banks 0.</v>
          </cell>
        </row>
        <row r="192">
          <cell r="D192" t="str">
            <v>Slave SelectMAP X32 (and JTAG) (Mode 110)Kintex-70</v>
          </cell>
          <cell r="E192" t="str">
            <v>UNSUPPORTED configuration mode with voltage selection. Check configuration mode and voltages on banks 0.</v>
          </cell>
        </row>
        <row r="193">
          <cell r="D193" t="str">
            <v>Slave SelectMAP X32 (and JTAG) (Mode 110)Virtex-73.3</v>
          </cell>
          <cell r="E193" t="str">
            <v>UNSUPPORTED configuration mode with voltage selection. Check configuration mode and voltages on banks 0.</v>
          </cell>
        </row>
        <row r="194">
          <cell r="D194" t="str">
            <v>Slave SelectMAP X32 (and JTAG) (Mode 110)Virtex-72.5</v>
          </cell>
          <cell r="E194" t="str">
            <v>UNSUPPORTED configuration mode with voltage selection. Check configuration mode and voltages on banks 0.</v>
          </cell>
        </row>
        <row r="195">
          <cell r="D195" t="str">
            <v>Slave SelectMAP X32 (and JTAG) (Mode 110)Virtex-71.8</v>
          </cell>
          <cell r="E195" t="str">
            <v>Connect to GND</v>
          </cell>
        </row>
        <row r="196">
          <cell r="D196" t="str">
            <v>Slave SelectMAP X32 (and JTAG) (Mode 110)Virtex-71.5</v>
          </cell>
          <cell r="E196" t="str">
            <v>UNSUPPORTED configuration mode with voltage selection. Check configuration mode and voltages on banks 0.</v>
          </cell>
        </row>
        <row r="197">
          <cell r="D197" t="str">
            <v>Slave SelectMAP X32 (and JTAG) (Mode 110)Virtex-71.2</v>
          </cell>
          <cell r="E197" t="str">
            <v>UNSUPPORTED configuration mode with voltage selection. Check configuration mode and voltages on banks 0.</v>
          </cell>
        </row>
        <row r="198">
          <cell r="D198" t="str">
            <v>Slave SelectMAP X32 (and JTAG) (Mode 110)Virtex-70</v>
          </cell>
          <cell r="E198" t="str">
            <v>UNSUPPORTED configuration mode with voltage selection. Check configuration mode and voltages on banks 0.</v>
          </cell>
        </row>
        <row r="199">
          <cell r="D199" t="str">
            <v>Master BPI X8 (and JTAG) (Mode 010)Artix-73.3</v>
          </cell>
          <cell r="E199" t="str">
            <v>Connect to VCCO_0</v>
          </cell>
        </row>
        <row r="200">
          <cell r="D200" t="str">
            <v>Master BPI X8 (and JTAG) (Mode 010)Artix-72.5</v>
          </cell>
          <cell r="E200" t="str">
            <v>Connect to VCCO_0</v>
          </cell>
        </row>
        <row r="201">
          <cell r="D201" t="str">
            <v>Master BPI X8 (and JTAG) (Mode 010)Artix-71.8</v>
          </cell>
          <cell r="E201" t="str">
            <v>Connect to GND</v>
          </cell>
        </row>
        <row r="202">
          <cell r="D202" t="str">
            <v>Master BPI X8 (and JTAG) (Mode 010)Artix-71.5</v>
          </cell>
          <cell r="E202" t="str">
            <v>UNSUPPORTED configuration mode with voltage selection. Check configuration mode and voltages on banks 0.</v>
          </cell>
        </row>
        <row r="203">
          <cell r="D203" t="str">
            <v>Master BPI X8 (and JTAG) (Mode 010)Artix-71.2</v>
          </cell>
          <cell r="E203" t="str">
            <v>UNSUPPORTED configuration mode with voltage selection. Check configuration mode and voltages on banks 0.</v>
          </cell>
        </row>
        <row r="204">
          <cell r="D204" t="str">
            <v>Master BPI X8 (and JTAG) (Mode 010)Artix-70</v>
          </cell>
          <cell r="E204" t="str">
            <v>UNSUPPORTED configuration mode with voltage selection. Check configuration mode and voltages on banks 0.</v>
          </cell>
        </row>
        <row r="205">
          <cell r="D205" t="str">
            <v>Master BPI X8 (and JTAG) (Mode 010)Kintex-73.3</v>
          </cell>
          <cell r="E205" t="str">
            <v>Connect to VCCO_0</v>
          </cell>
        </row>
        <row r="206">
          <cell r="D206" t="str">
            <v>Master BPI X8 (and JTAG) (Mode 010)Kintex-72.5</v>
          </cell>
          <cell r="E206" t="str">
            <v>Connect to VCCO_0</v>
          </cell>
        </row>
        <row r="207">
          <cell r="D207" t="str">
            <v>Master BPI X8 (and JTAG) (Mode 010)Kintex-71.8</v>
          </cell>
          <cell r="E207" t="str">
            <v>Connect to GND</v>
          </cell>
        </row>
        <row r="208">
          <cell r="D208" t="str">
            <v>Master BPI X8 (and JTAG) (Mode 010)Kintex-71.5</v>
          </cell>
          <cell r="E208" t="str">
            <v>UNSUPPORTED configuration mode with voltage selection. Check configuration mode and voltages on banks 0.</v>
          </cell>
        </row>
        <row r="209">
          <cell r="D209" t="str">
            <v>Master BPI X8 (and JTAG) (Mode 010)Kintex-71.2</v>
          </cell>
          <cell r="E209" t="str">
            <v>UNSUPPORTED configuration mode with voltage selection. Check configuration mode and voltages on banks 0.</v>
          </cell>
        </row>
        <row r="210">
          <cell r="D210" t="str">
            <v>Master BPI X8 (and JTAG) (Mode 010)Kintex-70</v>
          </cell>
          <cell r="E210" t="str">
            <v>UNSUPPORTED configuration mode with voltage selection. Check configuration mode and voltages on banks 0.</v>
          </cell>
        </row>
        <row r="211">
          <cell r="D211" t="str">
            <v>Master BPI X8 (and JTAG) (Mode 010)Virtex-73.3</v>
          </cell>
          <cell r="E211" t="str">
            <v>UNSUPPORTED configuration mode with voltage selection. Check configuration mode and voltages on banks 0.</v>
          </cell>
        </row>
        <row r="212">
          <cell r="D212" t="str">
            <v>Master BPI X8 (and JTAG) (Mode 010)Virtex-72.5</v>
          </cell>
          <cell r="E212" t="str">
            <v>UNSUPPORTED configuration mode with voltage selection. Check configuration mode and voltages on banks 0.</v>
          </cell>
        </row>
        <row r="213">
          <cell r="D213" t="str">
            <v>Master BPI X8 (and JTAG) (Mode 010)Virtex-71.8</v>
          </cell>
          <cell r="E213" t="str">
            <v>Connect to GND</v>
          </cell>
        </row>
        <row r="214">
          <cell r="D214" t="str">
            <v>Master BPI X8 (and JTAG) (Mode 010)Virtex-71.5</v>
          </cell>
          <cell r="E214" t="str">
            <v>UNSUPPORTED configuration mode with voltage selection. Check configuration mode and voltages on banks 0.</v>
          </cell>
        </row>
        <row r="215">
          <cell r="D215" t="str">
            <v>Master BPI X8 (and JTAG) (Mode 010)Virtex-71.2</v>
          </cell>
          <cell r="E215" t="str">
            <v>UNSUPPORTED configuration mode with voltage selection. Check configuration mode and voltages on banks 0.</v>
          </cell>
        </row>
        <row r="216">
          <cell r="D216" t="str">
            <v>Master BPI X8 (and JTAG) (Mode 010)Virtex-70</v>
          </cell>
          <cell r="E216" t="str">
            <v>UNSUPPORTED configuration mode with voltage selection. Check configuration mode and voltages on banks 0.</v>
          </cell>
        </row>
        <row r="217">
          <cell r="D217" t="str">
            <v>Master BPI X16 (and JTAG) (Mode 010)Artix-73.3</v>
          </cell>
          <cell r="E217" t="str">
            <v>Connect to VCCO_0</v>
          </cell>
        </row>
        <row r="218">
          <cell r="D218" t="str">
            <v>Master BPI X16 (and JTAG) (Mode 010)Artix-72.5</v>
          </cell>
          <cell r="E218" t="str">
            <v>Connect to VCCO_0</v>
          </cell>
        </row>
        <row r="219">
          <cell r="D219" t="str">
            <v>Master BPI X16 (and JTAG) (Mode 010)Artix-71.8</v>
          </cell>
          <cell r="E219" t="str">
            <v>Connect to GND</v>
          </cell>
        </row>
        <row r="220">
          <cell r="D220" t="str">
            <v>Master BPI X16 (and JTAG) (Mode 010)Artix-71.5</v>
          </cell>
          <cell r="E220" t="str">
            <v>UNSUPPORTED configuration mode with voltage selection. Check configuration mode and voltages on banks 0.</v>
          </cell>
        </row>
        <row r="221">
          <cell r="D221" t="str">
            <v>Master BPI X16 (and JTAG) (Mode 010)Artix-71.2</v>
          </cell>
          <cell r="E221" t="str">
            <v>UNSUPPORTED configuration mode with voltage selection. Check configuration mode and voltages on banks 0.</v>
          </cell>
        </row>
        <row r="222">
          <cell r="D222" t="str">
            <v>Master BPI X16 (and JTAG) (Mode 010)Artix-70</v>
          </cell>
          <cell r="E222" t="str">
            <v>UNSUPPORTED configuration mode with voltage selection. Check configuration mode and voltages on banks 0.</v>
          </cell>
        </row>
        <row r="223">
          <cell r="D223" t="str">
            <v>Master BPI X16 (and JTAG) (Mode 010)Kintex-73.3</v>
          </cell>
          <cell r="E223" t="str">
            <v>Connect to VCCO_0</v>
          </cell>
        </row>
        <row r="224">
          <cell r="D224" t="str">
            <v>Master BPI X16 (and JTAG) (Mode 010)Kintex-72.5</v>
          </cell>
          <cell r="E224" t="str">
            <v>Connect to VCCO_0</v>
          </cell>
        </row>
        <row r="225">
          <cell r="D225" t="str">
            <v>Master BPI X16 (and JTAG) (Mode 010)Kintex-71.8</v>
          </cell>
          <cell r="E225" t="str">
            <v>Connect to GND</v>
          </cell>
        </row>
        <row r="226">
          <cell r="D226" t="str">
            <v>Master BPI X16 (and JTAG) (Mode 010)Kintex-71.5</v>
          </cell>
          <cell r="E226" t="str">
            <v>UNSUPPORTED configuration mode with voltage selection. Check configuration mode and voltages on banks 0.</v>
          </cell>
        </row>
        <row r="227">
          <cell r="D227" t="str">
            <v>Master BPI X16 (and JTAG) (Mode 010)Kintex-71.2</v>
          </cell>
          <cell r="E227" t="str">
            <v>UNSUPPORTED configuration mode with voltage selection. Check configuration mode and voltages on banks 0.</v>
          </cell>
        </row>
        <row r="228">
          <cell r="D228" t="str">
            <v>Master BPI X16 (and JTAG) (Mode 010)Kintex-70</v>
          </cell>
          <cell r="E228" t="str">
            <v>UNSUPPORTED configuration mode with voltage selection. Check configuration mode and voltages on banks 0.</v>
          </cell>
        </row>
        <row r="229">
          <cell r="D229" t="str">
            <v>Master BPI X16 (and JTAG) (Mode 010)Virtex-73.3</v>
          </cell>
          <cell r="E229" t="str">
            <v>UNSUPPORTED configuration mode with voltage selection. Check configuration mode and voltages on banks 0.</v>
          </cell>
        </row>
        <row r="230">
          <cell r="D230" t="str">
            <v>Master BPI X16 (and JTAG) (Mode 010)Virtex-72.5</v>
          </cell>
          <cell r="E230" t="str">
            <v>UNSUPPORTED configuration mode with voltage selection. Check configuration mode and voltages on banks 0.</v>
          </cell>
        </row>
        <row r="231">
          <cell r="D231" t="str">
            <v>Master BPI X16 (and JTAG) (Mode 010)Virtex-71.8</v>
          </cell>
          <cell r="E231" t="str">
            <v>Connect to GND</v>
          </cell>
        </row>
        <row r="232">
          <cell r="D232" t="str">
            <v>Master BPI X16 (and JTAG) (Mode 010)Virtex-71.5</v>
          </cell>
          <cell r="E232" t="str">
            <v>UNSUPPORTED configuration mode with voltage selection. Check configuration mode and voltages on banks 0.</v>
          </cell>
        </row>
        <row r="233">
          <cell r="D233" t="str">
            <v>Master BPI X16 (and JTAG) (Mode 010)Virtex-71.2</v>
          </cell>
          <cell r="E233" t="str">
            <v>UNSUPPORTED configuration mode with voltage selection. Check configuration mode and voltages on banks 0.</v>
          </cell>
        </row>
        <row r="234">
          <cell r="D234" t="str">
            <v>Master BPI X16 (and JTAG) (Mode 010)Virtex-70</v>
          </cell>
          <cell r="E234" t="str">
            <v>UNSUPPORTED configuration mode with voltage selection. Check configuration mode and voltages on banks 0.</v>
          </cell>
        </row>
      </sheetData>
      <sheetData sheetId="13" refreshError="1"/>
      <sheetData sheetId="14">
        <row r="2">
          <cell r="A2" t="str">
            <v>JTAG (Only) (Mode 101)</v>
          </cell>
        </row>
        <row r="3">
          <cell r="A3" t="str">
            <v>Slave Serial (and JTAG) (Mode 111)</v>
          </cell>
        </row>
        <row r="4">
          <cell r="A4" t="str">
            <v>Master Serial (and JTAG) (Mode 000)</v>
          </cell>
        </row>
        <row r="5">
          <cell r="A5" t="str">
            <v>Master SPI X1 (and JTAG) (Mode (001)</v>
          </cell>
        </row>
        <row r="6">
          <cell r="A6" t="str">
            <v>Master SPI X2 (and JTAG) (Mode 001)</v>
          </cell>
        </row>
        <row r="7">
          <cell r="A7" t="str">
            <v>Master SPI X4 (and JTAG) (Mode 001)</v>
          </cell>
        </row>
        <row r="8">
          <cell r="A8" t="str">
            <v>Master SelectMAP X8 (and JTAG) (Mode 100)</v>
          </cell>
        </row>
        <row r="9">
          <cell r="A9" t="str">
            <v>Master SelectMAP X16 (and JTAG) (Mode 100)</v>
          </cell>
        </row>
        <row r="10">
          <cell r="A10" t="str">
            <v>Slave SelectMAP X8 (and JTAG) (Mode 110)</v>
          </cell>
        </row>
        <row r="11">
          <cell r="A11" t="str">
            <v>Slave SelectMAP X16 (and JTAG) (Mode 110)</v>
          </cell>
        </row>
        <row r="12">
          <cell r="A12" t="str">
            <v>Slave SelectMAP X32 (and JTAG) (Mode 110)</v>
          </cell>
        </row>
        <row r="13">
          <cell r="A13" t="str">
            <v>Master BPI X8 (and JTAG) (Mode 010)</v>
          </cell>
        </row>
        <row r="14">
          <cell r="A14" t="str">
            <v>Master BPI X16 (and JTAG) (Mode 010)</v>
          </cell>
        </row>
        <row r="21">
          <cell r="A21" t="str">
            <v>JTAG (Only) (Mode 101)</v>
          </cell>
          <cell r="B21" t="str">
            <v xml:space="preserve">Connect CFGBVS High or Low per the bank voltage requirements. If the VCCO_0 supply for bank 0 is supplied with 2.5V or 3.3V, this pin must be tied High (i.e., connected to VCCO_0). Tie CFGBVS to Low (i.e., connected to GND), only if the VCCO_0 for bank 0 </v>
          </cell>
          <cell r="C21" t="str">
            <v>Connect each mode pin either directly or via a 1 kΩ (or stronger) resistor to VCCO_0 or GND. M[2:0] = 101</v>
          </cell>
          <cell r="D21" t="str">
            <v>Connect to the JTAG cable header's TCK output signal.
For the Xilinx 14-pin JTAG ribbon cable header, TCK is pin 6.</v>
          </cell>
          <cell r="E21" t="str">
            <v>Connect to the JTAG cable header's TMS output signal.
For the Xilinx 14-pin JTAG ribbon cable header, TMS is pin 4.</v>
          </cell>
          <cell r="F21" t="str">
            <v>For an isolated device or for the first device in a JTAG chain, connect TDI to the JTAG cable header's TDI output signal. Otherwise, when the FPGA is not the first device in a JTAG chain, connect to the TDO pin of the upstream JTAG device in the JTAG scan</v>
          </cell>
          <cell r="G21"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1" t="str">
            <v xml:space="preserve">Connect PROGRAM_B to an external 4.7 kΩ (or stronger) pull-up resistor to VCCO_0 to ensure a stable High input, and recommend push-button to GND to enable manual configuration reset. </v>
          </cell>
          <cell r="I21" t="str">
            <v>Connect INIT_B to a 4.7 kΩ (or stronger) pull-up resistor to VCCO_0 to ensure clean Low-to-High transitions.</v>
          </cell>
          <cell r="J21" t="str">
            <v>Connect DONE to an external 330Ω pull-up resistor to VCCO_0.</v>
          </cell>
          <cell r="K21" t="str">
            <v>PUDC_B must be tied either directly or via a 1 kΩ (or stronger) resistor to VCCO_14 or GND.</v>
          </cell>
          <cell r="L21" t="str">
            <v>CCLK is high impedance and can be left unconnected.</v>
          </cell>
          <cell r="M21" t="str">
            <v>EMCCLK is ignored in the JTAG mode and can be left unconnected.</v>
          </cell>
          <cell r="N21" t="str">
            <v>CSI_B is ignored and can be left unconnected.</v>
          </cell>
          <cell r="O21" t="str">
            <v xml:space="preserve">DOUT_CSO_B is high impedance and can be left unconnected. </v>
          </cell>
          <cell r="P21" t="str">
            <v>RDWR_B is ignored and can be left unconnected.</v>
          </cell>
          <cell r="Q21" t="str">
            <v>D00_MOSI is ignored and kept in a high-impedance state during JTAG configuration. It can be left unconnected.</v>
          </cell>
          <cell r="R21" t="str">
            <v>D01_DIN is ignored and can be left unconnected.</v>
          </cell>
          <cell r="S21" t="str">
            <v>D02 is ignored and can be left unconnected.</v>
          </cell>
          <cell r="T21" t="str">
            <v>D03 is ignored and can be left unconnected.</v>
          </cell>
          <cell r="U21" t="str">
            <v>D[04-07] are ignored and can be left unconnected.</v>
          </cell>
          <cell r="V21" t="str">
            <v>D[08-15] are ignored and can be left unconnected.</v>
          </cell>
          <cell r="W21" t="str">
            <v>A[00-15]_D[16-31] are ignored and can be left unconnected.</v>
          </cell>
          <cell r="X21" t="str">
            <v>A[16-28] are ignored and can be left unconnected.</v>
          </cell>
          <cell r="Y21" t="str">
            <v>FCS_B is high impedance and can be left unconnected.</v>
          </cell>
          <cell r="Z21" t="str">
            <v>FOE_B is high-impedance and can be left unconnected.</v>
          </cell>
          <cell r="AA21" t="str">
            <v>FWE_B is high impedance and can be left unconnected.</v>
          </cell>
          <cell r="AB21" t="str">
            <v>ADV_B is high impedance and can be left unconnected.</v>
          </cell>
          <cell r="AC21" t="str">
            <v>RS0 and RS1 are high impedance and can be left unconnected.</v>
          </cell>
          <cell r="AD21" t="str">
            <v>If there is no requirement to use the decryptor key from the volatile key storage area, connect this pin to GND or VCCAUX. If the decryptor key is being used, the voltage must be between 1.0V and 1.98V.</v>
          </cell>
          <cell r="AE21" t="str">
            <v>Make sure that VCCO_0 matches the voltage level of the JTAG signals.
Ensure CFGBVS pin connection is compatible with VCCO_0.</v>
          </cell>
          <cell r="AG21" t="str">
            <v xml:space="preserve"> </v>
          </cell>
          <cell r="AI21" t="str">
            <v>Suggest using Xilinx 14-pin ribbon cable header:
GND = pins 1, 3, 5, 7, 9, 11, 13; Vref = pin 2; NC = 12, 14;
TMS = pin 4; TCK = pin 6; TDO = pin 8; TDI = pin 10.
Connect all header GND pins to the ground plane.
Connect header Vref pin to same supply as F</v>
          </cell>
        </row>
        <row r="22">
          <cell r="A22" t="str">
            <v>Slave Serial (and JTAG) (Mode 111)</v>
          </cell>
          <cell r="B22" t="str">
            <v xml:space="preserve">Connect CFGBVS High or Low per the bank voltage requirements. If the VCCO_0 supply for bank 0 is supplied with 2.5V or 3.3V, this pin must be tied High (i.e., connected to VCCO_0). Tie CFGBVS to Low (i.e., connected to GND), only if the VCCO_0 for bank 0 </v>
          </cell>
          <cell r="C22" t="str">
            <v>Connect each mode pin either directly or via a 1 kΩ (or stronger) resistor to VCCO_0 or GND. M[2:0] = 111</v>
          </cell>
          <cell r="D22" t="str">
            <v>Connect to the JTAG cable header's TCK output signal.
For the Xilinx 14-pin JTAG ribbon cable header, TCK is pin 6.</v>
          </cell>
          <cell r="E22" t="str">
            <v>Connect to the JTAG cable header's TMS output signal.
For the Xilinx 14-pin JTAG ribbon cable header, TMS is pin 4.</v>
          </cell>
          <cell r="F22" t="str">
            <v>For an isolated device or for the first device in a JTAG chain, connect TDI to the JTAG cable header's TDI output signal. Otherwise, when the FPGA is not the first device in a JTAG chain, connect to the TDO pin of the upstream JTAG device in the JTAG scan</v>
          </cell>
          <cell r="G22"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2" t="str">
            <v xml:space="preserve">Connect PROGRAM_B to an external 4.7 kΩ (or stronger) pull-up resistor to VCCO_0 to ensure a stable High input, and recommend push-button to GND to enable manual configuration reset. </v>
          </cell>
          <cell r="I22" t="str">
            <v>Connect INIT_B to a 4.7 kΩ (or stronger) pull-up resistor to VCCO_0 to ensure clean Low-to-High transitions.</v>
          </cell>
          <cell r="J22" t="str">
            <v>Connect DONE to an external 330Ω pull-up resistor to VCCO_0.</v>
          </cell>
          <cell r="K22" t="str">
            <v>PUDC_B must be tied either directly or via a 1 kΩ (or stronger) resistor to VCCO_14 or GND.</v>
          </cell>
          <cell r="L22" t="str">
            <v>Connect CCLK to an external configuration clock source. CCLK is an input that receives the slave serial configuration clock signal.</v>
          </cell>
          <cell r="M22" t="str">
            <v>EMCCLK is ignored in the slave modes and can be left unconnected.</v>
          </cell>
          <cell r="N22" t="str">
            <v>CSI_B is ignored and can be left unconnected.</v>
          </cell>
          <cell r="O22" t="str">
            <v xml:space="preserve">For an upstream device in a serial configuration daisy-chain, connect DOUT to the DIN of the downstream slave-serial FPGA. Otherwise, DOUT_CSO_B is high impedance and can be left unconnected. </v>
          </cell>
          <cell r="P22" t="str">
            <v>RDWR_B is ignored and can be left unconnected.</v>
          </cell>
          <cell r="Q22" t="str">
            <v>D00_MOSI is ignored and kept in a high-impedance state during configuration. It can be left unconnected.</v>
          </cell>
          <cell r="R22" t="str">
            <v xml:space="preserve">Connect D01_DIN to the serial data output pin of the serial data source. </v>
          </cell>
          <cell r="S22" t="str">
            <v>D02 is ignored and can be left unconnected.</v>
          </cell>
          <cell r="T22" t="str">
            <v>D03 is ignored and can be left unconnected.</v>
          </cell>
          <cell r="U22" t="str">
            <v>D[04-07] are ignored and can be left unconnected.</v>
          </cell>
          <cell r="V22" t="str">
            <v>D[08-15] are ignored and can be left unconnected.</v>
          </cell>
          <cell r="W22" t="str">
            <v>A[00-15]_D[16-31] are ignored and can be left unconnected.</v>
          </cell>
          <cell r="X22" t="str">
            <v>A[16-28] are ignored and can be left unconnected.</v>
          </cell>
          <cell r="Y22" t="str">
            <v>FCS_B is high impedance and can be left unconnected.</v>
          </cell>
          <cell r="Z22" t="str">
            <v>FOE_B is high-impedance and can be left unconnected.</v>
          </cell>
          <cell r="AA22" t="str">
            <v>FWE_B is high impedance and can be left unconnected.</v>
          </cell>
          <cell r="AB22" t="str">
            <v>ADV_B is high impedance and can be left unconnected.</v>
          </cell>
          <cell r="AC22" t="str">
            <v>RS0 and RS1 are high impedance and can be left unconnected.</v>
          </cell>
          <cell r="AD22" t="str">
            <v>If there is no requirement to use the decryptor key from the volatile key storage area, connect this pin to GND or VCCAUX. If the decryptor key is being used, the voltage must be between 1.0V and 1.98V.</v>
          </cell>
          <cell r="AE22" t="str">
            <v>Make sure that VCCO_0 matches the voltage level of the JTAG signals and serial configuration source.
Ensure CFGBVS pin connection is compatible with VCCO_0.</v>
          </cell>
          <cell r="AF22" t="str">
            <v>Make sure that VCCO_14 matches the VCCO of the serial configuration source.</v>
          </cell>
          <cell r="AG22" t="str">
            <v xml:space="preserve"> </v>
          </cell>
          <cell r="AI22" t="str">
            <v>Suggest using Xilinx 14-pin ribbon cable header:
GND = pins 1, 3, 5, 7, 9, 11, 13; Vref = pin 2; NC = 12, 14;
TMS = pin 4; TCK = pin 6; TDO = pin 8; TDI = pin 10.
Connect all header GND pins to the ground plane.
Connect header Vref pin to same supply as F</v>
          </cell>
        </row>
        <row r="23">
          <cell r="A23" t="str">
            <v>Master Serial (and JTAG) (Mode 000)</v>
          </cell>
          <cell r="B23" t="str">
            <v xml:space="preserve">Connect CFGBVS High or Low per the bank voltage requirements. If the VCCO_0 supply for bank 0 is supplied with 2.5V or 3.3V, this pin must be tied High (i.e., connected to VCCO_0). Tie CFGBVS to Low (i.e., connected to GND), only if the VCCO_0 for bank 0 </v>
          </cell>
          <cell r="C23" t="str">
            <v>Connect each mode pin either directly or via a 1 kΩ (or stronger) resistor to VCCO_0 or GND. M[2:0] = 000</v>
          </cell>
          <cell r="D23" t="str">
            <v>Connect to the JTAG cable header's TCK output signal.
For the Xilinx 14-pin JTAG ribbon cable header, TCK is pin 6.</v>
          </cell>
          <cell r="E23" t="str">
            <v>Connect to the JTAG cable header's TMS output signal.
For the Xilinx 14-pin JTAG ribbon cable header, TMS is pin 4.</v>
          </cell>
          <cell r="F23" t="str">
            <v>For an isolated device or for the first device in a JTAG chain, connect TDI to the JTAG cable header's TDI output signal. Otherwise, when the FPGA is not the first device in a JTAG chain, connect to the TDO pin of the upstream JTAG device in the JTAG scan</v>
          </cell>
          <cell r="G23"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3" t="str">
            <v xml:space="preserve">Connect PROGRAM_B to an external 4.7 kΩ (or stronger) pull-up resistor to VCCO_0 to ensure a stable High input, and recommend push-button to GND to enable manual configuration reset. </v>
          </cell>
          <cell r="I23" t="str">
            <v>Connect INIT_B to a 4.7 kΩ (or stronger) pull-up resistor to VCCO_0 to ensure clean Low-to-High transitions.</v>
          </cell>
          <cell r="J23" t="str">
            <v>Connect DONE to an external 330Ω pull-up resistor to VCCO_0.</v>
          </cell>
          <cell r="K23" t="str">
            <v>PUDC_B must be tied either directly or via a 1 kΩ (or stronger) resistor to VCCO_14 or GND.</v>
          </cell>
          <cell r="L23" t="str">
            <v>Connect CCLK to the external configuration device's clock pin. CCLK is an output that drives the master serial configuration clock signal.</v>
          </cell>
          <cell r="M23" t="str">
            <v>Optionally connect EMCCLK to an external single-ended clock source to drive the configuration logic when maximum performance is required in a master configuration mode. A BitGen option enables the EMCCLK feature. See Additional Information.
Otherwise, whe</v>
          </cell>
          <cell r="N23" t="str">
            <v>CSI_B is ignored and can be left unconnected.</v>
          </cell>
          <cell r="O23" t="str">
            <v xml:space="preserve">For an upstream device in a serial configuration daisy-chain, connect DOUT to the DIN of the downstream slave-serial FPGA. Otherwise, DOUT_CSO_B is high impedance and can be left unconnected. </v>
          </cell>
          <cell r="P23" t="str">
            <v>RDWR_B is ignored and can be left unconnected.</v>
          </cell>
          <cell r="Q23" t="str">
            <v>D00_MOSI is ignored and kept in a high-impedance state during configuration. It can be left unconnected.</v>
          </cell>
          <cell r="R23" t="str">
            <v xml:space="preserve">Connect D01_DIN to the serial data output pin of the serial data source. </v>
          </cell>
          <cell r="S23" t="str">
            <v>D02 is ignored and can be left unconnected.</v>
          </cell>
          <cell r="T23" t="str">
            <v>D03 is ignored and can be left unconnected.</v>
          </cell>
          <cell r="U23" t="str">
            <v>D[04-07] are ignored and can be left unconnected.</v>
          </cell>
          <cell r="V23" t="str">
            <v>D[08-15] are ignored and can be left unconnected.</v>
          </cell>
          <cell r="W23" t="str">
            <v>A[00-15]_D[16-31] are ignored and can be left unconnected.</v>
          </cell>
          <cell r="X23" t="str">
            <v>A[16-28] are ignored and can be left unconnected.</v>
          </cell>
          <cell r="Y23" t="str">
            <v>FCS_B is high impedance and can be left unconnected.</v>
          </cell>
          <cell r="Z23" t="str">
            <v>FOE_B is high-impedance and can be left unconnected.</v>
          </cell>
          <cell r="AA23" t="str">
            <v>FWE_B is high impedance and can be left unconnected.</v>
          </cell>
          <cell r="AB23" t="str">
            <v>ADV_B is high impedance and can be left unconnected.</v>
          </cell>
          <cell r="AC23" t="str">
            <v>RS0 and RS1 are high impedance and can be left unconnected.</v>
          </cell>
          <cell r="AD23" t="str">
            <v>If there is no requirement to use the decryptor key from the volatile key storage area, connect this pin to GND or VCCAUX. If the decryptor key is being used, the voltage must be between 1.0V and 1.98V.</v>
          </cell>
          <cell r="AE23" t="str">
            <v>Make sure that VCCO_0 matches the voltage level of the JTAG signals and serial configuration source.
Ensure CFGBVS pin connection is compatible with VCCO_0.</v>
          </cell>
          <cell r="AF23" t="str">
            <v>Make sure that VCCO_14 matches the VCCO of the serial configuration source.</v>
          </cell>
          <cell r="AG23" t="str">
            <v xml:space="preserve"> </v>
          </cell>
          <cell r="AI23" t="str">
            <v>Suggest using Xilinx 14-pin ribbon cable header:
GND = pins 1, 3, 5, 7, 9, 11, 13; Vref = pin 2; NC = 12, 14;
TMS = pin 4; TCK = pin 6; TDO = pin 8; TDI = pin 10.
Connect all header GND pins to the ground plane.
Connect header Vref pin to same supply as F</v>
          </cell>
        </row>
        <row r="24">
          <cell r="A24" t="str">
            <v>Master SPI X1 (and JTAG) (Mode (001)</v>
          </cell>
          <cell r="B24" t="str">
            <v xml:space="preserve">Connect CFGBVS High or Low per the bank voltage requirements. If the VCCO_0 supply for bank 0 is supplied with 2.5V or 3.3V, this pin must be tied High (i.e., connected to VCCO_0). Tie CFGBVS to Low (i.e., connected to GND), only if the VCCO_0 for bank 0 </v>
          </cell>
          <cell r="C24" t="str">
            <v>Connect each mode pin either directly or via a 1 kΩ (or stronger) resistor to VCCO_0 or GND. M[2:0] = 001</v>
          </cell>
          <cell r="D24" t="str">
            <v>Connect to the JTAG cable header's TCK output signal.
For the Xilinx 14-pin JTAG ribbon cable header, TCK is pin 6.</v>
          </cell>
          <cell r="E24" t="str">
            <v>Connect to the JTAG cable header's TMS output signal.
For the Xilinx 14-pin JTAG ribbon cable header, TMS is pin 4.</v>
          </cell>
          <cell r="F24" t="str">
            <v>For an isolated device or for the first device in a JTAG chain, connect TDI to the JTAG cable header's TDI output signal. Otherwise, when the FPGA is not the first device in a JTAG chain, connect to the TDO pin of the upstream JTAG device in the JTAG scan</v>
          </cell>
          <cell r="G24"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4" t="str">
            <v xml:space="preserve">Connect PROGRAM_B to an external 4.7 kΩ (or stronger) pull-up resistor to VCCO_0 to ensure a stable High input, and recommend push-button to GND to enable manual configuration reset. </v>
          </cell>
          <cell r="I24" t="str">
            <v>Connect INIT_B to a 4.7 kΩ (or stronger) pull-up resistor to VCCO_0 to ensure clean Low-to-High transitions.
If the SPI flash has an active-Low reset input pin, also connect INIT_B to the SPI flash reset pin. (Most SPI flash do NOT have a reset pin.)</v>
          </cell>
          <cell r="J24" t="str">
            <v>Connect DONE to an external 330Ω pull-up resistor to VCCO_0.</v>
          </cell>
          <cell r="K24" t="str">
            <v>PUDC_B must be tied either directly or via a 1 kΩ (or stronger) resistor to VCCO_14 or GND.</v>
          </cell>
          <cell r="L24" t="str">
            <v>Connect CCLK to the SPI flash clock input pin. CCLK is an output.</v>
          </cell>
          <cell r="M24" t="str">
            <v>Optionally connect EMCCLK to an external single-ended clock source to drive the configuration logic when maximum performance is required in a master configuration mode. A BitGen option enables the EMCCLK feature. See Additional Information.
Otherwise, whe</v>
          </cell>
          <cell r="N24" t="str">
            <v>CSI_B is ignored and can be left unconnected.</v>
          </cell>
          <cell r="O24" t="str">
            <v xml:space="preserve">For an upstream device in a serial configuration daisy-chain, connect DOUT to the DIN of the downstream slave-serial FPGA. Otherwise, DOUT_CSO_B is high impedance and can be left unconnected. </v>
          </cell>
          <cell r="P24" t="str">
            <v>RDWR_B is ignored and can be left unconnected.</v>
          </cell>
          <cell r="Q24" t="str">
            <v xml:space="preserve">Connect MOSI to the SPI flash serial data input pin. </v>
          </cell>
          <cell r="R24" t="str">
            <v>Connect D01_DIN to the SPI flash serial data output pin.</v>
          </cell>
          <cell r="S24" t="str">
            <v>D02 is ignored and can be left unconnected.</v>
          </cell>
          <cell r="T24" t="str">
            <v>D03 is ignored and can be left unconnected.</v>
          </cell>
          <cell r="U24" t="str">
            <v>D[04-07] are ignored and can be left unconnected.</v>
          </cell>
          <cell r="V24" t="str">
            <v>D[08-15] are ignored and can be left unconnected.</v>
          </cell>
          <cell r="W24" t="str">
            <v>A[00-15]_D[16-31] are ignored and can be left unconnected.</v>
          </cell>
          <cell r="X24" t="str">
            <v>A[16-28] are ignored and can be left unconnected.</v>
          </cell>
          <cell r="Y24" t="str">
            <v>Connect FCS_B to the SPI flash chip-select input pin and connect FCS_B to an external 4.7 KΩ (or stronger) pull-up to VCCO_14.</v>
          </cell>
          <cell r="Z24" t="str">
            <v>FOE_B is high-impedance and can be left unconnected.</v>
          </cell>
          <cell r="AA24" t="str">
            <v>FWE_B is high impedance and can be left unconnected.</v>
          </cell>
          <cell r="AB24" t="str">
            <v>ADV_B is high impedance and can be left unconnected.</v>
          </cell>
          <cell r="AC24" t="str">
            <v>RS0 and RS1 are high impedance and can be left unconnected.</v>
          </cell>
          <cell r="AD24" t="str">
            <v>If there is no requirement to use the decryptor key from the volatile key storage area, connect this pin to GND or VCCAUX. If the decryptor key is being used, the voltage must be between 1.0V and 1.98V.</v>
          </cell>
          <cell r="AE24" t="str">
            <v>Make sure that VCCO_0 matches the voltage level of the JTAG signals and SPI configuration flash.
SPI flash VCCO is usually 3.3V or sometimes 1.8V. See the SPI flash data sheet.
Ensure CFGBVS pin connection is compatible with VCCO_0.</v>
          </cell>
          <cell r="AF24" t="str">
            <v>Make sure that VCCO_14 matches the VCCO of the SPI configuration flash.
SPI flash VCCO is usually 3.3V or sometimes 1.8V. See the SPI flash data sheet.</v>
          </cell>
          <cell r="AG24" t="str">
            <v xml:space="preserve"> </v>
          </cell>
          <cell r="AI24" t="str">
            <v>Suggest using Xilinx 14-pin ribbon cable header:
GND = pins 1, 3, 5, 7, 9, 11, 13; Vref = pin 2; NC = 12, 14;
TMS = pin 4; TCK = pin 6; TDO = pin 8; TDI = pin 10.
Connect all header GND pins to the ground plane.
Connect header Vref pin to same supply as F</v>
          </cell>
        </row>
        <row r="25">
          <cell r="A25" t="str">
            <v>Master SPI X2 (and JTAG) (Mode 001)</v>
          </cell>
          <cell r="B25" t="str">
            <v xml:space="preserve">Connect CFGBVS High or Low per the bank voltage requirements. If the VCCO_0 supply for bank 0 is supplied with 2.5V or 3.3V, this pin must be tied High (i.e., connected to VCCO_0). Tie CFGBVS to Low (i.e., connected to GND), only if the VCCO_0 for bank 0 </v>
          </cell>
          <cell r="C25" t="str">
            <v>Connect each mode pin either directly or via a 1 kΩ (or stronger) resistor to VCCO_0 or GND. M[2:0] = 001</v>
          </cell>
          <cell r="D25" t="str">
            <v>Connect to the JTAG cable header's TCK output signal.
For the Xilinx 14-pin JTAG ribbon cable header, TCK is pin 6.</v>
          </cell>
          <cell r="E25" t="str">
            <v>Connect to the JTAG cable header's TMS output signal.
For the Xilinx 14-pin JTAG ribbon cable header, TMS is pin 4.</v>
          </cell>
          <cell r="F25" t="str">
            <v>For an isolated device or for the first device in a JTAG chain, connect TDI to the JTAG cable header's TDI output signal. Otherwise, when the FPGA is not the first device in a JTAG chain, connect to the TDO pin of the upstream JTAG device in the JTAG scan</v>
          </cell>
          <cell r="G25"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5" t="str">
            <v xml:space="preserve">Connect PROGRAM_B to an external 4.7 kΩ (or stronger) pull-up resistor to VCCO_0 to ensure a stable High input, and recommend push-button to GND to enable manual configuration reset. </v>
          </cell>
          <cell r="I25" t="str">
            <v>Connect INIT_B to a 4.7 kΩ (or stronger) pull-up resistor to VCCO_0 to ensure clean Low-to-High transitions.
If the SPI flash has an active-Low reset input pin, also connect INIT_B to the SPI flash reset pin. (Most SPI flash do NOT have a reset pin.)</v>
          </cell>
          <cell r="J25" t="str">
            <v>Connect DONE to an external 330Ω pull-up resistor to VCCO_0.</v>
          </cell>
          <cell r="K25" t="str">
            <v>PUDC_B must be tied either directly or via a 1 kΩ (or stronger) resistor to VCCO_14 or GND.</v>
          </cell>
          <cell r="L25" t="str">
            <v>Connect CCLK to the SPI flash clock input pin. CCLK is an output.</v>
          </cell>
          <cell r="M25" t="str">
            <v>Optionally connect EMCCLK to an external single-ended clock source to drive the configuration logic when maximum performance is required in a master configuration mode. A BitGen option enables the EMCCLK feature. See Additional Information.
Otherwise, whe</v>
          </cell>
          <cell r="N25" t="str">
            <v>CSI_B is ignored and can be left unconnected.</v>
          </cell>
          <cell r="O25" t="str">
            <v>DOUT_CSO_B is high impedance and can be left unconnected.</v>
          </cell>
          <cell r="P25" t="str">
            <v>RDWR_B is ignored and can be left unconnected.</v>
          </cell>
          <cell r="Q25" t="str">
            <v xml:space="preserve">Connect D00_MOSI to the SPI flash serial data input, DQ0/IO0 pin. </v>
          </cell>
          <cell r="R25" t="str">
            <v>Connect D01_DIN to the SPI flash serial data output, DQ1/IO1 pin.</v>
          </cell>
          <cell r="S25" t="str">
            <v>D02 is ignored and can be left unconnected.</v>
          </cell>
          <cell r="T25" t="str">
            <v>D03 is ignored and can be left unconnected.</v>
          </cell>
          <cell r="U25" t="str">
            <v>D[04-07] are ignored and can be left unconnected.</v>
          </cell>
          <cell r="V25" t="str">
            <v>D[08-15] are ignored and can be left unconnected.</v>
          </cell>
          <cell r="W25" t="str">
            <v>A[00-15]_D[16-31] are ignored and can be left unconnected.</v>
          </cell>
          <cell r="X25" t="str">
            <v>A[16-28] are ignored and can be left unconnected.</v>
          </cell>
          <cell r="Y25" t="str">
            <v>Connect FCS_B to the SPI flash chip-select input pin and connect FCS_B to an external 4.7 KΩ (or stronger) pull-up to VCCO_14.</v>
          </cell>
          <cell r="Z25" t="str">
            <v>FOE_B is high-impedance and can be left unconnected.</v>
          </cell>
          <cell r="AA25" t="str">
            <v>FWE_B is high impedance and can be left unconnected.</v>
          </cell>
          <cell r="AB25" t="str">
            <v>ADV_B is high impedance and can be left unconnected.</v>
          </cell>
          <cell r="AC25" t="str">
            <v>RS0 and RS1 are high impedance and can be left unconnected.</v>
          </cell>
          <cell r="AD25" t="str">
            <v>If there is no requirement to use the decryptor key from the volatile key storage area, connect this pin to GND or VCCAUX. If the decryptor key is being used, the voltage must be between 1.0V and 1.98V.</v>
          </cell>
          <cell r="AE25" t="str">
            <v>Make sure that VCCO_0 matches the voltage level of the JTAG signals and SPI configuration flash.
SPI flash VCCO is usually 3.3V or sometimes 1.8V. See the SPI flash data sheet.
Ensure CFGBVS pin connection is compatible with VCCO_0.</v>
          </cell>
          <cell r="AF25" t="str">
            <v>Make sure that VCCO_14 matches the VCCO of the SPI configuration flash.
SPI flash VCCO is usually 3.3V or sometimes 1.8V. See the SPI flash data sheet.</v>
          </cell>
          <cell r="AG25" t="str">
            <v xml:space="preserve"> </v>
          </cell>
          <cell r="AI25" t="str">
            <v>Suggest using Xilinx 14-pin ribbon cable header:
GND = pins 1, 3, 5, 7, 9, 11, 13; Vref = pin 2; NC = 12, 14;
TMS = pin 4; TCK = pin 6; TDO = pin 8; TDI = pin 10.
Connect all header GND pins to the ground plane.
Connect header Vref pin to same supply as F</v>
          </cell>
        </row>
        <row r="26">
          <cell r="A26" t="str">
            <v>Master SPI X4 (and JTAG) (Mode 001)</v>
          </cell>
          <cell r="B26" t="str">
            <v xml:space="preserve">Connect CFGBVS High or Low per the bank voltage requirements. If the VCCO_0 supply for bank 0 is supplied with 2.5V or 3.3V, this pin must be tied High (i.e., connected to VCCO_0). Tie CFGBVS to Low (i.e., connected to GND), only if the VCCO_0 for bank 0 </v>
          </cell>
          <cell r="C26" t="str">
            <v>Connect each mode pin either directly or via a 1 kΩ (or stronger) resistor to VCCO_0 or GND. M[2:0] = 001</v>
          </cell>
          <cell r="D26" t="str">
            <v>Connect to the JTAG cable header's TCK output signal.
For the Xilinx 14-pin JTAG ribbon cable header, TCK is pin 6.</v>
          </cell>
          <cell r="E26" t="str">
            <v>Connect to the JTAG cable header's TMS output signal.
For the Xilinx 14-pin JTAG ribbon cable header, TMS is pin 4.</v>
          </cell>
          <cell r="F26" t="str">
            <v>For an isolated device or for the first device in a JTAG chain, connect TDI to the JTAG cable header's TDI output signal. Otherwise, when the FPGA is not the first device in a JTAG chain, connect to the TDO pin of the upstream JTAG device in the JTAG scan</v>
          </cell>
          <cell r="G26"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6" t="str">
            <v xml:space="preserve">Connect PROGRAM_B to an external 4.7 kΩ (or stronger) pull-up resistor to VCCO_0 to ensure a stable High input, and recommend push-button to GND to enable manual configuration reset. </v>
          </cell>
          <cell r="I26" t="str">
            <v>Connect INIT_B to a 4.7 kΩ (or stronger) pull-up resistor to VCCO_0 to ensure clean Low-to-High transitions.
If the SPI flash has an active-Low reset input pin, also connect INIT_B to the SPI flash reset pin. (Most SPI flash do NOT have a reset pin.)</v>
          </cell>
          <cell r="J26" t="str">
            <v>Connect DONE to an external 330Ω pull-up resistor to VCCO_0.</v>
          </cell>
          <cell r="K26" t="str">
            <v>PUDC_B must be tied either directly or via a 1 kΩ (or stronger) resistor to VCCO_14 or GND.</v>
          </cell>
          <cell r="L26" t="str">
            <v>Connect CCLK to the SPI flash clock input pin. CCLK is an output.</v>
          </cell>
          <cell r="M26" t="str">
            <v>Optionally connect EMCCLK to an external single-ended clock source to drive the configuration logic when maximum performance is required in a master configuration mode. A BitGen option enables the EMCCLK feature. See Additional Information.
Otherwise, whe</v>
          </cell>
          <cell r="N26" t="str">
            <v>CSI_B is ignored and can be left unconnected.</v>
          </cell>
          <cell r="O26" t="str">
            <v>DOUT_CSO_B is high impedance and can be left unconnected.</v>
          </cell>
          <cell r="P26" t="str">
            <v>RDWR_B is ignored and can be left unconnected.</v>
          </cell>
          <cell r="Q26" t="str">
            <v xml:space="preserve">Connect D00_MOSI to the SPI flash serial data input, DQ0/IO0 pin. </v>
          </cell>
          <cell r="R26" t="str">
            <v>Connect D01_DIN to the SPI flash serial data output, DQ1/IO1 pin.</v>
          </cell>
          <cell r="S26" t="str">
            <v>Connect D02 to the SPI flash DQ2/IO2 pin and connect D02 to a 4.7 kΩ (or stronger) pull-up resistor to VCCO_14.
The external pull-up ensures the SPI dual-purpose pin does NOT enter a write-protect state.</v>
          </cell>
          <cell r="T26" t="str">
            <v>Connect D03 to the SPI flash DQ3/IO3 pin and connect D03 to a 4.7 kΩ (or stronger) pull-up resistor to VCCO_14. The external pull-up ensures the SPI dual-purpose pin does NOT enter a HOLD state.</v>
          </cell>
          <cell r="U26" t="str">
            <v>D[04-07] are ignored and can be left unconnected.</v>
          </cell>
          <cell r="V26" t="str">
            <v>D[08-15] are ignored and can be left unconnected.</v>
          </cell>
          <cell r="W26" t="str">
            <v>A[00-15]_D[16-31] are ignored and can be left unconnected.</v>
          </cell>
          <cell r="X26" t="str">
            <v>A[16-28] are ignored and can be left unconnected.</v>
          </cell>
          <cell r="Y26" t="str">
            <v>Connect FCS_B to the SPI flash chip-select input pin and connect FCS_B to an external 4.7 KΩ (or stronger) pull-up to VCCO_14.</v>
          </cell>
          <cell r="Z26" t="str">
            <v>FOE_B is high-impedance and can be left unconnected.</v>
          </cell>
          <cell r="AA26" t="str">
            <v>FWE_B is high impedance and can be left unconnected.</v>
          </cell>
          <cell r="AB26" t="str">
            <v>ADV_B is high impedance and can be left unconnected.</v>
          </cell>
          <cell r="AC26" t="str">
            <v>RS0 and RS1 are high impedance and can be left unconnected.</v>
          </cell>
          <cell r="AD26" t="str">
            <v>If there is no requirement to use the decryptor key from the volatile key storage area, connect this pin to GND or VCCAUX. If the decryptor key is being used, the voltage must be between 1.0V and 1.98V.</v>
          </cell>
          <cell r="AE26" t="str">
            <v>Make sure that VCCO_0 matches the voltage level of the JTAG signals and SPI configuration flash.
SPI flash VCCO is usually 3.3V or sometimes 1.8V. See the SPI flash data sheet.
Ensure CFGBVS pin connection is compatible with VCCO_0.</v>
          </cell>
          <cell r="AF26" t="str">
            <v>Make sure that VCCO_14 matches the VCCO of the SPI configuration flash.
SPI flash VCCO is usually 3.3V or sometimes 1.8V. See the SPI flash data sheet.</v>
          </cell>
          <cell r="AG26" t="str">
            <v xml:space="preserve"> </v>
          </cell>
          <cell r="AI26" t="str">
            <v>Suggest using Xilinx 14-pin ribbon cable header:
GND = pins 1, 3, 5, 7, 9, 11, 13; Vref = pin 2; NC = 12, 14;
TMS = pin 4; TCK = pin 6; TDO = pin 8; TDI = pin 10.
Connect all header GND pins to the ground plane.
Connect header Vref pin to same supply as F</v>
          </cell>
        </row>
        <row r="27">
          <cell r="A27" t="str">
            <v>Master SelectMAP X8 (and JTAG) (Mode 100)</v>
          </cell>
          <cell r="B27" t="str">
            <v xml:space="preserve">Connect CFGBVS High or Low per the bank voltage requirements. If the VCCO_0 supply for bank 0 is supplied with 2.5V or 3.3V, this pin must be tied High (i.e., connected to VCCO_0). Tie CFGBVS to Low (i.e., connected to GND), only if the VCCO_0 for bank 0 </v>
          </cell>
          <cell r="C27" t="str">
            <v>Connect each mode pin either directly or via a 1 kΩ (or stronger) resistor to VCCO_0 or GND. M[2:0] = 100</v>
          </cell>
          <cell r="D27" t="str">
            <v>Connect to the JTAG cable header's TCK output signal.
For the Xilinx 14-pin JTAG ribbon cable header, TCK is pin 6.</v>
          </cell>
          <cell r="E27" t="str">
            <v>Connect to the JTAG cable header's TMS output signal.
For the Xilinx 14-pin JTAG ribbon cable header, TMS is pin 4.</v>
          </cell>
          <cell r="F27" t="str">
            <v>For an isolated device or for the first device in a JTAG chain, connect TDI to the JTAG cable header's TDI output signal. Otherwise, when the FPGA is not the first device in a JTAG chain, connect to the TDO pin of the upstream JTAG device in the JTAG scan</v>
          </cell>
          <cell r="G27"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7" t="str">
            <v xml:space="preserve">Connect PROGRAM_B to an external 4.7 kΩ (or stronger) pull-up resistor to VCCO_0 to ensure a stable High input, and recommend push-button to GND to enable manual configuration reset. </v>
          </cell>
          <cell r="I27" t="str">
            <v>Connect INIT_B to a 4.7 kΩ (or stronger) pull-up resistor to VCCO_0 to ensure clean Low-to-High transitions.</v>
          </cell>
          <cell r="J27" t="str">
            <v>Connect DONE to an external 330Ω pull-up resistor to VCCO_0.</v>
          </cell>
          <cell r="K27" t="str">
            <v>PUDC_B must be tied either directly or via a 1 kΩ (or stronger) resistor to VCCO_14 or GND.</v>
          </cell>
          <cell r="L27" t="str">
            <v>Connect CCLK to the master SelectMAP device's clock input. CCLK is an output that drives the configuration clock signal.</v>
          </cell>
          <cell r="M27" t="str">
            <v>Optionally connect EMCCLK to an external single-ended clock source to drive the configuration logic when maximum performance is required in a master configuration mode. A BitGen option enables the EMCCLK feature. See Additional Information.
Otherwise, whe</v>
          </cell>
          <cell r="N27" t="str">
            <v xml:space="preserve">Connect CSI_B directly, or via a 1 kΩ (or stronger) resistor, to GND. </v>
          </cell>
          <cell r="O27" t="str">
            <v>For an upstream device in a parallel configuration daisy-chain, connect CSO_B to an external 330Ω pull-up to VCCO_14 and connect to the CSI_B input of the downstream device. Otherwise, DOUT_CSO_B is high impedance and can be left unconnected.</v>
          </cell>
          <cell r="P27" t="str">
            <v xml:space="preserve">Connect RDWR_B directly, or via a 1 kΩ (or stronger) resistor, to GND. </v>
          </cell>
          <cell r="Q27" t="str">
            <v>Connect D00 to the SelectMAP data bus D[00] signal.</v>
          </cell>
          <cell r="R27" t="str">
            <v>Connect D01 to the SelectMAP data bus D[01] signal.</v>
          </cell>
          <cell r="S27" t="str">
            <v>Connect D02 to the SelectMAP data bus D[02] signal.</v>
          </cell>
          <cell r="T27" t="str">
            <v>Connect D03 to the SelectMAP data bus D[03] signal.</v>
          </cell>
          <cell r="U27" t="str">
            <v>Connect D[04-07] to the SelectMAP data bus D[04-07] signals.</v>
          </cell>
          <cell r="V27" t="str">
            <v>D[08-15] are ignored and can be left unconnected.</v>
          </cell>
          <cell r="W27" t="str">
            <v>A[00-15]_D[16-31] are ignored and can be left unconnected.</v>
          </cell>
          <cell r="X27" t="str">
            <v>A[16-28] are ignored and can be left unconnected.</v>
          </cell>
          <cell r="Y27" t="str">
            <v>FCS_B is high impedance and can be left unconnected.</v>
          </cell>
          <cell r="Z27" t="str">
            <v>FOE_B is high-impedance and can be left unconnected.</v>
          </cell>
          <cell r="AA27" t="str">
            <v>FWE_B is high impedance and can be left unconnected.</v>
          </cell>
          <cell r="AB27" t="str">
            <v>ADV_B is high impedance and can be left unconnected.</v>
          </cell>
          <cell r="AC27" t="str">
            <v>RS0 and RS1 are high impedance and can be left unconnected.</v>
          </cell>
          <cell r="AD27" t="str">
            <v>If there is no requirement to use the decryptor key from the volatile key storage area, connect this pin to GND or VCCAUX. If the decryptor key is being used, the voltage must be between 1.0V and 1.98V.</v>
          </cell>
          <cell r="AE27" t="str">
            <v>Make sure that VCCO_0 matches the voltage level of the JTAG signals and the SelectMAP configuration source.
Ensure CFGBVS pin connection is compatible with VCCO_0.</v>
          </cell>
          <cell r="AF27" t="str">
            <v>Make sure that VCCO_14 matches the VCCO of the SelectMAP configuration source.</v>
          </cell>
          <cell r="AG27" t="str">
            <v xml:space="preserve"> </v>
          </cell>
          <cell r="AI27" t="str">
            <v>Suggest using Xilinx 14-pin ribbon cable header:
GND = pins 1, 3, 5, 7, 9, 11, 13; Vref = pin 2; NC = 12, 14;
TMS = pin 4; TCK = pin 6; TDO = pin 8; TDI = pin 10.
Connect all header GND pins to the ground plane.
Connect header Vref pin to same supply as F</v>
          </cell>
        </row>
        <row r="28">
          <cell r="A28" t="str">
            <v>Master SelectMAP X16 (and JTAG) (Mode 100)</v>
          </cell>
          <cell r="B28" t="str">
            <v xml:space="preserve">Connect CFGBVS High or Low per the bank voltage requirements. If the VCCO_0 supply for bank 0 is supplied with 2.5V or 3.3V, this pin must be tied High (i.e., connected to VCCO_0). Tie CFGBVS to Low (i.e., connected to GND), only if the VCCO_0 for bank 0 </v>
          </cell>
          <cell r="C28" t="str">
            <v>Connect each mode pin either directly or via a 1 kΩ (or stronger) resistor to VCCO_0 or GND. M[2:0] = 100</v>
          </cell>
          <cell r="D28" t="str">
            <v>Connect to the JTAG cable header's TCK output signal.
For the Xilinx 14-pin JTAG ribbon cable header, TCK is pin 6.</v>
          </cell>
          <cell r="E28" t="str">
            <v>Connect to the JTAG cable header's TMS output signal.
For the Xilinx 14-pin JTAG ribbon cable header, TMS is pin 4.</v>
          </cell>
          <cell r="F28" t="str">
            <v>For an isolated device or for the first device in a JTAG chain, connect TDI to the JTAG cable header's TDI output signal. Otherwise, when the FPGA is not the first device in a JTAG chain, connect to the TDO pin of the upstream JTAG device in the JTAG scan</v>
          </cell>
          <cell r="G28"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8" t="str">
            <v xml:space="preserve">Connect PROGRAM_B to an external 4.7 kΩ (or stronger) pull-up resistor to VCCO_0 to ensure a stable High input, and recommend push-button to GND to enable manual configuration reset. </v>
          </cell>
          <cell r="I28" t="str">
            <v>Connect INIT_B to a 4.7 kΩ (or stronger) pull-up resistor to VCCO_0 to ensure clean Low-to-High transitions.</v>
          </cell>
          <cell r="J28" t="str">
            <v>Connect DONE to an external 330Ω pull-up resistor to VCCO_0.</v>
          </cell>
          <cell r="K28" t="str">
            <v>PUDC_B must be tied either directly or via a 1 kΩ (or stronger) resistor to VCCO_14 or GND.</v>
          </cell>
          <cell r="L28" t="str">
            <v>Connect CCLK to the master SelectMAP device's clock input. CCLK is an output that drives the configuration clock signal.</v>
          </cell>
          <cell r="M28" t="str">
            <v>Optionally connect EMCCLK to an external single-ended clock source to drive the configuration logic when maximum performance is required in a master configuration mode. A BitGen option enables the EMCCLK feature. See Additional Information.
Otherwise, whe</v>
          </cell>
          <cell r="N28" t="str">
            <v xml:space="preserve">Connect CSI_B directly, or via a 1 kΩ (or stronger) resistor, to GND. </v>
          </cell>
          <cell r="O28" t="str">
            <v>For an upstream device in a parallel configuration daisy-chain, connect CSO_B to an external 330Ω pull-up to VCCO_14 and connect to the CSI_B input of the downstream device. Otherwise, DOUT_CSO_B is high impedance and can be left unconnected.</v>
          </cell>
          <cell r="P28" t="str">
            <v xml:space="preserve">Connect RDWR_B directly, or via a 1 kΩ (or stronger) resistor, to GND. </v>
          </cell>
          <cell r="Q28" t="str">
            <v>Connect D00 to the SelectMAP data bus D[00] signal.</v>
          </cell>
          <cell r="R28" t="str">
            <v>Connect D01 to the SelectMAP data bus D[01] signal.</v>
          </cell>
          <cell r="S28" t="str">
            <v>Connect D02 to the SelectMAP data bus D[02] signal.</v>
          </cell>
          <cell r="T28" t="str">
            <v>Connect D03 to the SelectMAP data bus D[03] signal.</v>
          </cell>
          <cell r="U28" t="str">
            <v>Connect D[04-07] to the SelectMAP data bus D[04-07] signals.</v>
          </cell>
          <cell r="V28" t="str">
            <v>Connect D[08-15] to the SelectMAP data bus D[08-15] signals.</v>
          </cell>
          <cell r="W28" t="str">
            <v>A[00-15]_D[16-31] are ignored and can be left unconnected.</v>
          </cell>
          <cell r="X28" t="str">
            <v>A[16-28] are ignored and can be left unconnected.</v>
          </cell>
          <cell r="Y28" t="str">
            <v>FCS_B is high impedance and can be left unconnected.</v>
          </cell>
          <cell r="Z28" t="str">
            <v>FOE_B is high-impedance and can be left unconnected.</v>
          </cell>
          <cell r="AA28" t="str">
            <v>FWE_B is high impedance and can be left unconnected.</v>
          </cell>
          <cell r="AB28" t="str">
            <v>ADV_B is high impedance and can be left unconnected.</v>
          </cell>
          <cell r="AC28" t="str">
            <v>RS0 and RS1 are high impedance and can be left unconnected.</v>
          </cell>
          <cell r="AD28" t="str">
            <v>If there is no requirement to use the decryptor key from the volatile key storage area, connect this pin to GND or VCCAUX. If the decryptor key is being used, the voltage must be between 1.0V and 1.98V.</v>
          </cell>
          <cell r="AE28" t="str">
            <v>Make sure that VCCO_0 matches the voltage level of the JTAG signals and the SelectMAP configuration source.
Ensure CFGBVS pin connection is compatible with VCCO_0.</v>
          </cell>
          <cell r="AF28" t="str">
            <v>Make sure that VCCO_14 matches the VCCO of the SelectMAP configuration source.</v>
          </cell>
          <cell r="AG28" t="str">
            <v xml:space="preserve"> </v>
          </cell>
          <cell r="AI28" t="str">
            <v>Suggest using Xilinx 14-pin ribbon cable header:
GND = pins 1, 3, 5, 7, 9, 11, 13; Vref = pin 2; NC = 12, 14;
TMS = pin 4; TCK = pin 6; TDO = pin 8; TDI = pin 10.
Connect all header GND pins to the ground plane.
Connect header Vref pin to same supply as F</v>
          </cell>
        </row>
        <row r="29">
          <cell r="A29" t="str">
            <v>Slave SelectMAP X8 (and JTAG) (Mode 110)</v>
          </cell>
          <cell r="B29" t="str">
            <v xml:space="preserve">Connect CFGBVS High or Low per the bank voltage requirements. If the VCCO_0 supply for bank 0 is supplied with 2.5V or 3.3V, this pin must be tied High (i.e., connected to VCCO_0). Tie CFGBVS to Low (i.e., connected to GND), only if the VCCO_0 for bank 0 </v>
          </cell>
          <cell r="C29" t="str">
            <v>Connect each mode pin either directly or via a 1 kΩ (or stronger) resistor to VCCO_0 or GND. M[2:0] = 110</v>
          </cell>
          <cell r="D29" t="str">
            <v>Connect to the JTAG cable header's TCK output signal.
For the Xilinx 14-pin JTAG ribbon cable header, TCK is pin 6.</v>
          </cell>
          <cell r="E29" t="str">
            <v>Connect to the JTAG cable header's TMS output signal.
For the Xilinx 14-pin JTAG ribbon cable header, TMS is pin 4.</v>
          </cell>
          <cell r="F29" t="str">
            <v>For an isolated device or for the first device in a JTAG chain, connect TDI to the JTAG cable header's TDI output signal. Otherwise, when the FPGA is not the first device in a JTAG chain, connect to the TDO pin of the upstream JTAG device in the JTAG scan</v>
          </cell>
          <cell r="G29"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9" t="str">
            <v xml:space="preserve">Connect PROGRAM_B to an external 4.7 kΩ (or stronger) pull-up resistor to VCCO_0 to ensure a stable High input, and recommend push-button to GND to enable manual configuration reset. </v>
          </cell>
          <cell r="I29" t="str">
            <v>Connect INIT_B to a 4.7 kΩ (or stronger) pull-up resistor to VCCO_0 to ensure clean Low-to-High transitions.</v>
          </cell>
          <cell r="J29" t="str">
            <v>Connect DONE to an external 330Ω pull-up resistor to VCCO_0.</v>
          </cell>
          <cell r="K29" t="str">
            <v>PUDC_B must be tied either directly or via a 1 kΩ (or stronger) resistor to VCCO_14 or GND.</v>
          </cell>
          <cell r="L29" t="str">
            <v xml:space="preserve">Connect CCLK to the external configuration clock source. CCLK is an input that receives the slave SelectMAP configuration clock signal. </v>
          </cell>
          <cell r="M29" t="str">
            <v>EMCCLK is ignored and can be left unconnected.</v>
          </cell>
          <cell r="N29" t="str">
            <v>For configuration from an external controller, connect CSI_B to the control signal of an external configuration controller that selects the FPGA for configuration from the SelectMAP bus.
For a parallel configuration daisy-chain, connect CSI_B to the CSO_B</v>
          </cell>
          <cell r="O29" t="str">
            <v>For an upstream device in a parallel configuration daisy-chain, connect CSO_B to an external 330Ω pull-up to VCCO_14 and connect to the CSI_B input of the downstream device. Otherwise, DOUT_CSO_B is high impedance and can be left unconnected.</v>
          </cell>
          <cell r="P29"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29" t="str">
            <v>Connect D00 to the SelectMAP data bus D[00] signal.</v>
          </cell>
          <cell r="R29" t="str">
            <v>Connect D01 to the SelectMAP data bus D[01] signal.</v>
          </cell>
          <cell r="S29" t="str">
            <v>Connect D02 to the SelectMAP data bus D[02] signal.</v>
          </cell>
          <cell r="T29" t="str">
            <v>Connect D03 to the SelectMAP data bus D[03] signal.</v>
          </cell>
          <cell r="U29" t="str">
            <v>Connect D[04-07] to the SelectMAP data bus D[04-07] signals.</v>
          </cell>
          <cell r="V29" t="str">
            <v>D[08-15] are ignored and can be left unconnected.</v>
          </cell>
          <cell r="W29" t="str">
            <v>A[00-15]_D[16-31] are ignored and can be left unconnected.</v>
          </cell>
          <cell r="X29" t="str">
            <v>A[16-28] are ignored and can be left unconnected.</v>
          </cell>
          <cell r="Y29" t="str">
            <v>FCS_B is high impedance and can be left unconnected.</v>
          </cell>
          <cell r="Z29" t="str">
            <v>FOE_B is high-impedance and can be left unconnected.</v>
          </cell>
          <cell r="AA29" t="str">
            <v>FWE_B is high impedance and can be left unconnected.</v>
          </cell>
          <cell r="AB29" t="str">
            <v>ADV_B is high impedance and can be left unconnected.</v>
          </cell>
          <cell r="AC29" t="str">
            <v>RS0 and RS1 are high impedance and can be left unconnected.</v>
          </cell>
          <cell r="AD29" t="str">
            <v>If there is no requirement to use the decryptor key from the volatile key storage area, connect this pin to GND or VCCAUX. If the decryptor key is being used, the voltage must be between 1.0V and 1.98V.</v>
          </cell>
          <cell r="AE29" t="str">
            <v>Make sure that VCCO_0 matches the voltage level of the JTAG signals and the SelectMAP configuration source.
Ensure CFGBVS pin connection is compatible with VCCO_0.</v>
          </cell>
          <cell r="AF29" t="str">
            <v>Make sure that VCCO_14 matches the VCCO of the SelectMAP configuration source.</v>
          </cell>
          <cell r="AG29" t="str">
            <v xml:space="preserve"> </v>
          </cell>
          <cell r="AI29" t="str">
            <v>Suggest using Xilinx 14-pin ribbon cable header:
GND = pins 1, 3, 5, 7, 9, 11, 13; Vref = pin 2; NC = 12, 14;
TMS = pin 4; TCK = pin 6; TDO = pin 8; TDI = pin 10.
Connect all header GND pins to the ground plane.
Connect header Vref pin to same supply as F</v>
          </cell>
        </row>
        <row r="30">
          <cell r="A30" t="str">
            <v>Slave SelectMAP X16 (and JTAG) (Mode 110)</v>
          </cell>
          <cell r="B30" t="str">
            <v xml:space="preserve">Connect CFGBVS High or Low per the bank voltage requirements. If the VCCO_0 supply for bank 0 is supplied with 2.5V or 3.3V, this pin must be tied High (i.e., connected to VCCO_0). Tie CFGBVS to Low (i.e., connected to GND), only if the VCCO_0 for bank 0 </v>
          </cell>
          <cell r="C30" t="str">
            <v>Connect each mode pin either directly or via a 1 kΩ (or stronger) resistor to VCCO_0 or GND. M[2:0] = 110</v>
          </cell>
          <cell r="D30" t="str">
            <v>Connect to the JTAG cable header's TCK output signal.
For the Xilinx 14-pin JTAG ribbon cable header, TCK is pin 6.</v>
          </cell>
          <cell r="E30" t="str">
            <v>Connect to the JTAG cable header's TMS output signal.
For the Xilinx 14-pin JTAG ribbon cable header, TMS is pin 4.</v>
          </cell>
          <cell r="F30" t="str">
            <v>For an isolated device or for the first device in a JTAG chain, connect TDI to the JTAG cable header's TDI output signal. Otherwise, when the FPGA is not the first device in a JTAG chain, connect to the TDO pin of the upstream JTAG device in the JTAG scan</v>
          </cell>
          <cell r="G30"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0" t="str">
            <v xml:space="preserve">Connect PROGRAM_B to an external 4.7 kΩ (or stronger) pull-up resistor to VCCO_0 to ensure a stable High input, and recommend push-button to GND to enable manual configuration reset. </v>
          </cell>
          <cell r="I30" t="str">
            <v>Connect INIT_B to a 4.7 kΩ (or stronger) pull-up resistor to VCCO_0 to ensure clean Low-to-High transitions.</v>
          </cell>
          <cell r="J30" t="str">
            <v>Connect DONE to an external 330Ω pull-up resistor to VCCO_0.</v>
          </cell>
          <cell r="K30" t="str">
            <v>PUDC_B must be tied either directly or via a 1 kΩ (or stronger) resistor to VCCO_14 or GND.</v>
          </cell>
          <cell r="L30" t="str">
            <v xml:space="preserve">Connect CCLK to the external configuration clock source. CCLK is an input that receives the slave SelectMAP configuration clock signal. </v>
          </cell>
          <cell r="M30" t="str">
            <v>EMCCLK is ignored and can be left unconnected.</v>
          </cell>
          <cell r="N30" t="str">
            <v>For configuration from an external controller, connect CSI_B to the control signal of an external configuration controller that selects the FPGA for configuration from the SelectMAP bus.
For a parallel configuration daisy-chain, connect CSI_B to the CSO_B</v>
          </cell>
          <cell r="O30" t="str">
            <v>For an upstream device in a parallel configuration daisy-chain, connect CSO_B to an external 330Ω pull-up to VCCO_14 and connect to the CSI_B input of the downstream device. Otherwise, DOUT_CSO_B is high impedance and can be left unconnected.</v>
          </cell>
          <cell r="P30"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30" t="str">
            <v>Connect D00 to the SelectMAP data bus D[00] signal.</v>
          </cell>
          <cell r="R30" t="str">
            <v>Connect D01 to the SelectMAP data bus D[01] signal.</v>
          </cell>
          <cell r="S30" t="str">
            <v>Connect D02 to the SelectMAP data bus D[02] signal.</v>
          </cell>
          <cell r="T30" t="str">
            <v>Connect D03 to the SelectMAP data bus D[03] signal.</v>
          </cell>
          <cell r="U30" t="str">
            <v>Connect D[04-07] to the SelectMAP data bus D[04-07] signals.</v>
          </cell>
          <cell r="V30" t="str">
            <v>Connect D[08-15] to the SelectMAP data bus D[08-15] signals.</v>
          </cell>
          <cell r="W30" t="str">
            <v>A[00-15]_D[16-31] are ignored and can be left unconnected.</v>
          </cell>
          <cell r="X30" t="str">
            <v>A[16-28] are ignored and can be left unconnected.</v>
          </cell>
          <cell r="Y30" t="str">
            <v>FCS_B is high impedance and can be left unconnected.</v>
          </cell>
          <cell r="Z30" t="str">
            <v>FOE_B is high-impedance and can be left unconnected.</v>
          </cell>
          <cell r="AA30" t="str">
            <v>FWE_B is high impedance and can be left unconnected.</v>
          </cell>
          <cell r="AB30" t="str">
            <v>ADV_B is high impedance and can be left unconnected.</v>
          </cell>
          <cell r="AC30" t="str">
            <v>RS0 and RS1 are high impedance and can be left unconnected.</v>
          </cell>
          <cell r="AD30" t="str">
            <v>If there is no requirement to use the decryptor key from the volatile key storage area, connect this pin to GND or VCCAUX. If the decryptor key is being used, the voltage must be between 1.0V and 1.98V.</v>
          </cell>
          <cell r="AE30" t="str">
            <v>Make sure that VCCO_0 matches the voltage level of the JTAG signals and the SelectMAP configuration source.
Ensure CFGBVS pin connection is compatible with VCCO_0.</v>
          </cell>
          <cell r="AF30" t="str">
            <v>Make sure that VCCO_14 matches the VCCO of the SelectMAP configuration source.</v>
          </cell>
          <cell r="AG30" t="str">
            <v xml:space="preserve"> </v>
          </cell>
          <cell r="AI30" t="str">
            <v>Suggest using Xilinx 14-pin ribbon cable header:
GND = pins 1, 3, 5, 7, 9, 11, 13; Vref = pin 2; NC = 12, 14;
TMS = pin 4; TCK = pin 6; TDO = pin 8; TDI = pin 10.
Connect all header GND pins to the ground plane.
Connect header Vref pin to same supply as F</v>
          </cell>
        </row>
        <row r="31">
          <cell r="A31" t="str">
            <v>Slave SelectMAP X32 (and JTAG) (Mode 110)</v>
          </cell>
          <cell r="B31" t="str">
            <v xml:space="preserve">Connect CFGBVS High or Low per the bank voltage requirements. If the VCCO_0 supply for bank 0 is supplied with 2.5V or 3.3V, this pin must be tied High (i.e., connected to VCCO_0). Tie CFGBVS to Low (i.e., connected to GND), only if the VCCO_0 for bank 0 </v>
          </cell>
          <cell r="C31" t="str">
            <v>Connect each mode pin either directly or via a 1 kΩ (or stronger) resistor to VCCO_0 or GND. M[2:0] = 110</v>
          </cell>
          <cell r="D31" t="str">
            <v>Connect to the JTAG cable header's TCK output signal.
For the Xilinx 14-pin JTAG ribbon cable header, TCK is pin 6.</v>
          </cell>
          <cell r="E31" t="str">
            <v>Connect to the JTAG cable header's TMS output signal.
For the Xilinx 14-pin JTAG ribbon cable header, TMS is pin 4.</v>
          </cell>
          <cell r="F31" t="str">
            <v>For an isolated device or for the first device in a JTAG chain, connect TDI to the JTAG cable header's TDI output signal. Otherwise, when the FPGA is not the first device in a JTAG chain, connect to the TDO pin of the upstream JTAG device in the JTAG scan</v>
          </cell>
          <cell r="G31"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1" t="str">
            <v xml:space="preserve">Connect PROGRAM_B to an external 4.7 kΩ (or stronger) pull-up resistor to VCCO_0 to ensure a stable High input, and recommend push-button to GND to enable manual configuration reset. </v>
          </cell>
          <cell r="I31" t="str">
            <v>Connect INIT_B to a 4.7 kΩ (or stronger) pull-up resistor to VCCO_0 to ensure clean Low-to-High transitions.</v>
          </cell>
          <cell r="J31" t="str">
            <v>Connect DONE to an external 330Ω pull-up resistor to VCCO_0.</v>
          </cell>
          <cell r="K31" t="str">
            <v>PUDC_B must be tied either directly or via a 1 kΩ (or stronger) resistor to VCCO_14 or GND.</v>
          </cell>
          <cell r="L31" t="str">
            <v xml:space="preserve">Connect CCLK to the external configuration clock source. CCLK is an input that receives the slave SelectMAP configuration clock signal. </v>
          </cell>
          <cell r="M31" t="str">
            <v>EMCCLK is ignored and can be left unconnected.</v>
          </cell>
          <cell r="N31" t="str">
            <v>For configuration from an external controller, connect CSI_B to the control signal of an external configuration controller that selects the FPGA for configuration from the SelectMAP bus.
For a parallel configuration daisy-chain, connect CSI_B to the CSO_B</v>
          </cell>
          <cell r="O31" t="str">
            <v>For an upstream device in a parallel configuration daisy-chain, connect CSO_B to an external 330Ω pull-up to VCCO_14 and connect to the CSI_B input of the downstream device. Otherwise, DOUT_CSO_B is high impedance and can be left unconnected.</v>
          </cell>
          <cell r="P31"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31" t="str">
            <v>Connect D00 to the SelectMAP data bus D[00] signal.</v>
          </cell>
          <cell r="R31" t="str">
            <v>Connect D01 to the SelectMAP data bus D[01] signal.</v>
          </cell>
          <cell r="S31" t="str">
            <v>Connect D02 to the SelectMAP data bus D[02] signal.</v>
          </cell>
          <cell r="T31" t="str">
            <v>Connect D03 to the SelectMAP data bus D[03] signal.</v>
          </cell>
          <cell r="U31" t="str">
            <v>Connect D[04-07] to the SelectMAP data bus D[04-07] signals.</v>
          </cell>
          <cell r="V31" t="str">
            <v>Connect D[08-15] to the SelectMAP data bus D[08-15] signals.</v>
          </cell>
          <cell r="W31" t="str">
            <v>Connect D[16-31] to the SelectMAP data bus D[16-31] signals.</v>
          </cell>
          <cell r="X31" t="str">
            <v>A[16-28] are ignored and can be left unconnected.</v>
          </cell>
          <cell r="Y31" t="str">
            <v>FCS_B is high impedance and can be left unconnected.</v>
          </cell>
          <cell r="Z31" t="str">
            <v>FOE_B is high-impedance and can be left unconnected.</v>
          </cell>
          <cell r="AA31" t="str">
            <v>FWE_B is high impedance and can be left unconnected.</v>
          </cell>
          <cell r="AB31" t="str">
            <v>ADV_B is high impedance and can be left unconnected.</v>
          </cell>
          <cell r="AC31" t="str">
            <v>RS0 and RS1 are high impedance and can be left unconnected.</v>
          </cell>
          <cell r="AD31" t="str">
            <v>If there is no requirement to use the decryptor key from the volatile key storage area, connect this pin to GND or VCCAUX. If the decryptor key is being used, the voltage must be between 1.0V and 1.98V.</v>
          </cell>
          <cell r="AE31" t="str">
            <v>Make sure that VCCO_0 matches the voltage level of the JTAG signals and the SelectMAP configuration source.
Ensure CFGBVS pin connection is compatible with VCCO_0.</v>
          </cell>
          <cell r="AF31" t="str">
            <v>Make sure that VCCO_14 matches the VCCO of the SelectMAP configuration source.</v>
          </cell>
          <cell r="AG31" t="str">
            <v xml:space="preserve"> </v>
          </cell>
          <cell r="AI31" t="str">
            <v>Suggest using Xilinx 14-pin ribbon cable header:
GND = pins 1, 3, 5, 7, 9, 11, 13; Vref = pin 2; NC = 12, 14;
TMS = pin 4; TCK = pin 6; TDO = pin 8; TDI = pin 10.
Connect all header GND pins to the ground plane.
Connect header Vref pin to same supply as F</v>
          </cell>
        </row>
        <row r="32">
          <cell r="A32" t="str">
            <v>Master BPI X8 (and JTAG) (Mode 010)</v>
          </cell>
          <cell r="B32" t="str">
            <v xml:space="preserve">Connect CFGBVS High or Low per the bank voltage requirements. If the VCCO_0 supply for bank 0 is supplied with 2.5V or 3.3V, this pin must be tied High (i.e., connected to VCCO_0). Tie CFGBVS to Low (i.e., connected to GND), only if the VCCO_0 for bank 0 </v>
          </cell>
          <cell r="C32" t="str">
            <v>Connect each mode pin either directly or via a 1 kΩ (or stronger) resistor to VCCO_0 or GND. M[2:0] = 010</v>
          </cell>
          <cell r="D32" t="str">
            <v>Connect to the JTAG cable header's TCK output signal.
For the Xilinx 14-pin JTAG ribbon cable header, TCK is pin 6.</v>
          </cell>
          <cell r="E32" t="str">
            <v>Connect to the JTAG cable header's TMS output signal.
For the Xilinx 14-pin JTAG ribbon cable header, TMS is pin 4.</v>
          </cell>
          <cell r="F32" t="str">
            <v>For an isolated device or for the first device in a JTAG chain, connect TDI to the JTAG cable header's TDI output signal. Otherwise, when the FPGA is not the first device in a JTAG chain, connect to the TDO pin of the upstream JTAG device in the JTAG scan</v>
          </cell>
          <cell r="G32"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2" t="str">
            <v xml:space="preserve">Connect PROGRAM_B to an external 4.7 kΩ (or stronger) pull-up resistor to VCCO_0 to ensure a stable High input, and recommend push-button to GND to enable manual configuration reset. </v>
          </cell>
          <cell r="I32" t="str">
            <v>Connect INIT_B to the BPI flash active-low reset (RST#) pin and to a 4.7 kΩ (or stronger) pull-up resistor to VCCO_0 to ensure clean Low-to-High transitions.</v>
          </cell>
          <cell r="J32" t="str">
            <v>Connect DONE to an external 330Ω pull-up resistor to VCCO_0.</v>
          </cell>
          <cell r="K32" t="str">
            <v>PUDC_B must be tied either directly or via a 1 kΩ (or stronger) resistor to VCCO_14 or GND.</v>
          </cell>
          <cell r="L32" t="str">
            <v>If the BPI flash has a clock input pin and supports synchronous read mode, connect CCLK to the BPI flash clock input pin. Otherwise, leave CCLK unconnected.
CCLK is an output that drives the configuration clock signal.</v>
          </cell>
          <cell r="M32" t="str">
            <v>Optionally connect EMCCLK to an external single-ended clock source to drive the configuration logic when maximum performance is required in a master configuration mode. A BitGen option enables the EMCCLK feature. See Additional Information.
Otherwise, whe</v>
          </cell>
          <cell r="N32" t="str">
            <v>CSI_B is ignored and can be left unconnected.</v>
          </cell>
          <cell r="O32" t="str">
            <v>For an upstream device in a parallel configuration daisy-chain, connect CSO_B to an external 330Ω pull-up to VCCO_14 and connect to the CSI_B input of the downstream device. Otherwise, DOUT_CSO_B is high impedance and can be left unconnected.</v>
          </cell>
          <cell r="P32" t="str">
            <v>RDWR_B is ignored and can be left unconnected.</v>
          </cell>
          <cell r="Q32" t="str">
            <v>Connect D00 to the BPI flash data bus D[00] signal.</v>
          </cell>
          <cell r="R32" t="str">
            <v>Connect D01 to the BPI flash data bus D[01] signal.</v>
          </cell>
          <cell r="S32" t="str">
            <v>Connect D02 to the BPI flash data bus D[02] signal.</v>
          </cell>
          <cell r="T32" t="str">
            <v>Connect D03 to the BPI flash data bus D[03] signal.</v>
          </cell>
          <cell r="U32" t="str">
            <v>Connect D[04-07] to the BPI flash data bus D[04-07] signals.</v>
          </cell>
          <cell r="V32" t="str">
            <v>D[08-15] are ignored and can be left unconnected.</v>
          </cell>
          <cell r="W32"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X32"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Y32" t="str">
            <v xml:space="preserve">Connect the FPGA FCS_B to the BPI flash chip-select input pin and connect to an external 4.7 kΩ (or stronger) pull-up resistor to VCCO_14. </v>
          </cell>
          <cell r="Z32" t="str">
            <v xml:space="preserve">Connect the FPGA FOE_B to the flash output-enable input and connect to an external 4.7 kΩ (or stronger) pull-up resistor to VCCO_15. </v>
          </cell>
          <cell r="AA32" t="str">
            <v xml:space="preserve">Connect the FPGA FWE_B to the flash write-enable input and connect to an external 4.7 kΩ (or stronger) pull-up resistor to VCCO_15. </v>
          </cell>
          <cell r="AB32" t="str">
            <v>If flash supports an address valid input: connect the FPGA ADV_B to the parallel NOR flash address valid input pin and connect to an external 4.7 kΩ (or stronger) pull-up resistor to VCCO_15. If flash does not support an address valid input: Do not connec</v>
          </cell>
          <cell r="AC32" t="str">
            <v>For basic Fallback control of the BPI address, connect RS0 to the most significant address pin of the BPI flash (instead of connecting the FPGA address pin) and connect RS0 pins to an external 4.7 kΩ (or stronger) pull-up resistor to VCCO_15.  
Otherwise,</v>
          </cell>
          <cell r="AD32" t="str">
            <v>If there is no requirement to use the decryptor key from the volatile key storage area, connect this pin to GND or VCCAUX. If the decryptor key is being used, the voltage must be between 1.0V and 1.98V.</v>
          </cell>
          <cell r="AE32" t="str">
            <v>Make sure that VCCO_0 matches the voltage level of the JTAG signals and BPI configuration flash.
BPI flash VCCO is usually 1.8V and sometimes 3.3V or 2.5V. See the BPI flash data sheet.
Ensure CFGBVS pin connection is compatible with VCCO_0.</v>
          </cell>
          <cell r="AF32" t="str">
            <v>Make sure that VCCO_14 matches the VCCO of the BPI configuration flash.
BPI flash VCCO is usually 1.8V and sometimes 3.3V or 2.5V. See the BPI flash data sheet.</v>
          </cell>
          <cell r="AG32" t="str">
            <v>Make sure that VCCO_15 matches the VCCO of the BPI configuration flash.
BPI flash VCCO is usually 1.8V and sometimes 3.3V or 2.5V. See the BPI flash data sheet.</v>
          </cell>
          <cell r="AI32" t="str">
            <v>Suggest using Xilinx 14-pin ribbon cable header:
GND = pins 1, 3, 5, 7, 9, 11, 13; Vref = pin 2; NC = 12, 14;
TMS = pin 4; TCK = pin 6; TDO = pin 8; TDI = pin 10.
Connect all header GND pins to the ground plane.
Connect header Vref pin to same supply as F</v>
          </cell>
        </row>
        <row r="33">
          <cell r="A33" t="str">
            <v>Master BPI X16 (and JTAG) (Mode 010)</v>
          </cell>
          <cell r="B33" t="str">
            <v xml:space="preserve">Connect CFGBVS High or Low per the bank voltage requirements. If the VCCO_0 supply for bank 0 is supplied with 2.5V or 3.3V, this pin must be tied High (i.e., connected to VCCO_0). Tie CFGBVS to Low (i.e., connected to GND), only if the VCCO_0 for bank 0 </v>
          </cell>
          <cell r="C33" t="str">
            <v>Connect each mode pin either directly or via a 1 kΩ (or stronger) resistor to VCCO_0 or GND. M[2:0] = 010</v>
          </cell>
          <cell r="D33" t="str">
            <v>Connect to the JTAG cable header's TCK output signal.
For the Xilinx 14-pin JTAG ribbon cable header, TCK is pin 6.</v>
          </cell>
          <cell r="E33" t="str">
            <v>Connect to the JTAG cable header's TMS output signal.
For the Xilinx 14-pin JTAG ribbon cable header, TMS is pin 4.</v>
          </cell>
          <cell r="F33" t="str">
            <v>For an isolated device or for the first device in a JTAG chain, connect TDI to the JTAG cable header's TDI output signal. Otherwise, when the FPGA is not the first device in a JTAG chain, connect to the TDO pin of the upstream JTAG device in the JTAG scan</v>
          </cell>
          <cell r="G33"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3" t="str">
            <v xml:space="preserve">Connect PROGRAM_B to an external 4.7 kΩ (or stronger) pull-up resistor to VCCO_0 to ensure a stable High input, and recommend push-button to GND to enable manual configuration reset. </v>
          </cell>
          <cell r="I33" t="str">
            <v>Connect INIT_B to the BPI flash active-low reset (RST#) pin and to a 4.7 kΩ (or stronger) pull-up resistor to VCCO_0 to ensure clean Low-to-High transitions.</v>
          </cell>
          <cell r="J33" t="str">
            <v>Connect DONE to an external 330Ω pull-up resistor to VCCO_0.</v>
          </cell>
          <cell r="K33" t="str">
            <v>PUDC_B must be tied either directly or via a 1 kΩ (or stronger) resistor to VCCO_14 or GND.</v>
          </cell>
          <cell r="L33" t="str">
            <v>If the BPI flash has a clock input pin and supports synchronous read mode, connect CCLK to the BPI flash clock input pin. Otherwise, leave CCLK unconnected.
CCLK is an output that drives the configuration clock signal.</v>
          </cell>
          <cell r="M33" t="str">
            <v>Optionally connect EMCCLK to an external single-ended clock source to drive the configuration logic when maximum performance is required in a master configuration mode. A BitGen option enables the EMCCLK feature. See Additional Information.
Otherwise, whe</v>
          </cell>
          <cell r="N33" t="str">
            <v>CSI_B is ignored and can be left unconnected.</v>
          </cell>
          <cell r="O33" t="str">
            <v>For an upstream device in a parallel configuration daisy-chain, connect CSO_B to an external 330Ω pull-up to VCCO_14 and connect to the CSI_B input of the downstream device. Otherwise, DOUT_CSO_B is high impedance and can be left unconnected.</v>
          </cell>
          <cell r="P33" t="str">
            <v>RDWR_B is ignored and can be left unconnected.</v>
          </cell>
          <cell r="Q33" t="str">
            <v>Connect D00 to the BPI flash data bus D[00] signal.</v>
          </cell>
          <cell r="R33" t="str">
            <v>Connect D01 to the BPI flash data bus D[01] signal.</v>
          </cell>
          <cell r="S33" t="str">
            <v>Connect D02 to the BPI flash data bus D[02] signal.</v>
          </cell>
          <cell r="T33" t="str">
            <v>Connect D03 to the BPI flash data bus D[03] signal.</v>
          </cell>
          <cell r="U33" t="str">
            <v>Connect D[04-07] to the BPI flash data bus D[04-07] signals.</v>
          </cell>
          <cell r="V33" t="str">
            <v>Connect D[08-15] to the BPI flash data bus D[08-15] signals.</v>
          </cell>
          <cell r="W33"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X33"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Y33" t="str">
            <v xml:space="preserve">Connect the FPGA FCS_B to the BPI flash chip-select input pin and connect to an external 4.7 kΩ (or stronger) pull-up resistor to VCCO_14. </v>
          </cell>
          <cell r="Z33" t="str">
            <v xml:space="preserve">Connect the FPGA FOE_B to the flash output-enable input and connect to an external 4.7 kΩ (or stronger) pull-up resistor to VCCO_15. </v>
          </cell>
          <cell r="AA33" t="str">
            <v xml:space="preserve">Connect the FPGA FWE_B to the flash write-enable input and connect to an external 4.7 kΩ (or stronger) pull-up resistor to VCCO_15. </v>
          </cell>
          <cell r="AB33" t="str">
            <v>If flash supports an address valid input: connect the FPGA ADV_B to the parallel NOR flash address valid input pin and connect to an external 4.7 kΩ (or stronger) pull-up resistor to VCCO_15. If flash does not support an address valid input: Do not connec</v>
          </cell>
          <cell r="AC33" t="str">
            <v>For basic Fallback control of the BPI address, connect RS0 to the most significant address pin of the BPI flash (instead of connecting the FPGA address pin) and connect RS0 pins to an external 4.7 kΩ (or stronger) pull-up resistor to VCCO_15.  
Otherwise,</v>
          </cell>
          <cell r="AD33" t="str">
            <v>If there is no requirement to use the decryptor key from the volatile key storage area, connect this pin to GND or VCCAUX. If the decryptor key is being used, the voltage must be between 1.0V and 1.98V.</v>
          </cell>
          <cell r="AE33" t="str">
            <v>Make sure that VCCO_0 matches the voltage level of the JTAG signals and BPI configuration flash.
BPI flash VCCO is usually 1.8V and sometimes 3.3V or 2.5V. See the BPI flash data sheet.
Ensure CFGBVS pin connection is compatible with VCCO_0.</v>
          </cell>
          <cell r="AF33" t="str">
            <v>Make sure that VCCO_14 matches the VCCO of the BPI configuration flash.
BPI flash VCCO is usually 1.8V and sometimes 3.3V or 2.5V. See the BPI flash data sheet.</v>
          </cell>
          <cell r="AG33" t="str">
            <v>Make sure that VCCO_15 matches the VCCO of the BPI configuration flash.
BPI flash VCCO is usually 1.8V and sometimes 3.3V or 2.5V. See the BPI flash data sheet.</v>
          </cell>
          <cell r="AI33" t="str">
            <v>Suggest using Xilinx 14-pin ribbon cable header:
GND = pins 1, 3, 5, 7, 9, 11, 13; Vref = pin 2; NC = 12, 14;
TMS = pin 4; TCK = pin 6; TDO = pin 8; TDI = pin 10.
Connect all header GND pins to the ground plane.
Connect header Vref pin to same supply as F</v>
          </cell>
        </row>
      </sheetData>
      <sheetData sheetId="15" refreshError="1"/>
      <sheetData sheetId="16" refreshError="1"/>
      <sheetData sheetId="17" refreshError="1"/>
      <sheetData sheetId="18" refreshError="1"/>
      <sheetData sheetId="19" refreshError="1"/>
      <sheetData sheetId="20">
        <row r="3">
          <cell r="A3" t="str">
            <v>7K70T</v>
          </cell>
          <cell r="B3">
            <v>24090592</v>
          </cell>
        </row>
        <row r="4">
          <cell r="A4" t="str">
            <v>7K160T</v>
          </cell>
          <cell r="B4">
            <v>53540576</v>
          </cell>
        </row>
        <row r="5">
          <cell r="A5" t="str">
            <v>7K325T</v>
          </cell>
          <cell r="B5">
            <v>91548896</v>
          </cell>
        </row>
        <row r="6">
          <cell r="A6" t="str">
            <v>7K355T</v>
          </cell>
          <cell r="B6">
            <v>112414688</v>
          </cell>
        </row>
        <row r="7">
          <cell r="A7" t="str">
            <v>7K410T</v>
          </cell>
          <cell r="B7">
            <v>127023328</v>
          </cell>
        </row>
        <row r="8">
          <cell r="A8" t="str">
            <v>7K420T</v>
          </cell>
          <cell r="B8">
            <v>149880032</v>
          </cell>
        </row>
        <row r="9">
          <cell r="A9" t="str">
            <v>7K480T</v>
          </cell>
          <cell r="B9">
            <v>149880032</v>
          </cell>
        </row>
        <row r="10">
          <cell r="A10" t="str">
            <v>7VX485T</v>
          </cell>
          <cell r="B10">
            <v>162187488</v>
          </cell>
        </row>
        <row r="11">
          <cell r="A11" t="str">
            <v>7V1500T</v>
          </cell>
          <cell r="B11">
            <v>335503520</v>
          </cell>
        </row>
        <row r="12">
          <cell r="A12" t="str">
            <v>7V2000T</v>
          </cell>
          <cell r="B12">
            <v>447337216</v>
          </cell>
        </row>
        <row r="13">
          <cell r="A13" t="str">
            <v>7V585T</v>
          </cell>
          <cell r="B13">
            <v>161398880</v>
          </cell>
        </row>
        <row r="14">
          <cell r="A14" t="str">
            <v>7VX330T</v>
          </cell>
          <cell r="B14">
            <v>111238240</v>
          </cell>
        </row>
        <row r="15">
          <cell r="A15" t="str">
            <v>7VX415T</v>
          </cell>
          <cell r="B15">
            <v>137934560</v>
          </cell>
        </row>
        <row r="16">
          <cell r="A16" t="str">
            <v>7VX550T</v>
          </cell>
          <cell r="B16">
            <v>229878496</v>
          </cell>
        </row>
        <row r="17">
          <cell r="A17" t="str">
            <v>7VX690T</v>
          </cell>
          <cell r="B17">
            <v>229878496</v>
          </cell>
        </row>
        <row r="18">
          <cell r="A18" t="str">
            <v>7VX980T</v>
          </cell>
          <cell r="B18">
            <v>282521312</v>
          </cell>
        </row>
        <row r="19">
          <cell r="A19" t="str">
            <v>7VX1140T</v>
          </cell>
          <cell r="B19">
            <v>385127680</v>
          </cell>
        </row>
        <row r="20">
          <cell r="A20" t="str">
            <v>7A100T</v>
          </cell>
          <cell r="B20">
            <v>30709728</v>
          </cell>
        </row>
        <row r="21">
          <cell r="A21" t="str">
            <v>7A200T</v>
          </cell>
          <cell r="B21">
            <v>65330912</v>
          </cell>
        </row>
        <row r="22">
          <cell r="A22" t="str">
            <v>7A350T</v>
          </cell>
          <cell r="B22">
            <v>100753632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w="12700" cmpd="sng">
          <a:solidFill>
            <a:schemeClr val="tx1"/>
          </a:solidFill>
        </a:ln>
        <a:effectLst/>
        <a:scene3d>
          <a:camera prst="orthographicFront"/>
          <a:lightRig rig="threePt" dir="t"/>
        </a:scene3d>
        <a:sp3d>
          <a:bevelT prst="convex"/>
          <a:bevelB prst="convex"/>
        </a:sp3d>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www.xilinx.com/products/silicon-devices/soc/zynq-7000.html" TargetMode="External"/><Relationship Id="rId7" Type="http://schemas.openxmlformats.org/officeDocument/2006/relationships/vmlDrawing" Target="../drawings/vmlDrawing2.vml"/><Relationship Id="rId12" Type="http://schemas.openxmlformats.org/officeDocument/2006/relationships/comments" Target="../comments2.xml"/><Relationship Id="rId2" Type="http://schemas.openxmlformats.org/officeDocument/2006/relationships/hyperlink" Target="http://www.xilinx.com/products/silicon-devices/soc/zynq-7000.html" TargetMode="External"/><Relationship Id="rId1" Type="http://schemas.openxmlformats.org/officeDocument/2006/relationships/hyperlink" Target="http://www.xilinx.com/products/silicon-devices/soc/zynq-7000.html" TargetMode="External"/><Relationship Id="rId6" Type="http://schemas.openxmlformats.org/officeDocument/2006/relationships/drawing" Target="../drawings/drawing2.xml"/><Relationship Id="rId11" Type="http://schemas.openxmlformats.org/officeDocument/2006/relationships/ctrlProp" Target="../ctrlProps/ctrlProp5.xml"/><Relationship Id="rId5" Type="http://schemas.openxmlformats.org/officeDocument/2006/relationships/printerSettings" Target="../printerSettings/printerSettings4.bin"/><Relationship Id="rId10" Type="http://schemas.openxmlformats.org/officeDocument/2006/relationships/ctrlProp" Target="../ctrlProps/ctrlProp4.xml"/><Relationship Id="rId4" Type="http://schemas.openxmlformats.org/officeDocument/2006/relationships/hyperlink" Target="http://www.xilinx.com/support/documentation/user_guides/ug470_7Series_Config.pdf" TargetMode="External"/><Relationship Id="rId9"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hyperlink" Target="http://www.xilinx.com/products/silicon-devices/soc/zynq-7000.html" TargetMode="External"/><Relationship Id="rId7" Type="http://schemas.openxmlformats.org/officeDocument/2006/relationships/vmlDrawing" Target="../drawings/vmlDrawing3.vml"/><Relationship Id="rId12" Type="http://schemas.openxmlformats.org/officeDocument/2006/relationships/comments" Target="../comments3.xml"/><Relationship Id="rId2" Type="http://schemas.openxmlformats.org/officeDocument/2006/relationships/hyperlink" Target="http://www.xilinx.com/products/silicon-devices/soc/zynq-7000.html" TargetMode="External"/><Relationship Id="rId1" Type="http://schemas.openxmlformats.org/officeDocument/2006/relationships/hyperlink" Target="http://www.xilinx.com/products/silicon-devices/soc/zynq-7000.html" TargetMode="External"/><Relationship Id="rId6" Type="http://schemas.openxmlformats.org/officeDocument/2006/relationships/drawing" Target="../drawings/drawing3.xml"/><Relationship Id="rId11" Type="http://schemas.openxmlformats.org/officeDocument/2006/relationships/ctrlProp" Target="../ctrlProps/ctrlProp9.xml"/><Relationship Id="rId5" Type="http://schemas.openxmlformats.org/officeDocument/2006/relationships/printerSettings" Target="../printerSettings/printerSettings10.bin"/><Relationship Id="rId10" Type="http://schemas.openxmlformats.org/officeDocument/2006/relationships/ctrlProp" Target="../ctrlProps/ctrlProp8.xml"/><Relationship Id="rId4" Type="http://schemas.openxmlformats.org/officeDocument/2006/relationships/hyperlink" Target="http://www.xilinx.com/support/documentation/user_guides/ug470_7Series_Config.pdf" TargetMode="External"/><Relationship Id="rId9"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42"/>
  <sheetViews>
    <sheetView zoomScaleNormal="100" workbookViewId="0">
      <selection activeCell="C11" sqref="C11"/>
    </sheetView>
  </sheetViews>
  <sheetFormatPr defaultColWidth="9.140625" defaultRowHeight="12.75"/>
  <cols>
    <col min="1" max="1" width="2.7109375" style="62" customWidth="1"/>
    <col min="2" max="2" width="38.28515625" style="62" bestFit="1" customWidth="1"/>
    <col min="3" max="3" width="109.5703125" style="62" customWidth="1"/>
    <col min="4" max="4" width="2.42578125" style="62" customWidth="1"/>
    <col min="5" max="16384" width="9.140625" style="62"/>
  </cols>
  <sheetData>
    <row r="1" spans="1:28" ht="12" customHeight="1">
      <c r="A1" s="135"/>
      <c r="B1" s="216"/>
      <c r="C1" s="216"/>
      <c r="D1" s="135"/>
      <c r="E1" s="135"/>
      <c r="F1" s="135"/>
      <c r="G1" s="135"/>
      <c r="H1" s="135"/>
      <c r="I1" s="135"/>
      <c r="J1" s="135"/>
      <c r="K1" s="135"/>
      <c r="L1" s="135"/>
      <c r="M1" s="135"/>
      <c r="N1" s="135"/>
      <c r="O1" s="135"/>
      <c r="P1" s="135"/>
      <c r="Q1" s="135"/>
      <c r="R1" s="135"/>
      <c r="S1" s="135"/>
      <c r="T1" s="135"/>
      <c r="U1" s="135"/>
      <c r="V1" s="135"/>
      <c r="W1" s="135"/>
      <c r="X1" s="135"/>
      <c r="Y1" s="135"/>
      <c r="Z1" s="135"/>
      <c r="AA1" s="135"/>
      <c r="AB1" s="135"/>
    </row>
    <row r="2" spans="1:28">
      <c r="A2" s="135"/>
      <c r="B2" s="217"/>
      <c r="C2" s="220" t="s">
        <v>34</v>
      </c>
      <c r="D2" s="135"/>
      <c r="E2" s="135"/>
      <c r="F2" s="135"/>
      <c r="G2" s="135"/>
      <c r="H2" s="135"/>
      <c r="I2" s="135"/>
      <c r="J2" s="135"/>
      <c r="K2" s="135"/>
      <c r="L2" s="135"/>
      <c r="M2" s="135"/>
      <c r="N2" s="135"/>
      <c r="O2" s="135"/>
      <c r="P2" s="135"/>
      <c r="Q2" s="135"/>
      <c r="R2" s="135"/>
      <c r="S2" s="135"/>
      <c r="T2" s="135"/>
      <c r="U2" s="135"/>
      <c r="V2" s="135"/>
      <c r="W2" s="135"/>
      <c r="X2" s="135"/>
      <c r="Y2" s="135"/>
      <c r="Z2" s="135"/>
      <c r="AA2" s="135"/>
      <c r="AB2" s="135"/>
    </row>
    <row r="3" spans="1:28">
      <c r="A3" s="135"/>
      <c r="B3" s="218"/>
      <c r="C3" s="221"/>
      <c r="D3" s="140"/>
      <c r="E3" s="135"/>
      <c r="F3" s="135"/>
      <c r="G3" s="135"/>
      <c r="H3" s="135"/>
      <c r="I3" s="135"/>
      <c r="J3" s="135"/>
      <c r="K3" s="135"/>
      <c r="L3" s="135"/>
      <c r="M3" s="135"/>
      <c r="N3" s="135"/>
      <c r="O3" s="135"/>
      <c r="P3" s="135"/>
      <c r="Q3" s="135"/>
      <c r="R3" s="135"/>
      <c r="S3" s="135"/>
      <c r="T3" s="135"/>
      <c r="U3" s="135"/>
      <c r="V3" s="135"/>
      <c r="W3" s="135"/>
      <c r="X3" s="135"/>
      <c r="Y3" s="135"/>
      <c r="Z3" s="135"/>
      <c r="AA3" s="135"/>
      <c r="AB3" s="135"/>
    </row>
    <row r="4" spans="1:28">
      <c r="A4" s="135"/>
      <c r="B4" s="218"/>
      <c r="C4" s="221"/>
      <c r="D4" s="135"/>
      <c r="E4" s="135"/>
      <c r="F4" s="135"/>
      <c r="G4" s="135"/>
      <c r="H4" s="135"/>
      <c r="I4" s="135"/>
      <c r="J4" s="135"/>
      <c r="K4" s="135"/>
      <c r="L4" s="135"/>
      <c r="M4" s="135"/>
      <c r="N4" s="135"/>
      <c r="O4" s="135"/>
      <c r="P4" s="135"/>
      <c r="Q4" s="135"/>
      <c r="R4" s="135"/>
      <c r="S4" s="135"/>
      <c r="T4" s="135"/>
      <c r="U4" s="135"/>
      <c r="V4" s="135"/>
      <c r="W4" s="135"/>
      <c r="X4" s="135"/>
      <c r="Y4" s="135"/>
      <c r="Z4" s="135"/>
      <c r="AA4" s="135"/>
      <c r="AB4" s="135"/>
    </row>
    <row r="5" spans="1:28">
      <c r="A5" s="135"/>
      <c r="B5" s="219"/>
      <c r="C5" s="221"/>
      <c r="D5" s="135"/>
      <c r="E5" s="135"/>
      <c r="F5" s="135"/>
      <c r="G5" s="135"/>
      <c r="H5" s="135"/>
      <c r="I5" s="135"/>
      <c r="J5" s="135"/>
      <c r="K5" s="135"/>
      <c r="L5" s="135"/>
      <c r="M5" s="135"/>
      <c r="N5" s="135"/>
      <c r="O5" s="135"/>
      <c r="P5" s="135"/>
      <c r="Q5" s="135"/>
      <c r="R5" s="135"/>
      <c r="S5" s="135"/>
      <c r="T5" s="135"/>
      <c r="U5" s="135"/>
      <c r="V5" s="135"/>
      <c r="W5" s="135"/>
      <c r="X5" s="135"/>
      <c r="Y5" s="135"/>
      <c r="Z5" s="135"/>
      <c r="AA5" s="135"/>
      <c r="AB5" s="135"/>
    </row>
    <row r="6" spans="1:28">
      <c r="A6" s="135"/>
      <c r="B6" s="154" t="s">
        <v>1809</v>
      </c>
      <c r="C6" s="222"/>
      <c r="D6" s="135"/>
      <c r="E6" s="135"/>
      <c r="F6" s="135"/>
      <c r="G6" s="135"/>
      <c r="H6" s="135"/>
      <c r="I6" s="135"/>
      <c r="J6" s="135"/>
      <c r="K6" s="135"/>
      <c r="L6" s="135"/>
      <c r="M6" s="135"/>
      <c r="N6" s="135"/>
      <c r="O6" s="135"/>
      <c r="P6" s="135"/>
      <c r="Q6" s="135"/>
      <c r="R6" s="135"/>
      <c r="S6" s="135"/>
      <c r="T6" s="135"/>
      <c r="U6" s="135"/>
      <c r="V6" s="135"/>
      <c r="W6" s="135"/>
      <c r="X6" s="135"/>
      <c r="Y6" s="135"/>
      <c r="Z6" s="135"/>
      <c r="AA6" s="135"/>
      <c r="AB6" s="135"/>
    </row>
    <row r="7" spans="1:28" ht="15">
      <c r="A7" s="135"/>
      <c r="B7" s="152" t="s">
        <v>29</v>
      </c>
      <c r="C7" s="133" t="s">
        <v>1811</v>
      </c>
      <c r="D7" s="135"/>
      <c r="E7" s="135"/>
      <c r="F7" s="135"/>
      <c r="G7" s="135"/>
      <c r="H7" s="135"/>
      <c r="I7" s="135"/>
      <c r="J7" s="135"/>
      <c r="K7" s="135"/>
      <c r="L7" s="135"/>
      <c r="M7" s="135"/>
      <c r="N7" s="135"/>
      <c r="O7" s="135"/>
      <c r="P7" s="135"/>
      <c r="Q7" s="135"/>
      <c r="R7" s="135"/>
      <c r="S7" s="135"/>
      <c r="T7" s="135"/>
      <c r="U7" s="135"/>
      <c r="V7" s="135"/>
      <c r="W7" s="135"/>
      <c r="X7" s="135"/>
      <c r="Y7" s="135"/>
      <c r="Z7" s="135"/>
      <c r="AA7" s="135"/>
      <c r="AB7" s="135"/>
    </row>
    <row r="8" spans="1:28" ht="15">
      <c r="A8" s="135"/>
      <c r="B8" s="152" t="s">
        <v>30</v>
      </c>
      <c r="C8" s="133" t="s">
        <v>1814</v>
      </c>
      <c r="D8" s="135"/>
      <c r="E8" s="135"/>
      <c r="F8" s="135"/>
      <c r="G8" s="135"/>
      <c r="H8" s="135"/>
      <c r="I8" s="135"/>
      <c r="J8" s="135"/>
      <c r="K8" s="135"/>
      <c r="L8" s="135"/>
      <c r="M8" s="135"/>
      <c r="N8" s="135"/>
      <c r="O8" s="135"/>
      <c r="P8" s="135"/>
      <c r="Q8" s="135"/>
      <c r="R8" s="135"/>
      <c r="S8" s="135"/>
      <c r="T8" s="135"/>
      <c r="U8" s="135"/>
      <c r="V8" s="135"/>
      <c r="W8" s="135"/>
      <c r="X8" s="135"/>
      <c r="Y8" s="135"/>
      <c r="Z8" s="135"/>
      <c r="AA8" s="135"/>
      <c r="AB8" s="135"/>
    </row>
    <row r="9" spans="1:28" ht="15">
      <c r="A9" s="135"/>
      <c r="B9" s="152" t="s">
        <v>31</v>
      </c>
      <c r="C9" s="133" t="s">
        <v>1812</v>
      </c>
      <c r="D9" s="135"/>
      <c r="E9" s="135"/>
      <c r="F9" s="135"/>
      <c r="G9" s="135"/>
      <c r="H9" s="135"/>
      <c r="I9" s="135"/>
      <c r="J9" s="135"/>
      <c r="K9" s="135"/>
      <c r="L9" s="135"/>
      <c r="M9" s="135"/>
      <c r="N9" s="135"/>
      <c r="O9" s="135"/>
      <c r="P9" s="135"/>
      <c r="Q9" s="135"/>
      <c r="R9" s="135"/>
      <c r="S9" s="135"/>
      <c r="T9" s="135"/>
      <c r="U9" s="135"/>
      <c r="V9" s="135"/>
      <c r="W9" s="135"/>
      <c r="X9" s="135"/>
      <c r="Y9" s="135"/>
      <c r="Z9" s="135"/>
      <c r="AA9" s="135"/>
      <c r="AB9" s="135"/>
    </row>
    <row r="10" spans="1:28" ht="15">
      <c r="A10" s="135"/>
      <c r="B10" s="152" t="s">
        <v>32</v>
      </c>
      <c r="C10" s="134" t="s">
        <v>65</v>
      </c>
      <c r="D10" s="135"/>
      <c r="E10" s="135"/>
      <c r="F10" s="135"/>
      <c r="G10" s="135"/>
      <c r="H10" s="135"/>
      <c r="I10" s="135"/>
      <c r="J10" s="135"/>
      <c r="K10" s="135"/>
      <c r="L10" s="135"/>
      <c r="M10" s="135"/>
      <c r="N10" s="135"/>
      <c r="O10" s="135"/>
      <c r="P10" s="135"/>
      <c r="Q10" s="135"/>
      <c r="R10" s="135"/>
      <c r="S10" s="135"/>
      <c r="T10" s="135"/>
      <c r="U10" s="135"/>
      <c r="V10" s="135"/>
      <c r="W10" s="135"/>
      <c r="X10" s="135"/>
      <c r="Y10" s="135"/>
      <c r="Z10" s="135"/>
      <c r="AA10" s="135"/>
      <c r="AB10" s="135"/>
    </row>
    <row r="11" spans="1:28" ht="15">
      <c r="A11" s="135"/>
      <c r="B11" s="152" t="s">
        <v>33</v>
      </c>
      <c r="C11" s="133" t="s">
        <v>1813</v>
      </c>
      <c r="D11" s="135"/>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row>
    <row r="12" spans="1:28">
      <c r="A12" s="135"/>
      <c r="B12" s="135"/>
      <c r="C12" s="135"/>
      <c r="D12" s="135"/>
      <c r="E12" s="135"/>
      <c r="F12" s="135"/>
      <c r="G12" s="135"/>
      <c r="H12" s="135"/>
      <c r="I12" s="135"/>
      <c r="J12" s="135"/>
      <c r="K12" s="135"/>
      <c r="L12" s="135"/>
      <c r="M12" s="135"/>
      <c r="N12" s="135"/>
      <c r="O12" s="135"/>
      <c r="P12" s="135"/>
      <c r="Q12" s="135"/>
      <c r="R12" s="135"/>
      <c r="S12" s="135"/>
      <c r="T12" s="135"/>
      <c r="U12" s="135"/>
      <c r="V12" s="135"/>
      <c r="W12" s="135"/>
      <c r="X12" s="135"/>
      <c r="Y12" s="135"/>
      <c r="Z12" s="135"/>
      <c r="AA12" s="135"/>
      <c r="AB12" s="135"/>
    </row>
    <row r="13" spans="1:28">
      <c r="A13" s="135"/>
      <c r="B13" s="135"/>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row>
    <row r="14" spans="1:28">
      <c r="A14" s="135"/>
      <c r="B14" s="135"/>
      <c r="C14" s="135"/>
      <c r="D14" s="135"/>
      <c r="E14" s="135"/>
      <c r="F14" s="135"/>
      <c r="G14" s="135"/>
      <c r="H14" s="135"/>
      <c r="I14" s="135"/>
      <c r="J14" s="135"/>
      <c r="K14" s="135"/>
      <c r="L14" s="135"/>
      <c r="M14" s="135"/>
      <c r="N14" s="135"/>
      <c r="O14" s="135"/>
      <c r="P14" s="135"/>
      <c r="Q14" s="135"/>
      <c r="R14" s="135"/>
      <c r="S14" s="135"/>
      <c r="T14" s="135"/>
      <c r="U14" s="135"/>
      <c r="V14" s="135"/>
      <c r="W14" s="135"/>
      <c r="X14" s="135"/>
      <c r="Y14" s="135"/>
      <c r="Z14" s="135"/>
      <c r="AA14" s="135"/>
      <c r="AB14" s="135"/>
    </row>
    <row r="15" spans="1:28">
      <c r="A15" s="135"/>
      <c r="B15" s="135"/>
      <c r="C15" s="135"/>
      <c r="D15" s="135"/>
      <c r="E15" s="135"/>
      <c r="F15" s="135"/>
      <c r="G15" s="135"/>
      <c r="H15" s="135"/>
      <c r="I15" s="135"/>
      <c r="J15" s="135"/>
      <c r="K15" s="135"/>
      <c r="L15" s="135"/>
      <c r="M15" s="135"/>
      <c r="N15" s="135"/>
      <c r="O15" s="135"/>
      <c r="P15" s="135"/>
      <c r="Q15" s="135"/>
      <c r="R15" s="135"/>
      <c r="S15" s="135"/>
      <c r="T15" s="135"/>
      <c r="U15" s="135"/>
      <c r="V15" s="135"/>
      <c r="W15" s="135"/>
      <c r="X15" s="135"/>
      <c r="Y15" s="135"/>
      <c r="Z15" s="135"/>
      <c r="AA15" s="135"/>
      <c r="AB15" s="135"/>
    </row>
    <row r="16" spans="1:28">
      <c r="A16" s="135"/>
      <c r="B16" s="135"/>
      <c r="C16" s="135"/>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row>
    <row r="17" spans="1:28" ht="51">
      <c r="A17" s="135"/>
      <c r="B17" s="153" t="s">
        <v>25</v>
      </c>
      <c r="C17" s="136" t="s">
        <v>28</v>
      </c>
      <c r="D17" s="135"/>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row>
    <row r="18" spans="1:28">
      <c r="A18" s="135"/>
      <c r="B18" s="135"/>
      <c r="C18" s="135"/>
      <c r="D18" s="135"/>
      <c r="E18" s="135"/>
      <c r="F18" s="135"/>
      <c r="G18" s="135"/>
      <c r="H18" s="135"/>
      <c r="I18" s="135"/>
      <c r="J18" s="135"/>
      <c r="K18" s="135"/>
      <c r="L18" s="135"/>
      <c r="M18" s="135"/>
      <c r="N18" s="135"/>
      <c r="O18" s="135"/>
      <c r="P18" s="135"/>
      <c r="Q18" s="135"/>
      <c r="R18" s="135"/>
      <c r="S18" s="135"/>
      <c r="T18" s="135"/>
      <c r="U18" s="135"/>
      <c r="V18" s="135"/>
      <c r="W18" s="135"/>
      <c r="X18" s="135"/>
      <c r="Y18" s="135"/>
      <c r="Z18" s="135"/>
      <c r="AA18" s="135"/>
      <c r="AB18" s="135"/>
    </row>
    <row r="19" spans="1:28" ht="199.35" customHeight="1">
      <c r="A19" s="135"/>
      <c r="B19" s="153" t="s">
        <v>26</v>
      </c>
      <c r="C19" s="117" t="s">
        <v>1172</v>
      </c>
      <c r="D19" s="135"/>
      <c r="E19" s="135"/>
      <c r="F19" s="135"/>
      <c r="G19" s="135"/>
      <c r="H19" s="135"/>
      <c r="I19" s="135"/>
      <c r="J19" s="135"/>
      <c r="K19" s="135"/>
      <c r="L19" s="135"/>
      <c r="M19" s="135"/>
      <c r="N19" s="135"/>
      <c r="O19" s="135"/>
      <c r="P19" s="135"/>
      <c r="Q19" s="135"/>
      <c r="R19" s="135"/>
      <c r="S19" s="135"/>
      <c r="T19" s="135"/>
      <c r="U19" s="135"/>
      <c r="V19" s="135"/>
      <c r="W19" s="135"/>
      <c r="X19" s="135"/>
      <c r="Y19" s="135"/>
      <c r="Z19" s="135"/>
      <c r="AA19" s="135"/>
      <c r="AB19" s="135"/>
    </row>
    <row r="20" spans="1:28">
      <c r="A20" s="135"/>
      <c r="B20" s="135"/>
      <c r="C20" s="135"/>
      <c r="D20" s="135"/>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row>
    <row r="21" spans="1:28" ht="38.25">
      <c r="A21" s="135"/>
      <c r="B21" s="153" t="s">
        <v>27</v>
      </c>
      <c r="C21" s="136" t="s">
        <v>1754</v>
      </c>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row>
    <row r="22" spans="1:28">
      <c r="A22" s="135"/>
      <c r="B22" s="135"/>
      <c r="C22" s="13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row>
    <row r="23" spans="1:28">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135"/>
      <c r="AB23" s="135"/>
    </row>
    <row r="24" spans="1:28">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row>
    <row r="25" spans="1:28">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row>
    <row r="26" spans="1:28">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row>
    <row r="27" spans="1:28">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row>
    <row r="28" spans="1:28">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row>
    <row r="29" spans="1:28">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row>
    <row r="30" spans="1:28">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row>
    <row r="31" spans="1:28">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row>
    <row r="32" spans="1:28">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row>
    <row r="33" spans="1:28">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row>
    <row r="34" spans="1:28">
      <c r="A34" s="135"/>
      <c r="B34" s="13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row>
    <row r="35" spans="1:28">
      <c r="A35" s="135"/>
      <c r="B35" s="13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row>
    <row r="36" spans="1:28">
      <c r="A36" s="135"/>
      <c r="B36" s="13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row>
    <row r="37" spans="1:28">
      <c r="A37" s="135"/>
      <c r="B37" s="13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row>
    <row r="38" spans="1:28">
      <c r="A38" s="135"/>
      <c r="B38" s="13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row>
    <row r="39" spans="1:28">
      <c r="A39" s="135"/>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row>
    <row r="40" spans="1:28">
      <c r="A40" s="135"/>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row>
    <row r="41" spans="1:28">
      <c r="A41" s="135"/>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row>
    <row r="42" spans="1:28">
      <c r="A42" s="135"/>
      <c r="B42" s="135"/>
      <c r="C42" s="13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row>
  </sheetData>
  <sheetProtection algorithmName="SHA-512" hashValue="rE/D30TdytCGjB9zCags4QC+MumZ/wacvP8Q7iRhQdEml7moNqgtVNlEve8CfUkKLGeMzCwmd+k3kacRvfsyRg==" saltValue="2IBAqgF72kUdUdvtPv2qDQ==" spinCount="100000" sheet="1" objects="1" scenarios="1"/>
  <mergeCells count="3">
    <mergeCell ref="B1:C1"/>
    <mergeCell ref="B2:B5"/>
    <mergeCell ref="C2:C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426" r:id="rId4" name="Button 290">
              <controlPr defaultSize="0" print="0" autoFill="0" autoPict="0" macro="[0]!insert_new_tab">
                <anchor moveWithCells="1" sizeWithCells="1">
                  <from>
                    <xdr:col>2</xdr:col>
                    <xdr:colOff>1400175</xdr:colOff>
                    <xdr:row>12</xdr:row>
                    <xdr:rowOff>66675</xdr:rowOff>
                  </from>
                  <to>
                    <xdr:col>2</xdr:col>
                    <xdr:colOff>5838825</xdr:colOff>
                    <xdr:row>14</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33"/>
  <sheetViews>
    <sheetView workbookViewId="0">
      <selection activeCell="B2" sqref="B2:C2"/>
    </sheetView>
  </sheetViews>
  <sheetFormatPr defaultColWidth="9.140625" defaultRowHeight="12.75"/>
  <cols>
    <col min="1" max="1" width="2.7109375" style="62" customWidth="1"/>
    <col min="2" max="2" width="9.140625" style="62"/>
    <col min="3" max="3" width="122.28515625" style="62" customWidth="1"/>
    <col min="4" max="16384" width="9.140625" style="62"/>
  </cols>
  <sheetData>
    <row r="1" spans="1:24" ht="25.35" customHeight="1">
      <c r="A1" s="135"/>
      <c r="B1" s="135"/>
      <c r="C1" s="135"/>
      <c r="D1" s="135"/>
      <c r="E1" s="135"/>
      <c r="F1" s="135"/>
      <c r="G1" s="135"/>
      <c r="H1" s="135"/>
      <c r="I1" s="135"/>
      <c r="J1" s="135"/>
      <c r="K1" s="135"/>
      <c r="L1" s="135"/>
      <c r="M1" s="135"/>
      <c r="N1" s="135"/>
      <c r="O1" s="135"/>
      <c r="P1" s="135"/>
      <c r="Q1" s="135"/>
      <c r="R1" s="135"/>
      <c r="S1" s="135"/>
      <c r="T1" s="135"/>
      <c r="U1" s="135"/>
      <c r="V1" s="135"/>
      <c r="W1" s="135"/>
      <c r="X1" s="135"/>
    </row>
    <row r="2" spans="1:24" ht="25.5">
      <c r="A2" s="135"/>
      <c r="B2" s="223" t="s">
        <v>35</v>
      </c>
      <c r="C2" s="224"/>
      <c r="D2" s="135"/>
      <c r="E2" s="135"/>
      <c r="F2" s="135"/>
      <c r="G2" s="135"/>
      <c r="H2" s="135"/>
      <c r="I2" s="135"/>
      <c r="J2" s="135"/>
      <c r="K2" s="135"/>
      <c r="L2" s="135"/>
      <c r="M2" s="135"/>
      <c r="N2" s="135"/>
      <c r="O2" s="135"/>
      <c r="P2" s="135"/>
      <c r="Q2" s="135"/>
      <c r="R2" s="135"/>
      <c r="S2" s="135"/>
      <c r="T2" s="135"/>
      <c r="U2" s="135"/>
      <c r="V2" s="135"/>
      <c r="W2" s="135"/>
      <c r="X2" s="135"/>
    </row>
    <row r="3" spans="1:24" ht="27.6" customHeight="1">
      <c r="A3" s="135"/>
      <c r="B3" s="157" t="s">
        <v>583</v>
      </c>
      <c r="C3" s="158" t="s">
        <v>584</v>
      </c>
      <c r="D3" s="135"/>
      <c r="E3" s="135"/>
      <c r="F3" s="135"/>
      <c r="G3" s="135"/>
      <c r="H3" s="135"/>
      <c r="I3" s="135"/>
      <c r="J3" s="135"/>
      <c r="K3" s="135"/>
      <c r="L3" s="135"/>
      <c r="M3" s="135"/>
      <c r="N3" s="135"/>
      <c r="O3" s="135"/>
      <c r="P3" s="135"/>
      <c r="Q3" s="135"/>
      <c r="R3" s="135"/>
      <c r="S3" s="135"/>
      <c r="T3" s="135"/>
      <c r="U3" s="135"/>
      <c r="V3" s="135"/>
      <c r="W3" s="135"/>
      <c r="X3" s="135"/>
    </row>
    <row r="4" spans="1:24" ht="50.1" customHeight="1">
      <c r="A4" s="135"/>
      <c r="B4" s="155" t="s">
        <v>36</v>
      </c>
      <c r="C4" s="137" t="s">
        <v>511</v>
      </c>
      <c r="D4" s="135"/>
      <c r="E4" s="135"/>
      <c r="F4" s="135"/>
      <c r="G4" s="135"/>
      <c r="H4" s="135"/>
      <c r="I4" s="135"/>
      <c r="J4" s="135"/>
      <c r="K4" s="135"/>
      <c r="L4" s="135"/>
      <c r="M4" s="135"/>
      <c r="N4" s="135"/>
      <c r="O4" s="135"/>
      <c r="P4" s="135"/>
      <c r="Q4" s="135"/>
      <c r="R4" s="135"/>
      <c r="S4" s="135"/>
      <c r="T4" s="135"/>
      <c r="U4" s="135"/>
      <c r="V4" s="135"/>
      <c r="W4" s="135"/>
      <c r="X4" s="135"/>
    </row>
    <row r="5" spans="1:24" ht="41.45" customHeight="1">
      <c r="A5" s="135"/>
      <c r="B5" s="156" t="s">
        <v>43</v>
      </c>
      <c r="C5" s="137" t="s">
        <v>780</v>
      </c>
      <c r="D5" s="135"/>
      <c r="E5" s="135"/>
      <c r="F5" s="135"/>
      <c r="G5" s="135"/>
      <c r="H5" s="135"/>
      <c r="I5" s="135"/>
      <c r="J5" s="135"/>
      <c r="K5" s="135"/>
      <c r="L5" s="135"/>
      <c r="M5" s="135"/>
      <c r="N5" s="135"/>
      <c r="O5" s="135"/>
      <c r="P5" s="135"/>
      <c r="Q5" s="135"/>
      <c r="R5" s="135"/>
      <c r="S5" s="135"/>
      <c r="T5" s="135"/>
      <c r="U5" s="135"/>
      <c r="V5" s="135"/>
      <c r="W5" s="135"/>
      <c r="X5" s="135"/>
    </row>
    <row r="6" spans="1:24" ht="54" customHeight="1">
      <c r="A6" s="135"/>
      <c r="B6" s="155" t="s">
        <v>37</v>
      </c>
      <c r="C6" s="137" t="s">
        <v>781</v>
      </c>
      <c r="D6" s="135"/>
      <c r="E6" s="135"/>
      <c r="F6" s="135"/>
      <c r="G6" s="135"/>
      <c r="H6" s="135"/>
      <c r="I6" s="135"/>
      <c r="J6" s="135"/>
      <c r="K6" s="135"/>
      <c r="L6" s="135"/>
      <c r="M6" s="135"/>
      <c r="N6" s="135"/>
      <c r="O6" s="135"/>
      <c r="P6" s="135"/>
      <c r="Q6" s="135"/>
      <c r="R6" s="135"/>
      <c r="S6" s="135"/>
      <c r="T6" s="135"/>
      <c r="U6" s="135"/>
      <c r="V6" s="135"/>
      <c r="W6" s="135"/>
      <c r="X6" s="135"/>
    </row>
    <row r="7" spans="1:24" ht="40.35" customHeight="1">
      <c r="A7" s="135"/>
      <c r="B7" s="155" t="s">
        <v>38</v>
      </c>
      <c r="C7" s="138" t="s">
        <v>783</v>
      </c>
      <c r="D7" s="135"/>
      <c r="E7" s="135"/>
      <c r="F7" s="135"/>
      <c r="G7" s="135"/>
      <c r="H7" s="135"/>
      <c r="I7" s="135"/>
      <c r="J7" s="135"/>
      <c r="K7" s="135"/>
      <c r="L7" s="135"/>
      <c r="M7" s="135"/>
      <c r="N7" s="135"/>
      <c r="O7" s="135"/>
      <c r="P7" s="135"/>
      <c r="Q7" s="135"/>
      <c r="R7" s="135"/>
      <c r="S7" s="135"/>
      <c r="T7" s="135"/>
      <c r="U7" s="135"/>
      <c r="V7" s="135"/>
      <c r="W7" s="135"/>
      <c r="X7" s="135"/>
    </row>
    <row r="8" spans="1:24" ht="56.1" customHeight="1">
      <c r="A8" s="135"/>
      <c r="B8" s="155" t="s">
        <v>39</v>
      </c>
      <c r="C8" s="137" t="s">
        <v>512</v>
      </c>
      <c r="D8" s="135"/>
      <c r="E8" s="135"/>
      <c r="F8" s="135"/>
      <c r="G8" s="135"/>
      <c r="H8" s="135"/>
      <c r="I8" s="135"/>
      <c r="J8" s="135"/>
      <c r="K8" s="135"/>
      <c r="L8" s="135"/>
      <c r="M8" s="135"/>
      <c r="N8" s="135"/>
      <c r="O8" s="135"/>
      <c r="P8" s="135"/>
      <c r="Q8" s="135"/>
      <c r="R8" s="135"/>
      <c r="S8" s="135"/>
      <c r="T8" s="135"/>
      <c r="U8" s="135"/>
      <c r="V8" s="135"/>
      <c r="W8" s="135"/>
      <c r="X8" s="135"/>
    </row>
    <row r="9" spans="1:24" ht="120.6" customHeight="1">
      <c r="A9" s="135"/>
      <c r="B9" s="155" t="s">
        <v>40</v>
      </c>
      <c r="C9" s="138" t="s">
        <v>41</v>
      </c>
      <c r="D9" s="135"/>
      <c r="E9" s="135"/>
      <c r="F9" s="135"/>
      <c r="G9" s="135"/>
      <c r="H9" s="135"/>
      <c r="I9" s="135"/>
      <c r="J9" s="135"/>
      <c r="K9" s="135"/>
      <c r="L9" s="135"/>
      <c r="M9" s="135"/>
      <c r="N9" s="135"/>
      <c r="O9" s="135"/>
      <c r="P9" s="135"/>
      <c r="Q9" s="135"/>
      <c r="R9" s="135"/>
      <c r="S9" s="135"/>
      <c r="T9" s="135"/>
      <c r="U9" s="135"/>
      <c r="V9" s="135"/>
      <c r="W9" s="135"/>
      <c r="X9" s="135"/>
    </row>
    <row r="10" spans="1:24" ht="48" customHeight="1">
      <c r="A10" s="135"/>
      <c r="B10" s="155" t="s">
        <v>42</v>
      </c>
      <c r="C10" s="137" t="s">
        <v>513</v>
      </c>
      <c r="D10" s="135"/>
      <c r="E10" s="135"/>
      <c r="F10" s="135"/>
      <c r="G10" s="135"/>
      <c r="H10" s="135"/>
      <c r="I10" s="135"/>
      <c r="J10" s="135"/>
      <c r="K10" s="135"/>
      <c r="L10" s="135"/>
      <c r="M10" s="135"/>
      <c r="N10" s="135"/>
      <c r="O10" s="135"/>
      <c r="P10" s="135"/>
      <c r="Q10" s="135"/>
      <c r="R10" s="135"/>
      <c r="S10" s="135"/>
      <c r="T10" s="135"/>
      <c r="U10" s="135"/>
      <c r="V10" s="135"/>
      <c r="W10" s="135"/>
      <c r="X10" s="135"/>
    </row>
    <row r="11" spans="1:24">
      <c r="A11" s="135"/>
      <c r="B11" s="135"/>
      <c r="C11" s="135"/>
      <c r="D11" s="135"/>
      <c r="E11" s="135"/>
      <c r="F11" s="135"/>
      <c r="G11" s="135"/>
      <c r="H11" s="135"/>
      <c r="I11" s="135"/>
      <c r="J11" s="135"/>
      <c r="K11" s="135"/>
      <c r="L11" s="135"/>
      <c r="M11" s="135"/>
      <c r="N11" s="135"/>
      <c r="O11" s="135"/>
      <c r="P11" s="135"/>
      <c r="Q11" s="135"/>
      <c r="R11" s="135"/>
      <c r="S11" s="135"/>
      <c r="T11" s="135"/>
      <c r="U11" s="135"/>
      <c r="V11" s="135"/>
      <c r="W11" s="135"/>
      <c r="X11" s="135"/>
    </row>
    <row r="12" spans="1:24">
      <c r="A12" s="135"/>
      <c r="B12" s="135"/>
      <c r="C12" s="135"/>
      <c r="D12" s="135"/>
      <c r="E12" s="135"/>
      <c r="F12" s="135"/>
      <c r="G12" s="135"/>
      <c r="H12" s="135"/>
      <c r="I12" s="135"/>
      <c r="J12" s="135"/>
      <c r="K12" s="135"/>
      <c r="L12" s="135"/>
      <c r="M12" s="135"/>
      <c r="N12" s="135"/>
      <c r="O12" s="135"/>
      <c r="P12" s="135"/>
      <c r="Q12" s="135"/>
      <c r="R12" s="135"/>
      <c r="S12" s="135"/>
      <c r="T12" s="135"/>
      <c r="U12" s="135"/>
      <c r="V12" s="135"/>
      <c r="W12" s="135"/>
      <c r="X12" s="135"/>
    </row>
    <row r="13" spans="1:24">
      <c r="A13" s="135"/>
      <c r="B13" s="135"/>
      <c r="C13" s="135"/>
      <c r="D13" s="135"/>
      <c r="E13" s="135"/>
      <c r="F13" s="135"/>
      <c r="G13" s="135"/>
      <c r="H13" s="135"/>
      <c r="I13" s="135"/>
      <c r="J13" s="135"/>
      <c r="K13" s="135"/>
      <c r="L13" s="135"/>
      <c r="M13" s="135"/>
      <c r="N13" s="135"/>
      <c r="O13" s="135"/>
      <c r="P13" s="135"/>
      <c r="Q13" s="135"/>
      <c r="R13" s="135"/>
      <c r="S13" s="135"/>
      <c r="T13" s="135"/>
      <c r="U13" s="135"/>
      <c r="V13" s="135"/>
      <c r="W13" s="135"/>
      <c r="X13" s="135"/>
    </row>
    <row r="14" spans="1:24">
      <c r="A14" s="135"/>
      <c r="B14" s="135"/>
      <c r="C14" s="135"/>
      <c r="D14" s="135"/>
      <c r="E14" s="135"/>
      <c r="F14" s="135"/>
      <c r="G14" s="135"/>
      <c r="H14" s="135"/>
      <c r="I14" s="135"/>
      <c r="J14" s="135"/>
      <c r="K14" s="135"/>
      <c r="L14" s="135"/>
      <c r="M14" s="135"/>
      <c r="N14" s="135"/>
      <c r="O14" s="135"/>
      <c r="P14" s="135"/>
      <c r="Q14" s="135"/>
      <c r="R14" s="135"/>
      <c r="S14" s="135"/>
      <c r="T14" s="135"/>
      <c r="U14" s="135"/>
      <c r="V14" s="135"/>
      <c r="W14" s="135"/>
      <c r="X14" s="135"/>
    </row>
    <row r="15" spans="1:24">
      <c r="A15" s="135"/>
      <c r="B15" s="135"/>
      <c r="C15" s="135"/>
      <c r="D15" s="135"/>
      <c r="E15" s="135"/>
      <c r="F15" s="135"/>
      <c r="G15" s="135"/>
      <c r="H15" s="135"/>
      <c r="I15" s="135"/>
      <c r="J15" s="135"/>
      <c r="K15" s="135"/>
      <c r="L15" s="135"/>
      <c r="M15" s="135"/>
      <c r="N15" s="135"/>
      <c r="O15" s="135"/>
      <c r="P15" s="135"/>
      <c r="Q15" s="135"/>
      <c r="R15" s="135"/>
      <c r="S15" s="135"/>
      <c r="T15" s="135"/>
      <c r="U15" s="135"/>
      <c r="V15" s="135"/>
      <c r="W15" s="135"/>
      <c r="X15" s="135"/>
    </row>
    <row r="16" spans="1:24">
      <c r="A16" s="135"/>
      <c r="B16" s="135"/>
      <c r="C16" s="135"/>
      <c r="D16" s="135"/>
      <c r="E16" s="135"/>
      <c r="F16" s="135"/>
      <c r="G16" s="135"/>
      <c r="H16" s="135"/>
      <c r="I16" s="135"/>
      <c r="J16" s="135"/>
      <c r="K16" s="135"/>
      <c r="L16" s="135"/>
      <c r="M16" s="135"/>
      <c r="N16" s="135"/>
      <c r="O16" s="135"/>
      <c r="P16" s="135"/>
      <c r="Q16" s="135"/>
      <c r="R16" s="135"/>
      <c r="S16" s="135"/>
      <c r="T16" s="135"/>
      <c r="U16" s="135"/>
      <c r="V16" s="135"/>
      <c r="W16" s="135"/>
      <c r="X16" s="135"/>
    </row>
    <row r="17" spans="1:24">
      <c r="A17" s="135"/>
      <c r="B17" s="135"/>
      <c r="C17" s="135"/>
      <c r="D17" s="135"/>
      <c r="E17" s="135"/>
      <c r="F17" s="135"/>
      <c r="G17" s="135"/>
      <c r="H17" s="135"/>
      <c r="I17" s="135"/>
      <c r="J17" s="135"/>
      <c r="K17" s="135"/>
      <c r="L17" s="135"/>
      <c r="M17" s="135"/>
      <c r="N17" s="135"/>
      <c r="O17" s="135"/>
      <c r="P17" s="135"/>
      <c r="Q17" s="135"/>
      <c r="R17" s="135"/>
      <c r="S17" s="135"/>
      <c r="T17" s="135"/>
      <c r="U17" s="135"/>
      <c r="V17" s="135"/>
      <c r="W17" s="135"/>
      <c r="X17" s="135"/>
    </row>
    <row r="18" spans="1:24">
      <c r="A18" s="135"/>
      <c r="B18" s="135"/>
      <c r="C18" s="135"/>
      <c r="D18" s="135"/>
      <c r="E18" s="135"/>
      <c r="F18" s="135"/>
      <c r="G18" s="135"/>
      <c r="H18" s="135"/>
      <c r="I18" s="135"/>
      <c r="J18" s="135"/>
      <c r="K18" s="135"/>
      <c r="L18" s="135"/>
      <c r="M18" s="135"/>
      <c r="N18" s="135"/>
      <c r="O18" s="135"/>
      <c r="P18" s="135"/>
      <c r="Q18" s="135"/>
      <c r="R18" s="135"/>
      <c r="S18" s="135"/>
      <c r="T18" s="135"/>
      <c r="U18" s="135"/>
      <c r="V18" s="135"/>
      <c r="W18" s="135"/>
      <c r="X18" s="135"/>
    </row>
    <row r="19" spans="1:24">
      <c r="A19" s="135"/>
      <c r="B19" s="135"/>
      <c r="C19" s="135"/>
      <c r="D19" s="135"/>
      <c r="E19" s="135"/>
      <c r="F19" s="135"/>
      <c r="G19" s="135"/>
      <c r="H19" s="135"/>
      <c r="I19" s="135"/>
      <c r="J19" s="135"/>
      <c r="K19" s="135"/>
      <c r="L19" s="135"/>
      <c r="M19" s="135"/>
      <c r="N19" s="135"/>
      <c r="O19" s="135"/>
      <c r="P19" s="135"/>
      <c r="Q19" s="135"/>
      <c r="R19" s="135"/>
      <c r="S19" s="135"/>
      <c r="T19" s="135"/>
      <c r="U19" s="135"/>
      <c r="V19" s="135"/>
      <c r="W19" s="135"/>
      <c r="X19" s="135"/>
    </row>
    <row r="20" spans="1:24">
      <c r="A20" s="135"/>
      <c r="B20" s="135"/>
      <c r="C20" s="135"/>
      <c r="D20" s="135"/>
      <c r="E20" s="135"/>
      <c r="F20" s="135"/>
      <c r="G20" s="135"/>
      <c r="H20" s="135"/>
      <c r="I20" s="135"/>
      <c r="J20" s="135"/>
      <c r="K20" s="135"/>
      <c r="L20" s="135"/>
      <c r="M20" s="135"/>
      <c r="N20" s="135"/>
      <c r="O20" s="135"/>
      <c r="P20" s="135"/>
      <c r="Q20" s="135"/>
      <c r="R20" s="135"/>
      <c r="S20" s="135"/>
      <c r="T20" s="135"/>
      <c r="U20" s="135"/>
      <c r="V20" s="135"/>
      <c r="W20" s="135"/>
      <c r="X20" s="135"/>
    </row>
    <row r="21" spans="1:24">
      <c r="A21" s="135"/>
      <c r="B21" s="135"/>
      <c r="C21" s="135"/>
      <c r="D21" s="135"/>
      <c r="E21" s="135"/>
      <c r="F21" s="135"/>
      <c r="G21" s="135"/>
      <c r="H21" s="135"/>
      <c r="I21" s="135"/>
      <c r="J21" s="135"/>
      <c r="K21" s="135"/>
      <c r="L21" s="135"/>
      <c r="M21" s="135"/>
      <c r="N21" s="135"/>
      <c r="O21" s="135"/>
      <c r="P21" s="135"/>
      <c r="Q21" s="135"/>
      <c r="R21" s="135"/>
      <c r="S21" s="135"/>
      <c r="T21" s="135"/>
      <c r="U21" s="135"/>
      <c r="V21" s="135"/>
      <c r="W21" s="135"/>
      <c r="X21" s="135"/>
    </row>
    <row r="22" spans="1:24">
      <c r="A22" s="135"/>
      <c r="B22" s="135"/>
      <c r="C22" s="135"/>
      <c r="D22" s="135"/>
      <c r="E22" s="135"/>
      <c r="F22" s="135"/>
      <c r="G22" s="135"/>
      <c r="H22" s="135"/>
      <c r="I22" s="135"/>
      <c r="J22" s="135"/>
      <c r="K22" s="135"/>
      <c r="L22" s="135"/>
      <c r="M22" s="135"/>
      <c r="N22" s="135"/>
      <c r="O22" s="135"/>
      <c r="P22" s="135"/>
      <c r="Q22" s="135"/>
      <c r="R22" s="135"/>
      <c r="S22" s="135"/>
      <c r="T22" s="135"/>
      <c r="U22" s="135"/>
      <c r="V22" s="135"/>
      <c r="W22" s="135"/>
      <c r="X22" s="135"/>
    </row>
    <row r="23" spans="1:24">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row>
    <row r="24" spans="1:24">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row>
    <row r="25" spans="1:24">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row>
    <row r="26" spans="1:24">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row>
    <row r="27" spans="1:24">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row>
    <row r="28" spans="1:24">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row>
    <row r="29" spans="1:24">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row>
    <row r="30" spans="1:24">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row>
    <row r="31" spans="1:24">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row>
    <row r="32" spans="1:24">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row>
    <row r="33" spans="1:24">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row>
  </sheetData>
  <sheetProtection password="DD23" sheet="1"/>
  <mergeCells count="1">
    <mergeCell ref="B2:C2"/>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2.75"/>
  <sheetData/>
  <pageMargins left="0.7" right="0.7" top="0.75" bottom="0.75" header="0.3" footer="0.3"/>
  <pageSetup orientation="landscape"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6"/>
  </sheetPr>
  <dimension ref="A1:EF876"/>
  <sheetViews>
    <sheetView tabSelected="1" zoomScaleNormal="100" zoomScaleSheetLayoutView="90" workbookViewId="0">
      <selection activeCell="B7" sqref="B7"/>
    </sheetView>
  </sheetViews>
  <sheetFormatPr defaultColWidth="9.140625" defaultRowHeight="12.75" outlineLevelRow="1"/>
  <cols>
    <col min="1" max="1" width="28.28515625" style="62" customWidth="1"/>
    <col min="2" max="2" width="61.42578125" style="62" customWidth="1"/>
    <col min="3" max="3" width="46.5703125" style="62" customWidth="1"/>
    <col min="4" max="4" width="13.42578125" style="62" customWidth="1"/>
    <col min="5" max="5" width="67.140625" style="62" customWidth="1"/>
    <col min="6" max="6" width="48.42578125" style="62" customWidth="1"/>
    <col min="7" max="7" width="9.140625" style="77" customWidth="1"/>
    <col min="8" max="8" width="70" style="77" customWidth="1"/>
    <col min="9" max="136" width="9.140625" style="77"/>
    <col min="137" max="16384" width="9.140625" style="62"/>
  </cols>
  <sheetData>
    <row r="1" spans="1:136" ht="13.35" customHeight="1">
      <c r="A1" s="228" t="s">
        <v>1815</v>
      </c>
      <c r="B1" s="141"/>
      <c r="C1" s="141"/>
      <c r="D1" s="141"/>
      <c r="E1" s="141"/>
      <c r="F1" s="141"/>
    </row>
    <row r="2" spans="1:136" ht="20.100000000000001" customHeight="1">
      <c r="A2" s="229"/>
      <c r="B2" s="141"/>
      <c r="C2" s="141"/>
      <c r="D2" s="141"/>
      <c r="E2" s="141"/>
      <c r="F2" s="141"/>
    </row>
    <row r="3" spans="1:136">
      <c r="A3" s="230" t="s">
        <v>210</v>
      </c>
      <c r="B3" s="231"/>
      <c r="C3" s="231"/>
      <c r="D3" s="231"/>
      <c r="E3" s="231"/>
      <c r="F3" s="232"/>
    </row>
    <row r="4" spans="1:136">
      <c r="A4" s="142" t="s">
        <v>162</v>
      </c>
      <c r="B4" s="132" t="s">
        <v>1446</v>
      </c>
      <c r="C4" s="165" t="str">
        <f>IF(B4="","Please choose a Family","")</f>
        <v/>
      </c>
      <c r="D4" s="116"/>
      <c r="E4" s="113"/>
      <c r="F4" s="113"/>
    </row>
    <row r="5" spans="1:136">
      <c r="A5" s="142" t="s">
        <v>107</v>
      </c>
      <c r="B5" s="132" t="s">
        <v>1449</v>
      </c>
      <c r="C5" s="165" t="str">
        <f>IF(AND(B5="", B4&lt;&gt;""),"Please choose a Device","")</f>
        <v/>
      </c>
      <c r="D5" s="113"/>
      <c r="E5" s="113"/>
      <c r="F5" s="113"/>
    </row>
    <row r="6" spans="1:136">
      <c r="A6" s="142" t="s">
        <v>106</v>
      </c>
      <c r="B6" s="132" t="s">
        <v>1454</v>
      </c>
      <c r="C6" s="165" t="str">
        <f>IF(AND(B6="", B5&lt;&gt;""),"Please choose a Package…...Note: Package codes for lead-free (G and V) are not included.","")</f>
        <v/>
      </c>
      <c r="D6" s="113"/>
      <c r="E6" s="113"/>
      <c r="F6" s="113"/>
    </row>
    <row r="7" spans="1:136">
      <c r="A7" s="142" t="s">
        <v>209</v>
      </c>
      <c r="B7" s="132" t="s">
        <v>334</v>
      </c>
      <c r="C7" s="165" t="str">
        <f>IF(AND(B7="", B6&lt;&gt;""),"Please choose a Configuration Mode","")</f>
        <v/>
      </c>
      <c r="D7" s="113"/>
      <c r="E7" s="113"/>
      <c r="F7" s="113"/>
    </row>
    <row r="8" spans="1:136">
      <c r="A8" s="142" t="s">
        <v>46</v>
      </c>
      <c r="B8" s="132">
        <v>25</v>
      </c>
      <c r="C8" s="165" t="str">
        <f>IF(AND(B8="", B7&lt;&gt;""),"Please enter a Configuration Frequency","")</f>
        <v/>
      </c>
      <c r="D8" s="113"/>
      <c r="E8" s="113"/>
      <c r="F8" s="113"/>
    </row>
    <row r="9" spans="1:136">
      <c r="A9" s="142" t="s">
        <v>54</v>
      </c>
      <c r="B9" s="132" t="s">
        <v>1810</v>
      </c>
      <c r="C9" s="165" t="str">
        <f>IF(AND(B9="", B8&lt;&gt;""),"Please enter a Reference Designator (optional)","")</f>
        <v/>
      </c>
      <c r="D9" s="113"/>
      <c r="E9" s="113"/>
      <c r="F9" s="113"/>
    </row>
    <row r="10" spans="1:136">
      <c r="A10" s="113"/>
      <c r="B10" s="113"/>
      <c r="C10" s="113"/>
      <c r="D10" s="113"/>
      <c r="E10" s="113"/>
      <c r="F10" s="113"/>
    </row>
    <row r="11" spans="1:136">
      <c r="A11" s="230" t="s">
        <v>116</v>
      </c>
      <c r="B11" s="231"/>
      <c r="C11" s="231"/>
      <c r="D11" s="231"/>
      <c r="E11" s="231"/>
      <c r="F11" s="232"/>
      <c r="I11" s="79"/>
    </row>
    <row r="12" spans="1:136" outlineLevel="1">
      <c r="A12" s="113"/>
      <c r="B12" s="113"/>
      <c r="C12" s="113"/>
      <c r="D12" s="113"/>
      <c r="E12" s="113"/>
      <c r="F12" s="113"/>
    </row>
    <row r="13" spans="1:136" outlineLevel="1">
      <c r="A13" s="113"/>
      <c r="B13" s="113"/>
      <c r="C13" s="113"/>
      <c r="D13" s="113"/>
      <c r="E13" s="113"/>
      <c r="F13" s="113"/>
    </row>
    <row r="14" spans="1:136" outlineLevel="1">
      <c r="A14" s="119" t="s">
        <v>176</v>
      </c>
      <c r="B14" s="119" t="s">
        <v>157</v>
      </c>
      <c r="C14" s="119" t="s">
        <v>158</v>
      </c>
      <c r="D14" s="119" t="s">
        <v>159</v>
      </c>
      <c r="E14" s="119" t="s">
        <v>206</v>
      </c>
      <c r="F14" s="119" t="s">
        <v>68</v>
      </c>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row>
    <row r="15" spans="1:136" s="63" customFormat="1" ht="102" outlineLevel="1">
      <c r="A15" s="143" t="str">
        <f>Power!A2</f>
        <v>VCCINT</v>
      </c>
      <c r="B15" s="114" t="str">
        <f>IF(B4="",'Warning Messages'!B12,IF(B5="",'Warning Messages'!B13,IF('Spartan 7'!B6="",'Warning Messages'!B14,IF(IF(AND(B4&lt;&gt;"Artix-7",B4&lt;&gt;"Spartan-7",B5&lt;&gt;"7Z007S",B5&lt;&gt;"7Z012S",B5&lt;&gt;"7Z014S",B5&lt;&gt;"7Z010",B5&lt;&gt;"7Z020",B5&lt;&gt;"7Z030",B5&lt;&gt;"7Z035",B5&lt;&gt;"7Z045",B5&lt;&gt;"7Z100",B5&lt;&gt;"7Z015"),COUNTIF(Decap_KV,B5&amp;B6),COUNTIF(Decap_Artix,B5&amp;B6)),IF(AND(B4&lt;&gt;"Artix-7",B4&lt;&gt;"Spartan-7",B5&lt;&gt;"7Z007S",B5&lt;&gt;"7Z012S",B5&lt;&gt;"7Z014S",B5&lt;&gt;"7Z010",B5&lt;&gt;"7Z020",B5&lt;&gt;"7Z030",B5&lt;&gt;"7Z035",B5&lt;&gt;"7Z045",B5&lt;&gt;"7Z100",B5&lt;&gt;"7Z015"),"1.0V, "&amp;ROUND(VLOOKUP($B$5&amp;$B$6,Decap_KV,2,FALSE),0)&amp;" of "&amp;Decap!$D$2&amp;", "&amp;ROUND(VLOOKUP($B$5&amp;$B$6,Decap_KV,3,FALSE),0)&amp;" of "&amp;Decap!$E$2&amp;", "&amp;ROUND(VLOOKUP($B$5&amp;$B$6,Decap_KV,4,FALSE),0)&amp;" of "&amp;Decap!$F$2,"1.0V, "&amp;ROUND(VLOOKUP($B$5&amp;$B$6,Decap_Artix,2,FALSE),0)&amp;" of "&amp;Decap!$D$103&amp;", "&amp;ROUND(VLOOKUP($B$5&amp;$B$6,Decap_Artix,3,FALSE),0)&amp;" of "&amp;Decap!$E$103&amp;", "&amp;ROUND(VLOOKUP($B$5&amp;$B$6,Decap_Artix,4,FALSE),0)&amp;" of "&amp;Decap!$F$103&amp;","&amp;ROUND(VLOOKUP($B$5&amp;$B$6,Decap_Artix,5,FALSE),0)&amp;" of "&amp;Decap!$G$103&amp;", "&amp;ROUND(VLOOKUP($B$5&amp;$B$6,Decap_Artix,6,FALSE),0)&amp;" of "&amp;Decap!$H$103&amp;", "&amp;ROUND(VLOOKUP($B$5&amp;$B$6,Decap_Artix,7,FALSE),0)&amp;" of "&amp;Decap!$I$103),'Warning Messages'!B2))))</f>
        <v>1.0V, 0 of 680 uF, 0 of 330 uF, 1 of 100 uF,0 of 47 uF, 2 of 4.7 uF, 2 of 0.47 uF</v>
      </c>
      <c r="C15" s="159"/>
      <c r="D15" s="110"/>
      <c r="E15" s="115" t="str">
        <f>Power!C2</f>
        <v>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v>
      </c>
      <c r="F15" s="129"/>
      <c r="G15" s="83"/>
      <c r="H15" s="83"/>
      <c r="I15" s="83"/>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78"/>
      <c r="AW15" s="78"/>
      <c r="AX15" s="78"/>
      <c r="AY15" s="78"/>
      <c r="AZ15" s="78"/>
      <c r="BA15" s="78"/>
      <c r="BB15" s="78"/>
      <c r="BC15" s="78"/>
      <c r="BD15" s="78"/>
      <c r="BE15" s="78"/>
      <c r="BF15" s="78"/>
      <c r="BG15" s="78"/>
      <c r="BH15" s="78"/>
      <c r="BI15" s="78"/>
      <c r="BJ15" s="78"/>
      <c r="BK15" s="78"/>
      <c r="BL15" s="78"/>
      <c r="BM15" s="78"/>
      <c r="BN15" s="78"/>
      <c r="BO15" s="78"/>
      <c r="BP15" s="78"/>
      <c r="BQ15" s="78"/>
      <c r="BR15" s="78"/>
      <c r="BS15" s="78"/>
      <c r="BT15" s="78"/>
      <c r="BU15" s="78"/>
      <c r="BV15" s="78"/>
      <c r="BW15" s="78"/>
      <c r="BX15" s="78"/>
      <c r="BY15" s="78"/>
      <c r="BZ15" s="78"/>
      <c r="CA15" s="78"/>
      <c r="CB15" s="78"/>
      <c r="CC15" s="78"/>
      <c r="CD15" s="78"/>
      <c r="CE15" s="78"/>
      <c r="CF15" s="78"/>
      <c r="CG15" s="78"/>
      <c r="CH15" s="78"/>
      <c r="CI15" s="78"/>
      <c r="CJ15" s="78"/>
      <c r="CK15" s="78"/>
      <c r="CL15" s="78"/>
      <c r="CM15" s="78"/>
      <c r="CN15" s="78"/>
      <c r="CO15" s="78"/>
      <c r="CP15" s="78"/>
      <c r="CQ15" s="78"/>
      <c r="CR15" s="78"/>
      <c r="CS15" s="78"/>
      <c r="CT15" s="78"/>
      <c r="CU15" s="78"/>
      <c r="CV15" s="78"/>
      <c r="CW15" s="78"/>
      <c r="CX15" s="78"/>
      <c r="CY15" s="78"/>
      <c r="CZ15" s="78"/>
      <c r="DA15" s="78"/>
      <c r="DB15" s="78"/>
      <c r="DC15" s="78"/>
      <c r="DD15" s="78"/>
      <c r="DE15" s="78"/>
      <c r="DF15" s="78"/>
      <c r="DG15" s="78"/>
      <c r="DH15" s="78"/>
      <c r="DI15" s="78"/>
      <c r="DJ15" s="78"/>
      <c r="DK15" s="78"/>
      <c r="DL15" s="78"/>
      <c r="DM15" s="78"/>
      <c r="DN15" s="78"/>
      <c r="DO15" s="78"/>
      <c r="DP15" s="78"/>
      <c r="DQ15" s="78"/>
      <c r="DR15" s="78"/>
      <c r="DS15" s="78"/>
      <c r="DT15" s="78"/>
      <c r="DU15" s="78"/>
      <c r="DV15" s="78"/>
      <c r="DW15" s="78"/>
      <c r="DX15" s="78"/>
      <c r="DY15" s="78"/>
      <c r="DZ15" s="78"/>
      <c r="EA15" s="78"/>
      <c r="EB15" s="78"/>
      <c r="EC15" s="78"/>
      <c r="ED15" s="78"/>
      <c r="EE15" s="78"/>
      <c r="EF15" s="78"/>
    </row>
    <row r="16" spans="1:136" s="63" customFormat="1" ht="102" outlineLevel="1">
      <c r="A16" s="144" t="str">
        <f>Power!A3</f>
        <v>VCCBRAM</v>
      </c>
      <c r="B16"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1.0V, "&amp;ROUND(VLOOKUP($B$5&amp;$B$6,Decap_KV,5,FALSE),0) &amp; " of " &amp; Decap!$G$2 &amp; ", " &amp; ROUND(VLOOKUP($B$5&amp;$B$6,Decap_KV,6,FALSE),0) &amp; " of " &amp;Decap!$H$2&amp; ", " &amp;ROUND(VLOOKUP($B$5&amp;$B$6,Decap_KV,7,FALSE),0) &amp; " of " &amp; Decap!$I$2 &amp; " , " &amp;ROUND(VLOOKUP($B$5&amp;$B$6,Decap_KV,8,FALSE),0) &amp; " of " &amp; Decap!$J$2,"1.0V, "&amp;ROUND(VLOOKUP($B$5&amp;$B$6,Decap_Artix,8,FALSE),0) &amp; " of " &amp; Decap!$J$103 &amp; ", " &amp; ROUND(VLOOKUP($B$5&amp;$B$6,Decap_Artix,9,FALSE),0) &amp; " of " &amp;Decap!$K$103&amp; ", " &amp;ROUND(VLOOKUP($B$5&amp;$B$6,Decap_Artix,10,FALSE),0) &amp; " of " &amp; Decap!$L$103 &amp; " , " &amp;ROUND(VLOOKUP($B$5&amp;$B$6,Decap_Artix,11,FALSE),0) &amp; " of " &amp; Decap!$M$103),'Warning Messages'!B2))))</f>
        <v>1.0V, 0 of 100 uF, 1 of 47 uF, 1 of 4.7 uF , 1 of 0.47 uF</v>
      </c>
      <c r="C16" s="160"/>
      <c r="D16" s="111"/>
      <c r="E16" s="94" t="str">
        <f>Power!C3</f>
        <v>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v>
      </c>
      <c r="F16" s="112"/>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78"/>
      <c r="AW16" s="78"/>
      <c r="AX16" s="78"/>
      <c r="AY16" s="78"/>
      <c r="AZ16" s="78"/>
      <c r="BA16" s="78"/>
      <c r="BB16" s="78"/>
      <c r="BC16" s="78"/>
      <c r="BD16" s="78"/>
      <c r="BE16" s="78"/>
      <c r="BF16" s="78"/>
      <c r="BG16" s="78"/>
      <c r="BH16" s="78"/>
      <c r="BI16" s="78"/>
      <c r="BJ16" s="78"/>
      <c r="BK16" s="78"/>
      <c r="BL16" s="78"/>
      <c r="BM16" s="78"/>
      <c r="BN16" s="78"/>
      <c r="BO16" s="78"/>
      <c r="BP16" s="78"/>
      <c r="BQ16" s="78"/>
      <c r="BR16" s="78"/>
      <c r="BS16" s="78"/>
      <c r="BT16" s="78"/>
      <c r="BU16" s="78"/>
      <c r="BV16" s="78"/>
      <c r="BW16" s="78"/>
      <c r="BX16" s="78"/>
      <c r="BY16" s="78"/>
      <c r="BZ16" s="78"/>
      <c r="CA16" s="78"/>
      <c r="CB16" s="78"/>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c r="DA16" s="78"/>
      <c r="DB16" s="78"/>
      <c r="DC16" s="78"/>
      <c r="DD16" s="78"/>
      <c r="DE16" s="78"/>
      <c r="DF16" s="78"/>
      <c r="DG16" s="78"/>
      <c r="DH16" s="78"/>
      <c r="DI16" s="78"/>
      <c r="DJ16" s="78"/>
      <c r="DK16" s="78"/>
      <c r="DL16" s="78"/>
      <c r="DM16" s="78"/>
      <c r="DN16" s="78"/>
      <c r="DO16" s="78"/>
      <c r="DP16" s="78"/>
      <c r="DQ16" s="78"/>
      <c r="DR16" s="78"/>
      <c r="DS16" s="78"/>
      <c r="DT16" s="78"/>
      <c r="DU16" s="78"/>
      <c r="DV16" s="78"/>
      <c r="DW16" s="78"/>
      <c r="DX16" s="78"/>
      <c r="DY16" s="78"/>
      <c r="DZ16" s="78"/>
      <c r="EA16" s="78"/>
      <c r="EB16" s="78"/>
      <c r="EC16" s="78"/>
      <c r="ED16" s="78"/>
      <c r="EE16" s="78"/>
      <c r="EF16" s="78"/>
    </row>
    <row r="17" spans="1:136" s="63" customFormat="1" outlineLevel="1">
      <c r="A17" s="144" t="str">
        <f>Power!A4</f>
        <v>VCCAUX</v>
      </c>
      <c r="B17"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1.8V, "&amp;ROUND(VLOOKUP($B$5&amp;$B$6,Decap_KV,9,FALSE),0)&amp;" of "&amp;Decap!$K$2&amp;", "&amp;ROUND(VLOOKUP($B$5&amp;$B$6,Decap_KV,10,FALSE),0)&amp;" of "&amp;Decap!$L$2,"1.8V, "&amp;ROUND(VLOOKUP($B$5&amp;$B$6,Decap_Artix,12,FALSE),0)&amp;" of "&amp;Decap!$N$103&amp;", "&amp;ROUND(VLOOKUP($B$5&amp;$B$6,Decap_Artix,13,FALSE),0)&amp;" of "&amp;Decap!$O$103&amp;", "&amp;ROUND(VLOOKUP($B$5&amp;$B$6,Decap_Artix,14,FALSE),0)&amp;" of "&amp;Decap!$P$103),'Warning Messages'!B2))))</f>
        <v>1.8V, 1 of 47 uF, 1 of 4.7 uF, 2 of 0.47 uF</v>
      </c>
      <c r="C17" s="112"/>
      <c r="D17" s="111"/>
      <c r="E17" s="94"/>
      <c r="F17" s="112"/>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78"/>
      <c r="AW17" s="78"/>
      <c r="AX17" s="78"/>
      <c r="AY17" s="78"/>
      <c r="AZ17" s="78"/>
      <c r="BA17" s="78"/>
      <c r="BB17" s="78"/>
      <c r="BC17" s="78"/>
      <c r="BD17" s="78"/>
      <c r="BE17" s="78"/>
      <c r="BF17" s="78"/>
      <c r="BG17" s="78"/>
      <c r="BH17" s="78"/>
      <c r="BI17" s="78"/>
      <c r="BJ17" s="78"/>
      <c r="BK17" s="78"/>
      <c r="BL17" s="78"/>
      <c r="BM17" s="78"/>
      <c r="BN17" s="78"/>
      <c r="BO17" s="78"/>
      <c r="BP17" s="78"/>
      <c r="BQ17" s="78"/>
      <c r="BR17" s="78"/>
      <c r="BS17" s="78"/>
      <c r="BT17" s="78"/>
      <c r="BU17" s="78"/>
      <c r="BV17" s="78"/>
      <c r="BW17" s="78"/>
      <c r="BX17" s="78"/>
      <c r="BY17" s="78"/>
      <c r="BZ17" s="78"/>
      <c r="CA17" s="78"/>
      <c r="CB17" s="78"/>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c r="DA17" s="78"/>
      <c r="DB17" s="78"/>
      <c r="DC17" s="78"/>
      <c r="DD17" s="78"/>
      <c r="DE17" s="78"/>
      <c r="DF17" s="78"/>
      <c r="DG17" s="78"/>
      <c r="DH17" s="78"/>
      <c r="DI17" s="78"/>
      <c r="DJ17" s="78"/>
      <c r="DK17" s="78"/>
      <c r="DL17" s="78"/>
      <c r="DM17" s="78"/>
      <c r="DN17" s="78"/>
      <c r="DO17" s="78"/>
      <c r="DP17" s="78"/>
      <c r="DQ17" s="78"/>
      <c r="DR17" s="78"/>
      <c r="DS17" s="78"/>
      <c r="DT17" s="78"/>
      <c r="DU17" s="78"/>
      <c r="DV17" s="78"/>
      <c r="DW17" s="78"/>
      <c r="DX17" s="78"/>
      <c r="DY17" s="78"/>
      <c r="DZ17" s="78"/>
      <c r="EA17" s="78"/>
      <c r="EB17" s="78"/>
      <c r="EC17" s="78"/>
      <c r="ED17" s="78"/>
      <c r="EE17" s="78"/>
      <c r="EF17" s="78"/>
    </row>
    <row r="18" spans="1:136" s="63" customFormat="1" ht="51" outlineLevel="1">
      <c r="A18" s="144" t="str">
        <f>Power!A5</f>
        <v>VCCAUX_IO_G#</v>
      </c>
      <c r="B18" s="92" t="str">
        <f>IF(B4="",'Warning Messages'!B12,IF(B5="",'Warning Messages'!B13,IF(B6="",'Warning Messages'!B14,IF(IF(AND(B4&lt;&gt;"Artix-7",B4&lt;&gt;"Spartan-7",B5&lt;&gt;"7Z007S",B5&lt;&gt;"7Z012S",B5&lt;&gt;"7Z014S",B5&lt;&gt;"7Z010",B5&lt;&gt;"7Z015",B5&lt;&gt;"7Z020"),COUNTIF(Decap_KV,B5&amp;B6),0),IF(VLOOKUP($B$5&amp;$B$6,Decap_KV,11,FALSE)="N/A",'Warning Messages'!B18,IF(AND(B4&lt;&gt;"Artix-7",B4&lt;&gt;"Spartan-7",B5&lt;&gt;"7Z007S",B5&lt;&gt;"7Z012S",B5&lt;&gt;"7Z014S",B5&lt;&gt;"7Z010",B5&lt;&gt;"7Z015",B5&lt;&gt;"7Z020"),"1.8V/2.0V, "&amp;ROUND(VLOOKUP($B$5&amp;$B$6,Decap_KV,11,FALSE),0) &amp; " of " &amp; Decap!$M$2 &amp; ", " &amp; ROUND(VLOOKUP($B$5&amp;$B$6,Decap_KV,12,FALSE),0) &amp; " of " &amp;Decap!$N$2&amp; ", " &amp;ROUND(VLOOKUP($B$5&amp;$B$6,Decap_KV,13,FALSE),0) &amp; " of " &amp; Decap!$O$2 &amp; " per group",'Warning Messages'!B18)),IF(OR(B4="Artix-7",B4&lt;&gt;"Spartan-7",B5&lt;&gt;"7Z007S",B5&lt;&gt;"7Z012S",B5&lt;&gt;"7Z014S",B5="7Z010",B5&lt;&gt;"7Z015",B5="7Z020"),'Warning Messages'!B18,'Warning Messages'!B2)))))</f>
        <v>Does not apply to selected family or device.</v>
      </c>
      <c r="C18" s="112"/>
      <c r="D18" s="111"/>
      <c r="E18" s="94" t="str">
        <f>IF(AND(B4&lt;&gt;"Artix-7",B5&lt;&gt;"7Z010",B5&lt;&gt;"7Z020"),IF(MID(B6,1,2) = "FB",'Warning Messages'!B5,Power!C5),"")</f>
        <v>Supply must be run at 2.0V for high-speed memory applications, but only has a ±3% tolerance. See UG586 "Design Guidelines" and family specific data sheet for voltage tolerances. Also see UG471 for more info on VCCAUX_IO grouping.</v>
      </c>
      <c r="F18" s="112"/>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78"/>
      <c r="AW18" s="78"/>
      <c r="AX18" s="78"/>
      <c r="AY18" s="78"/>
      <c r="AZ18" s="78"/>
      <c r="BA18" s="78"/>
      <c r="BB18" s="78"/>
      <c r="BC18" s="78"/>
      <c r="BD18" s="78"/>
      <c r="BE18" s="78"/>
      <c r="BF18" s="78"/>
      <c r="BG18" s="78"/>
      <c r="BH18" s="78"/>
      <c r="BI18" s="78"/>
      <c r="BJ18" s="78"/>
      <c r="BK18" s="78"/>
      <c r="BL18" s="78"/>
      <c r="BM18" s="78"/>
      <c r="BN18" s="78"/>
      <c r="BO18" s="78"/>
      <c r="BP18" s="78"/>
      <c r="BQ18" s="78"/>
      <c r="BR18" s="78"/>
      <c r="BS18" s="78"/>
      <c r="BT18" s="78"/>
      <c r="BU18" s="78"/>
      <c r="BV18" s="78"/>
      <c r="BW18" s="78"/>
      <c r="BX18" s="78"/>
      <c r="BY18" s="78"/>
      <c r="BZ18" s="78"/>
      <c r="CA18" s="78"/>
      <c r="CB18" s="78"/>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c r="DA18" s="78"/>
      <c r="DB18" s="78"/>
      <c r="DC18" s="78"/>
      <c r="DD18" s="78"/>
      <c r="DE18" s="78"/>
      <c r="DF18" s="78"/>
      <c r="DG18" s="78"/>
      <c r="DH18" s="78"/>
      <c r="DI18" s="78"/>
      <c r="DJ18" s="78"/>
      <c r="DK18" s="78"/>
      <c r="DL18" s="78"/>
      <c r="DM18" s="78"/>
      <c r="DN18" s="78"/>
      <c r="DO18" s="78"/>
      <c r="DP18" s="78"/>
      <c r="DQ18" s="78"/>
      <c r="DR18" s="78"/>
      <c r="DS18" s="78"/>
      <c r="DT18" s="78"/>
      <c r="DU18" s="78"/>
      <c r="DV18" s="78"/>
      <c r="DW18" s="78"/>
      <c r="DX18" s="78"/>
      <c r="DY18" s="78"/>
      <c r="DZ18" s="78"/>
      <c r="EA18" s="78"/>
      <c r="EB18" s="78"/>
      <c r="EC18" s="78"/>
      <c r="ED18" s="78"/>
      <c r="EE18" s="78"/>
      <c r="EF18" s="78"/>
    </row>
    <row r="19" spans="1:136" s="63" customFormat="1" ht="102" outlineLevel="1">
      <c r="A19" s="148" t="str">
        <f>Power!A7</f>
        <v>VCCO Bank 0</v>
      </c>
      <c r="B19" s="93"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1.5V - 3.3V (1.5V - 1.8V for Virtex-7 except in JTAG(only) mode)"&amp;", " &amp;ROUND(VLOOKUP($B$5&amp;$B$6,Decap_KV,15,FALSE),0) &amp; " of " &amp; Decap!$Q$2,"1.5V - 3.3V"&amp;", " &amp;ROUND(VLOOKUP($B$5&amp;$B$6,Decap_Artix,18,FALSE),0) &amp; " of " &amp; Decap!$T$103),'Warning Messages'!B2))))</f>
        <v>1.5V - 3.3V, 1 of 47uF</v>
      </c>
      <c r="C19" s="177"/>
      <c r="D19" s="175"/>
      <c r="E19" s="93" t="str">
        <f>IF(COUNTIF(Config_lookup,B7),VLOOKUP($B$7,Config_lookup,31,FALSE),'Warning Messages'!B9)</f>
        <v>VCCO_0 supports 1.5V - 3.3V, except Virtex-7 HT FPGAs support only VCCO_0=1.8V. 
Make sure that the VCCO_0 matches the voltage level of the JTAG and serial configuration signals.
Ensure CFGBVS pin connection is compatible with VCCO_0 voltage.
See the "Configuration Banks Voltage Select" section of UG470, 7 Series FPGAs Configuration User Guide for more information.</v>
      </c>
      <c r="F19" s="176"/>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78"/>
      <c r="DB19" s="78"/>
      <c r="DC19" s="78"/>
      <c r="DD19" s="78"/>
      <c r="DE19" s="78"/>
      <c r="DF19" s="78"/>
      <c r="DG19" s="78"/>
      <c r="DH19" s="78"/>
      <c r="DI19" s="78"/>
      <c r="DJ19" s="78"/>
      <c r="DK19" s="78"/>
      <c r="DL19" s="78"/>
      <c r="DM19" s="78"/>
      <c r="DN19" s="78"/>
      <c r="DO19" s="78"/>
      <c r="DP19" s="78"/>
      <c r="DQ19" s="78"/>
      <c r="DR19" s="78"/>
      <c r="DS19" s="78"/>
      <c r="DT19" s="78"/>
      <c r="DU19" s="78"/>
      <c r="DV19" s="78"/>
      <c r="DW19" s="78"/>
      <c r="DX19" s="78"/>
      <c r="DY19" s="78"/>
      <c r="DZ19" s="78"/>
      <c r="EA19" s="78"/>
      <c r="EB19" s="78"/>
      <c r="EC19" s="78"/>
      <c r="ED19" s="78"/>
      <c r="EE19" s="78"/>
      <c r="EF19" s="78"/>
    </row>
    <row r="20" spans="1:136" s="63" customFormat="1" ht="102" outlineLevel="1">
      <c r="A20" s="144" t="str">
        <f>Power!A8</f>
        <v>VCCO Bank 14</v>
      </c>
      <c r="B20"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3,FALSE) = "HR","1.2V - 3.3V", "1.2V - 1.8V")&amp;", " &amp;ROUND(VLOOKUP($B$5&amp;$B$6,Decap_KV,14,FALSE),0) &amp; " of " &amp; Decap!$P$2 &amp; " (can be shared by up to 4 banks when powered by the same voltage)",IF(VLOOKUP($B$5&amp;$B$6,IO_Type_Lookup,3,FALSE)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1.2V - 3.3V, 1 of 47 uF or 100 uF (can be shared by up to 4 banks when powered by the same voltage), 2 of 4.7 uF, 4 of 0.47 uF</v>
      </c>
      <c r="C20" s="112"/>
      <c r="D20" s="111"/>
      <c r="E20" s="92" t="str">
        <f>IF(COUNTIF(Config_lookup,B7),VLOOKUP($B$7,Config_lookup,32,FALSE),'Warning Messages'!B9)</f>
        <v>Recommend VCCO_14, VCCO_0, JTAG signals, and serial signals are the same voltage level. See UG470, 7-Series FPGAs Configuration User Guide,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v>
      </c>
      <c r="F20" s="112"/>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78"/>
      <c r="AW20" s="78"/>
      <c r="AX20" s="78"/>
      <c r="AY20" s="78"/>
      <c r="AZ20" s="78"/>
      <c r="BA20" s="7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78"/>
      <c r="DB20" s="78"/>
      <c r="DC20" s="78"/>
      <c r="DD20" s="78"/>
      <c r="DE20" s="78"/>
      <c r="DF20" s="78"/>
      <c r="DG20" s="78"/>
      <c r="DH20" s="78"/>
      <c r="DI20" s="78"/>
      <c r="DJ20" s="78"/>
      <c r="DK20" s="78"/>
      <c r="DL20" s="78"/>
      <c r="DM20" s="78"/>
      <c r="DN20" s="78"/>
      <c r="DO20" s="78"/>
      <c r="DP20" s="78"/>
      <c r="DQ20" s="78"/>
      <c r="DR20" s="78"/>
      <c r="DS20" s="78"/>
      <c r="DT20" s="78"/>
      <c r="DU20" s="78"/>
      <c r="DV20" s="78"/>
      <c r="DW20" s="78"/>
      <c r="DX20" s="78"/>
      <c r="DY20" s="78"/>
      <c r="DZ20" s="78"/>
      <c r="EA20" s="78"/>
      <c r="EB20" s="78"/>
      <c r="EC20" s="78"/>
      <c r="ED20" s="78"/>
      <c r="EE20" s="78"/>
      <c r="EF20" s="78"/>
    </row>
    <row r="21" spans="1:136" s="63" customFormat="1" ht="25.5" outlineLevel="1">
      <c r="A21" s="144" t="str">
        <f>Power!A9</f>
        <v>VCCO Bank 15</v>
      </c>
      <c r="B21"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4,FALSE) = "HR","1.2V - 3.3V", "1.2V - 1.8V")&amp;", " &amp;ROUND(VLOOKUP($B$5&amp;$B$6,Decap_KV,14,FALSE),0) &amp; " of " &amp; Decap!$P$2 &amp; " (can be shared by up to 4 banks when powered by the same voltage)",IF(VLOOKUP($B$5&amp;$B$6,IO_Type_Lookup,4,FALSE)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1.2V - 3.3V, 1 of 47 uF or 100 uF (can be shared by up to 4 banks when powered by the same voltage), 2 of 4.7 uF, 4 of 0.47 uF</v>
      </c>
      <c r="C21" s="112"/>
      <c r="D21" s="111"/>
      <c r="E21" s="92" t="str">
        <f>IF(COUNTIF(Config_lookup,B7),VLOOKUP($B$7,Config_lookup,33,FALSE),'Warning Messages'!B9)</f>
        <v xml:space="preserve"> </v>
      </c>
      <c r="F21" s="112"/>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row>
    <row r="22" spans="1:136" s="63" customFormat="1" ht="102" outlineLevel="1">
      <c r="A22" s="145" t="str">
        <f>IF(B5="",'Warning Messages'!B13,IF(B6="",'Warning Messages'!B14,IF(COUNTIF(IO_Type_Lookup,B5&amp;B6),"HR banks " &amp; VLOOKUP(B5&amp;B6,IO_Type!C3:J126,5,FALSE),'Warning Messages'!B3)))</f>
        <v>HR banks 14,34</v>
      </c>
      <c r="B22" s="92" t="str">
        <f>IF(B4="",'Warning Messages'!B12,IF(B5="",'Warning Messages'!B13,IF(B6="",'Warning Messages'!B14,IF(MID(A22,LEN(A22)-2,3)="N/A","",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1.2V - 3.3V"&amp;", " &amp;ROUND(VLOOKUP($B$5&amp;$B$6,Decap!C3:Q100,14,FALSE),0) &amp; " of " &amp; Decap!$P$2 &amp; " per 4 banks (when powered by the same voltage)","1.2V - 3.3"&amp;", " &amp; ROUND(VLOOKUP($B$5&amp;$B$6,Decap_Artix,15,FALSE),0) &amp; " of " &amp; Decap!$Q$103 &amp; " per 4 banks (when powered by the same voltage) and " &amp; ROUND(VLOOKUP($B$5&amp;$B$6,Decap_Artix,16,FALSE),0) &amp; " of " &amp;Decap!$R$103&amp; ", " &amp;ROUND(VLOOKUP($B$5&amp;$B$6,Decap_Artix,17,FALSE),0) &amp; " of " &amp; Decap!$S$103 &amp; " per bank"),'Warning Messages'!B2)))))</f>
        <v>1.2V - 3.3, 1 of 47 uF or 100 uF per 4 banks (when powered by the same voltage) and 2 of 4.7 uF, 4 of 0.47 uF per bank</v>
      </c>
      <c r="C22" s="112"/>
      <c r="D22" s="111"/>
      <c r="E22" s="94" t="str">
        <f>IF(B5="7VX330T", IF(B6="FFG1761", 'Warning Messages'!B7 &amp;Power!C10,Power!C10),Power!C10)</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2" s="112"/>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78"/>
      <c r="DB22" s="78"/>
      <c r="DC22" s="78"/>
      <c r="DD22" s="78"/>
      <c r="DE22" s="78"/>
      <c r="DF22" s="78"/>
      <c r="DG22" s="78"/>
      <c r="DH22" s="78"/>
      <c r="DI22" s="78"/>
      <c r="DJ22" s="78"/>
      <c r="DK22" s="78"/>
      <c r="DL22" s="78"/>
      <c r="DM22" s="78"/>
      <c r="DN22" s="78"/>
      <c r="DO22" s="78"/>
      <c r="DP22" s="78"/>
      <c r="DQ22" s="78"/>
      <c r="DR22" s="78"/>
      <c r="DS22" s="78"/>
      <c r="DT22" s="78"/>
      <c r="DU22" s="78"/>
      <c r="DV22" s="78"/>
      <c r="DW22" s="78"/>
      <c r="DX22" s="78"/>
      <c r="DY22" s="78"/>
      <c r="DZ22" s="78"/>
      <c r="EA22" s="78"/>
      <c r="EB22" s="78"/>
      <c r="EC22" s="78"/>
      <c r="ED22" s="78"/>
      <c r="EE22" s="78"/>
      <c r="EF22" s="78"/>
    </row>
    <row r="23" spans="1:136" s="63" customFormat="1" ht="102" outlineLevel="1">
      <c r="A23" s="145" t="str">
        <f>IF(B5="",'Warning Messages'!B13,IF(B6="",'Warning Messages'!B14,IF(COUNTIF(IO_Type_Lookup,B5&amp;B6),"HP banks " &amp;VLOOKUP(B5&amp;B6,IO_Type!C3:M126,6,FALSE)&amp;" ("&amp;VLOOKUP(B5&amp;B6,IO_Type!C3:M126,11,FALSE)&amp;" VCCAUX_IO groups)",'Warning Messages'!B3)))</f>
        <v>HP banks N/A (No VCCAUX_IO groups)</v>
      </c>
      <c r="B23" s="92" t="str">
        <f>IF(B4="",'Warning Messages'!B12,IF(B5="",'Warning Messages'!B13,IF(B6="",'Warning Messages'!B14,IF(MID(A23,LEN(A23)-2,3)="N/A","",IF(AND(B4&lt;&gt;"Artix-7",B4&lt;&gt;"Spartan-7",B5&lt;&gt;"7Z007S",B5&lt;&gt;"7Z012S",B5&lt;&gt;"7Z014S",B5&lt;&gt;"7Z010",B5&lt;&gt;"7Z015",B5&lt;&gt;"7Z020",B5&lt;&gt;"7Z030",B5&lt;&gt;"7Z035",B5&lt;&gt;"7Z045",B5&lt;&gt;"7Z100"),IF(COUNTIF(Decap_KV,B5&amp;B6),"1.2V - 1.8V"&amp;", "&amp;ROUND(VLOOKUP($B$5&amp;$B$6,Decap_KV,14,FALSE),0)&amp;" of "&amp;Decap!$P$2 &amp; " per 4 banks (when powered by the same voltage)",'Warning Messages'!B2),IF(AND(B4&lt;&gt;"Artix-7",B4&lt;&gt;"Spartan-7",B5&lt;&gt;"7Z007S",B5&lt;&gt;"7Z012S",B5&lt;&gt;"7Z014S",B5&lt;&gt;"7Z010",B5&lt;&gt;"7Z015",B5&lt;&gt;"7Z020"),"1.2V - 1.8"&amp;", " &amp; ROUND(VLOOKUP($B$5&amp;$B$6,Decap_Artix,15,FALSE),0) &amp; " of " &amp; Decap!$Q$103 &amp; " per 4 banks (when powered by the same voltage) and " &amp; ROUND(VLOOKUP($B$5&amp;$B$6,Decap_Artix,16,FALSE),0) &amp; " of " &amp;Decap!$R$103&amp; ", " &amp;ROUND(VLOOKUP($B$5&amp;$B$6,Decap_Artix,17,FALSE),0) &amp; " of " &amp; Decap!$S$103 &amp; " per bank", 'Warning Messages'!B6))))))</f>
        <v>There are no HP banks in this device.</v>
      </c>
      <c r="C23" s="112"/>
      <c r="D23" s="111"/>
      <c r="E23" s="92" t="str">
        <f>IF(B6="",'Warning Messages'!B14,IF(MID(B6,4,LEN(B6)-3)="1761",'Warning Messages'!B8&amp;Power!C11,Power!C11))</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3" s="112"/>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78"/>
      <c r="DB23" s="78"/>
      <c r="DC23" s="78"/>
      <c r="DD23" s="78"/>
      <c r="DE23" s="78"/>
      <c r="DF23" s="78"/>
      <c r="DG23" s="78"/>
      <c r="DH23" s="78"/>
      <c r="DI23" s="78"/>
      <c r="DJ23" s="78"/>
      <c r="DK23" s="78"/>
      <c r="DL23" s="78"/>
      <c r="DM23" s="78"/>
      <c r="DN23" s="78"/>
      <c r="DO23" s="78"/>
      <c r="DP23" s="78"/>
      <c r="DQ23" s="78"/>
      <c r="DR23" s="78"/>
      <c r="DS23" s="78"/>
      <c r="DT23" s="78"/>
      <c r="DU23" s="78"/>
      <c r="DV23" s="78"/>
      <c r="DW23" s="78"/>
      <c r="DX23" s="78"/>
      <c r="DY23" s="78"/>
      <c r="DZ23" s="78"/>
      <c r="EA23" s="78"/>
      <c r="EB23" s="78"/>
      <c r="EC23" s="78"/>
      <c r="ED23" s="78"/>
      <c r="EE23" s="78"/>
      <c r="EF23" s="78"/>
    </row>
    <row r="24" spans="1:136" s="63" customFormat="1" ht="63.75" outlineLevel="1">
      <c r="A24" s="144" t="str">
        <f>Power!A12</f>
        <v>VREF</v>
      </c>
      <c r="B24" s="94" t="str">
        <f>Power!B12</f>
        <v>Connect to the appropriate voltage if the input standard requires a reference voltage.
VREF supply stabilization requires one capacitor per pin; values are in the 0.022 µF—0.47 µF range. If internal VREF is used no capacitor is required and the pin can be used as I/O.</v>
      </c>
      <c r="C24" s="112"/>
      <c r="D24" s="111"/>
      <c r="E24" s="94"/>
      <c r="F24" s="112"/>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c r="CW24" s="78"/>
      <c r="CX24" s="78"/>
      <c r="CY24" s="78"/>
      <c r="CZ24" s="78"/>
      <c r="DA24" s="78"/>
      <c r="DB24" s="78"/>
      <c r="DC24" s="78"/>
      <c r="DD24" s="78"/>
      <c r="DE24" s="78"/>
      <c r="DF24" s="78"/>
      <c r="DG24" s="78"/>
      <c r="DH24" s="78"/>
      <c r="DI24" s="78"/>
      <c r="DJ24" s="78"/>
      <c r="DK24" s="78"/>
      <c r="DL24" s="78"/>
      <c r="DM24" s="78"/>
      <c r="DN24" s="78"/>
      <c r="DO24" s="78"/>
      <c r="DP24" s="78"/>
      <c r="DQ24" s="78"/>
      <c r="DR24" s="78"/>
      <c r="DS24" s="78"/>
      <c r="DT24" s="78"/>
      <c r="DU24" s="78"/>
      <c r="DV24" s="78"/>
      <c r="DW24" s="78"/>
      <c r="DX24" s="78"/>
      <c r="DY24" s="78"/>
      <c r="DZ24" s="78"/>
      <c r="EA24" s="78"/>
      <c r="EB24" s="78"/>
      <c r="EC24" s="78"/>
      <c r="ED24" s="78"/>
      <c r="EE24" s="78"/>
      <c r="EF24" s="78"/>
    </row>
    <row r="25" spans="1:136" s="63" customFormat="1" hidden="1" outlineLevel="1">
      <c r="A25" s="144" t="str">
        <f>Power!A13</f>
        <v>RSVDGND</v>
      </c>
      <c r="B25" s="94" t="str">
        <f>Power!B13</f>
        <v>Connect to ground</v>
      </c>
      <c r="C25" s="112"/>
      <c r="D25" s="111"/>
      <c r="E25" s="94"/>
      <c r="F25" s="112"/>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c r="CW25" s="78"/>
      <c r="CX25" s="78"/>
      <c r="CY25" s="78"/>
      <c r="CZ25" s="78"/>
      <c r="DA25" s="78"/>
      <c r="DB25" s="78"/>
      <c r="DC25" s="78"/>
      <c r="DD25" s="78"/>
      <c r="DE25" s="78"/>
      <c r="DF25" s="78"/>
      <c r="DG25" s="78"/>
      <c r="DH25" s="78"/>
      <c r="DI25" s="78"/>
      <c r="DJ25" s="78"/>
      <c r="DK25" s="78"/>
      <c r="DL25" s="78"/>
      <c r="DM25" s="78"/>
      <c r="DN25" s="78"/>
      <c r="DO25" s="78"/>
      <c r="DP25" s="78"/>
      <c r="DQ25" s="78"/>
      <c r="DR25" s="78"/>
      <c r="DS25" s="78"/>
      <c r="DT25" s="78"/>
      <c r="DU25" s="78"/>
      <c r="DV25" s="78"/>
      <c r="DW25" s="78"/>
      <c r="DX25" s="78"/>
      <c r="DY25" s="78"/>
      <c r="DZ25" s="78"/>
      <c r="EA25" s="78"/>
      <c r="EB25" s="78"/>
      <c r="EC25" s="78"/>
      <c r="ED25" s="78"/>
      <c r="EE25" s="78"/>
      <c r="EF25" s="78"/>
    </row>
    <row r="26" spans="1:136" s="63" customFormat="1" ht="25.5" outlineLevel="1">
      <c r="A26" s="144" t="str">
        <f>Power!A14</f>
        <v>Device Migration</v>
      </c>
      <c r="B26" s="92" t="str">
        <f>IF(B5="",'Warning Messages'!B13,IF(B6="",'Warning Messages'!B14,IF(COUNTIF(Migration_table,B5&amp;B6),VLOOKUP(B5&amp;B6,Migration_table,2,FALSE)&amp;","&amp;VLOOKUP(B5&amp;B6,Migration_table,3,FALSE)&amp;","&amp;VLOOKUP(B5&amp;B6,Migration_table,4,FALSE)&amp;","&amp;VLOOKUP(B5&amp;B6,Migration_table,5,FALSE)&amp;","&amp;VLOOKUP(B5&amp;B6,Migration_table,6,FALSE)&amp;","&amp;VLOOKUP(B5&amp;B6,Migration_table,7,FALSE),'Warning Messages'!B3)))</f>
        <v>7S6-CPGA196,,,,,</v>
      </c>
      <c r="C26" s="112"/>
      <c r="D26" s="111"/>
      <c r="E26" s="94" t="str">
        <f>Power!C14</f>
        <v>These are the devices that are pin compatible with the device that was chosen.</v>
      </c>
      <c r="F26" s="112"/>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c r="CW26" s="78"/>
      <c r="CX26" s="78"/>
      <c r="CY26" s="78"/>
      <c r="CZ26" s="78"/>
      <c r="DA26" s="78"/>
      <c r="DB26" s="78"/>
      <c r="DC26" s="78"/>
      <c r="DD26" s="78"/>
      <c r="DE26" s="78"/>
      <c r="DF26" s="78"/>
      <c r="DG26" s="78"/>
      <c r="DH26" s="78"/>
      <c r="DI26" s="78"/>
      <c r="DJ26" s="78"/>
      <c r="DK26" s="78"/>
      <c r="DL26" s="78"/>
      <c r="DM26" s="78"/>
      <c r="DN26" s="78"/>
      <c r="DO26" s="78"/>
      <c r="DP26" s="78"/>
      <c r="DQ26" s="78"/>
      <c r="DR26" s="78"/>
      <c r="DS26" s="78"/>
      <c r="DT26" s="78"/>
      <c r="DU26" s="78"/>
      <c r="DV26" s="78"/>
      <c r="DW26" s="78"/>
      <c r="DX26" s="78"/>
      <c r="DY26" s="78"/>
      <c r="DZ26" s="78"/>
      <c r="EA26" s="78"/>
      <c r="EB26" s="78"/>
      <c r="EC26" s="78"/>
      <c r="ED26" s="78"/>
      <c r="EE26" s="78"/>
      <c r="EF26" s="78"/>
    </row>
    <row r="27" spans="1:136" s="63" customFormat="1" ht="51" outlineLevel="1">
      <c r="A27" s="144" t="str">
        <f>Power!A15</f>
        <v>VCCO of unused I/O banks</v>
      </c>
      <c r="B27" s="94" t="str">
        <f>Power!B15</f>
        <v>Connect to VCCAUX or any available VCCO, but do not require decoupling. If you plan on migration, connect the unbounded I/O banks to the appropriate VCCO supplies. Make sure the voltage limits are followed for the HR and HP I/O's.</v>
      </c>
      <c r="C27" s="112"/>
      <c r="D27" s="111"/>
      <c r="E27" s="94" t="str">
        <f>Power!C15</f>
        <v>See AR #11906.</v>
      </c>
      <c r="F27" s="112"/>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c r="CW27" s="78"/>
      <c r="CX27" s="78"/>
      <c r="CY27" s="78"/>
      <c r="CZ27" s="78"/>
      <c r="DA27" s="78"/>
      <c r="DB27" s="78"/>
      <c r="DC27" s="78"/>
      <c r="DD27" s="78"/>
      <c r="DE27" s="78"/>
      <c r="DF27" s="78"/>
      <c r="DG27" s="78"/>
      <c r="DH27" s="78"/>
      <c r="DI27" s="78"/>
      <c r="DJ27" s="78"/>
      <c r="DK27" s="78"/>
      <c r="DL27" s="78"/>
      <c r="DM27" s="78"/>
      <c r="DN27" s="78"/>
      <c r="DO27" s="78"/>
      <c r="DP27" s="78"/>
      <c r="DQ27" s="78"/>
      <c r="DR27" s="78"/>
      <c r="DS27" s="78"/>
      <c r="DT27" s="78"/>
      <c r="DU27" s="78"/>
      <c r="DV27" s="78"/>
      <c r="DW27" s="78"/>
      <c r="DX27" s="78"/>
      <c r="DY27" s="78"/>
      <c r="DZ27" s="78"/>
      <c r="EA27" s="78"/>
      <c r="EB27" s="78"/>
      <c r="EC27" s="78"/>
      <c r="ED27" s="78"/>
      <c r="EE27" s="78"/>
      <c r="EF27" s="78"/>
    </row>
    <row r="28" spans="1:136" s="63" customFormat="1" outlineLevel="1">
      <c r="A28" s="144" t="str">
        <f>Power!A16</f>
        <v>Power-up/down Sequence</v>
      </c>
      <c r="B28" s="94" t="str">
        <f>Power!B16</f>
        <v>VCCINT, VCCAUX, VCCO</v>
      </c>
      <c r="C28" s="112"/>
      <c r="D28" s="111"/>
      <c r="E28" s="94" t="str">
        <f>Power!C16</f>
        <v>See Power Sequencing in data sheet.</v>
      </c>
      <c r="F28" s="112"/>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row>
    <row r="29" spans="1:136" s="63" customFormat="1" ht="140.25" outlineLevel="1">
      <c r="A29" s="144" t="str">
        <f>Power!A17</f>
        <v>Power Supply Ramp Time</v>
      </c>
      <c r="B29" s="94" t="str">
        <f>Power!B17</f>
        <v>200 µS &lt; VCCINT  ramp &lt; 50 mS
200 µS &lt; VCCAUX ramp &lt; 50 mS
200 µS &lt; VCCO    ramp &lt; 50 mS
200 µS &lt; VCCBRAM    ramp &lt; 50 mS
200 µS &lt; VCCAUX_IO    ramp &lt; 50 mS
200 µS &lt; MGTAVCC    ramp &lt; 50 mS
200 µS &lt; MGTAVTT    ramp &lt; 50 mS
200 µS &lt; MGTVCCAUX    ramp &lt; 50 mS
VCCO2VCCAUX &lt; 300 mS @ TJ 125C
VCCO2VCCAUX &lt; 500 mS @ TJ 100C
VCCO2VCCAUX &lt; 800 mS @ TJ 85C</v>
      </c>
      <c r="C29" s="112"/>
      <c r="D29" s="111"/>
      <c r="E29" s="94" t="str">
        <f>Power!C17</f>
        <v>See the "Power Supply Ramp Time" table in the family data sheet for details.</v>
      </c>
      <c r="F29" s="112"/>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c r="AS29" s="84"/>
      <c r="AT29" s="84"/>
      <c r="AU29" s="84"/>
      <c r="AV29" s="78"/>
      <c r="AW29" s="78"/>
      <c r="AX29" s="78"/>
      <c r="AY29" s="78"/>
      <c r="AZ29" s="78"/>
      <c r="BA29" s="78"/>
      <c r="BB29" s="78"/>
      <c r="BC29" s="78"/>
      <c r="BD29" s="78"/>
      <c r="BE29" s="78"/>
      <c r="BF29" s="78"/>
      <c r="BG29" s="78"/>
      <c r="BH29" s="78"/>
      <c r="BI29" s="78"/>
      <c r="BJ29" s="78"/>
      <c r="BK29" s="78"/>
      <c r="BL29" s="78"/>
      <c r="BM29" s="78"/>
      <c r="BN29" s="78"/>
      <c r="BO29" s="78"/>
      <c r="BP29" s="78"/>
      <c r="BQ29" s="78"/>
      <c r="BR29" s="78"/>
      <c r="BS29" s="78"/>
      <c r="BT29" s="78"/>
      <c r="BU29" s="78"/>
      <c r="BV29" s="78"/>
      <c r="BW29" s="78"/>
      <c r="BX29" s="78"/>
      <c r="BY29" s="78"/>
      <c r="BZ29" s="78"/>
      <c r="CA29" s="78"/>
      <c r="CB29" s="78"/>
      <c r="CC29" s="78"/>
      <c r="CD29" s="78"/>
      <c r="CE29" s="78"/>
      <c r="CF29" s="78"/>
      <c r="CG29" s="78"/>
      <c r="CH29" s="78"/>
      <c r="CI29" s="78"/>
      <c r="CJ29" s="78"/>
      <c r="CK29" s="78"/>
      <c r="CL29" s="78"/>
      <c r="CM29" s="78"/>
      <c r="CN29" s="78"/>
      <c r="CO29" s="78"/>
      <c r="CP29" s="78"/>
      <c r="CQ29" s="78"/>
      <c r="CR29" s="78"/>
      <c r="CS29" s="78"/>
      <c r="CT29" s="78"/>
      <c r="CU29" s="78"/>
      <c r="CV29" s="78"/>
      <c r="CW29" s="78"/>
      <c r="CX29" s="78"/>
      <c r="CY29" s="78"/>
      <c r="CZ29" s="78"/>
      <c r="DA29" s="78"/>
      <c r="DB29" s="78"/>
      <c r="DC29" s="78"/>
      <c r="DD29" s="78"/>
      <c r="DE29" s="78"/>
      <c r="DF29" s="78"/>
      <c r="DG29" s="78"/>
      <c r="DH29" s="78"/>
      <c r="DI29" s="78"/>
      <c r="DJ29" s="78"/>
      <c r="DK29" s="78"/>
      <c r="DL29" s="78"/>
      <c r="DM29" s="78"/>
      <c r="DN29" s="78"/>
      <c r="DO29" s="78"/>
      <c r="DP29" s="78"/>
      <c r="DQ29" s="78"/>
      <c r="DR29" s="78"/>
      <c r="DS29" s="78"/>
      <c r="DT29" s="78"/>
      <c r="DU29" s="78"/>
      <c r="DV29" s="78"/>
      <c r="DW29" s="78"/>
      <c r="DX29" s="78"/>
      <c r="DY29" s="78"/>
      <c r="DZ29" s="78"/>
      <c r="EA29" s="78"/>
      <c r="EB29" s="78"/>
      <c r="EC29" s="78"/>
      <c r="ED29" s="78"/>
      <c r="EE29" s="78"/>
      <c r="EF29" s="78"/>
    </row>
    <row r="30" spans="1:136" outlineLevel="1">
      <c r="A30" s="113"/>
      <c r="B30" s="113"/>
      <c r="C30" s="113"/>
      <c r="D30" s="113"/>
      <c r="E30" s="113"/>
      <c r="F30" s="113"/>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row>
    <row r="31" spans="1:136">
      <c r="A31" s="113"/>
      <c r="B31" s="113"/>
      <c r="C31" s="113"/>
      <c r="D31" s="113"/>
      <c r="E31" s="113"/>
      <c r="F31" s="113"/>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row>
    <row r="32" spans="1:136">
      <c r="A32" s="225" t="s">
        <v>143</v>
      </c>
      <c r="B32" s="226"/>
      <c r="C32" s="233"/>
      <c r="D32" s="233"/>
      <c r="E32" s="226"/>
      <c r="F32" s="227"/>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row>
    <row r="33" spans="1:47" ht="76.5" outlineLevel="1">
      <c r="A33" s="147" t="s">
        <v>144</v>
      </c>
      <c r="B33" s="198" t="s">
        <v>1268</v>
      </c>
      <c r="C33" s="199" t="s">
        <v>1269</v>
      </c>
      <c r="D33" s="200"/>
      <c r="E33" s="113"/>
      <c r="F33" s="113"/>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row>
    <row r="34" spans="1:47" outlineLevel="1">
      <c r="A34" s="119" t="s">
        <v>176</v>
      </c>
      <c r="B34" s="119" t="s">
        <v>157</v>
      </c>
      <c r="C34" s="119" t="s">
        <v>158</v>
      </c>
      <c r="D34" s="119" t="s">
        <v>159</v>
      </c>
      <c r="E34" s="119" t="s">
        <v>206</v>
      </c>
      <c r="F34" s="119" t="s">
        <v>68</v>
      </c>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row>
    <row r="35" spans="1:47" ht="216.75" outlineLevel="1">
      <c r="A35" s="147" t="str">
        <f>Configuration!B27</f>
        <v>CFGBVS</v>
      </c>
      <c r="B35" s="114" t="str">
        <f>IF(COUNTIF(CFGBVS_Lookup,B7&amp;B4&amp;C19),VLOOKUP(B7&amp;B4&amp;C19,CFGBVS_Lookup,2,FALSE),'Warning Messages'!B15)</f>
        <v>Insufficient or incorrect data selection: Check family, Configuration Mode, and Bank0 Voltage.</v>
      </c>
      <c r="C35" s="129"/>
      <c r="D35" s="110"/>
      <c r="E35" s="115" t="str">
        <f>Configuration!$B$51</f>
        <v>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v>
      </c>
      <c r="F35" s="129"/>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row>
    <row r="36" spans="1:47" ht="102" outlineLevel="1">
      <c r="A36" s="144" t="str">
        <f>Configuration!C27</f>
        <v>M[2:0]</v>
      </c>
      <c r="B36" s="92" t="str">
        <f>IF(B4&lt;&gt;"Zynq-7000",IF(COUNTIF(Config_lookup,B7),VLOOKUP($B$7,Config_lookup,3,FALSE),'Warning Messages'!B9),'Warning Messages'!B17)</f>
        <v>Connect each mode pin either directly or via a 1 kΩ (or stronger) resistor to VCCO_0 or GND. M[2:0] = 111</v>
      </c>
      <c r="C36" s="112"/>
      <c r="D36" s="111"/>
      <c r="E36" s="94" t="str">
        <f>Configuration!$C$51</f>
        <v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v>
      </c>
      <c r="F36" s="11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row>
    <row r="37" spans="1:47" ht="127.5" outlineLevel="1">
      <c r="A37" s="144" t="str">
        <f>Configuration!D27</f>
        <v>TCK</v>
      </c>
      <c r="B37" s="92" t="str">
        <f>IF(COUNTIF(Config_lookup,B7),VLOOKUP($B$7,Config_lookup,4,FALSE),'Warning Messages'!B9)</f>
        <v>Connect to the JTAG cable header's TCK output signal.
For the Xilinx 14-pin JTAG ribbon cable header, TCK is pin 6.</v>
      </c>
      <c r="C37" s="112"/>
      <c r="D37" s="111"/>
      <c r="E37" s="94" t="str">
        <f>Configuration!$D$51</f>
        <v>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v>
      </c>
      <c r="F37" s="11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row>
    <row r="38" spans="1:47" ht="114.75" outlineLevel="1">
      <c r="A38" s="144" t="str">
        <f>Configuration!E27</f>
        <v>TMS</v>
      </c>
      <c r="B38" s="92" t="str">
        <f>IF(COUNTIF(Config_lookup,B7),VLOOKUP($B$7,Config_lookup,5,FALSE),'Warning Messages'!B9)</f>
        <v>Connect to the JTAG cable header's TMS output signal.
For the Xilinx 14-pin JTAG ribbon cable header, TMS is pin 4.</v>
      </c>
      <c r="C38" s="112"/>
      <c r="D38" s="111"/>
      <c r="E38" s="94" t="str">
        <f>Configuration!$E$51</f>
        <v>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v>
      </c>
      <c r="F38" s="11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row>
    <row r="39" spans="1:47" ht="153" outlineLevel="1">
      <c r="A39" s="144" t="str">
        <f>Configuration!F27</f>
        <v>TDI</v>
      </c>
      <c r="B39" s="92" t="str">
        <f>IF(COUNTIF(Config_lookup,B7),VLOOKUP($B$7,Config_lookup,6,FALSE),'Warning Messages'!B9)</f>
        <v>For an isolated device or for the first device in a JTAG chain, connect TDI to the JTAG cable header's TDI output signal. Otherwise, when the FPGA is not the first device in a JTAG chain, connect to the TDO pin of the upstream JTAG device in the JTAG scan chain.
For the Xilinx 14-pin JTAG ribbon cable header, TDI is pin 10.</v>
      </c>
      <c r="C39" s="112"/>
      <c r="D39" s="111"/>
      <c r="E39" s="94" t="str">
        <f>Configuration!$F$51</f>
        <v>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v>
      </c>
      <c r="F39" s="11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row>
    <row r="40" spans="1:47" ht="153" outlineLevel="1">
      <c r="A40" s="144" t="str">
        <f>Configuration!G27</f>
        <v>TDO</v>
      </c>
      <c r="B40" s="92" t="str">
        <f>IF(COUNTIF(Config_lookup,B7),VLOOKUP($B$7,Config_lookup,7,FALSE),'Warning Messages'!B9)</f>
        <v>For an isolated device or for the last device in a JTAG chain, connect TDO to the JTAG cable header's TDO input signal. Otherwise, when the FPGA is not the last device in a JTAG chain, connect to the TDI pin of the downstream JTAG device in the JTAG scan chain.
For the Xilinx 14-pin JTAG ribbon cable header, TDO is pin 8.</v>
      </c>
      <c r="C40" s="112"/>
      <c r="D40" s="111"/>
      <c r="E40" s="94" t="str">
        <f>Configuration!$G$51</f>
        <v>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v>
      </c>
      <c r="F40" s="11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row>
    <row r="41" spans="1:47" ht="140.25" outlineLevel="1">
      <c r="A41" s="144" t="str">
        <f>Configuration!H27</f>
        <v>PROGRAM_B</v>
      </c>
      <c r="B41" s="92" t="str">
        <f>IF(COUNTIF(Config_lookup,B7),VLOOKUP($B$7,Config_lookup,8,FALSE),'Warning Messages'!B9)</f>
        <v xml:space="preserve">Connect PROGRAM_B to an external 4.7 kΩ (or stronger) pull-up resistor to VCCO_0 to ensure a stable High input, and recommend push-button to GND to enable manual configuration reset. </v>
      </c>
      <c r="C41" s="112"/>
      <c r="D41" s="111"/>
      <c r="E41" s="94" t="str">
        <f>Configuration!$H$51</f>
        <v>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v>
      </c>
      <c r="F41" s="11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row>
    <row r="42" spans="1:47" ht="216.75" outlineLevel="1">
      <c r="A42" s="144" t="str">
        <f>Configuration!I27</f>
        <v>INIT_B</v>
      </c>
      <c r="B42" s="92" t="str">
        <f>IF(COUNTIF(Config_lookup,B7),VLOOKUP($B$7,Config_lookup,9,FALSE),'Warning Messages'!B9)</f>
        <v>Connect INIT_B to a 4.7 kΩ (or stronger) pull-up resistor to VCCO_0 to ensure clean Low-to-High transitions.</v>
      </c>
      <c r="C42" s="112"/>
      <c r="D42" s="111"/>
      <c r="E42" s="94" t="str">
        <f>IF(B4&lt;&gt;"Zynq-7000",Configuration!$I$51,Configuration!$I$52)</f>
        <v>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v>
      </c>
      <c r="F42" s="11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row>
    <row r="43" spans="1:47" ht="216.75" outlineLevel="1">
      <c r="A43" s="144" t="str">
        <f>Configuration!J27</f>
        <v>DONE</v>
      </c>
      <c r="B43" s="92" t="str">
        <f>IF(COUNTIF(Config_lookup,B7),VLOOKUP($B$7,Config_lookup,10,FALSE),'Warning Messages'!B9)</f>
        <v>Connect DONE to an external 330Ω pull-up resistor to VCCO_0.</v>
      </c>
      <c r="C43" s="112"/>
      <c r="D43" s="111"/>
      <c r="E43" s="94" t="str">
        <f>Configuration!$J$51</f>
        <v>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AR# 44103 and AR# 62972.
If multiple devices are to be connected in the same configuration chain, see the "Multiple FPGA Configuration" section of UG470 for guidelines.</v>
      </c>
      <c r="F43" s="11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row>
    <row r="44" spans="1:47" ht="216.75" outlineLevel="1">
      <c r="A44" s="144" t="str">
        <f>Configuration!K27</f>
        <v>PUDC_B</v>
      </c>
      <c r="B44" s="92" t="str">
        <f>IF(COUNTIF(Config_lookup,B7),VLOOKUP($B$7,Config_lookup,11,FALSE),'Warning Messages'!B9)</f>
        <v>PUDC_B must be tied either directly or via a 1 kΩ (or stronger) resistor to VCCO_14 or GND.</v>
      </c>
      <c r="C44" s="112"/>
      <c r="D44" s="111"/>
      <c r="E44" s="94" t="str">
        <f>IF(B4&lt;&gt;"Zynq-7000",Configuration!$K$51,Configuration!$K$52)</f>
        <v>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v>
      </c>
      <c r="F44" s="11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row>
    <row r="45" spans="1:47" ht="229.5" outlineLevel="1">
      <c r="A45" s="144" t="str">
        <f>Configuration!L27</f>
        <v>CCLK</v>
      </c>
      <c r="B45" s="92" t="str">
        <f>IF(B4&lt;&gt;"Zynq-7000",IF(COUNTIF(Config_lookup,B7),VLOOKUP($B$7,Config_lookup,12,FALSE),'Warning Messages'!B9),'Warning Messages'!B17)</f>
        <v>Connect CCLK to an external configuration clock source. CCLK is an input that receives the slave serial configuration clock signal.</v>
      </c>
      <c r="C45" s="112"/>
      <c r="D45" s="111"/>
      <c r="E45" s="94" t="str">
        <f>Configuration!$L$51</f>
        <v>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v>
      </c>
      <c r="F45" s="11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row>
    <row r="46" spans="1:47" ht="255" outlineLevel="1">
      <c r="A46" s="144" t="str">
        <f>Configuration!M27</f>
        <v>EMCCLK</v>
      </c>
      <c r="B46" s="92" t="str">
        <f>IF(B4&lt;&gt;"Zynq-7000",IF(COUNTIF(Config_lookup,B7),VLOOKUP($B$7,Config_lookup,13,FALSE),'Warning Messages'!B9),'Warning Messages'!B17)</f>
        <v>EMCCLK is ignored in the slave modes and can be left unconnected.</v>
      </c>
      <c r="C46" s="112"/>
      <c r="D46" s="111"/>
      <c r="E46" s="94" t="str">
        <f>Configuration!$M$51</f>
        <v>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v>
      </c>
      <c r="F46" s="11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row>
    <row r="47" spans="1:47" ht="140.25" outlineLevel="1">
      <c r="A47" s="144" t="str">
        <f>Configuration!N27</f>
        <v>CSI_B</v>
      </c>
      <c r="B47" s="92" t="str">
        <f>IF(B4&lt;&gt;"Zynq-7000",IF(COUNTIF(Config_lookup,B7),VLOOKUP($B$7,Config_lookup,14,FALSE),'Warning Messages'!B9),'Warning Messages'!B17)</f>
        <v>CSI_B is ignored and can be left unconnected.</v>
      </c>
      <c r="C47" s="112"/>
      <c r="D47" s="111"/>
      <c r="E47" s="94" t="str">
        <f>Configuration!$N$51</f>
        <v>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v>
      </c>
      <c r="F47" s="11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row>
    <row r="48" spans="1:47" ht="229.5" outlineLevel="1">
      <c r="A48" s="144" t="str">
        <f>Configuration!O27</f>
        <v>DOUT_CSO_B</v>
      </c>
      <c r="B48" s="92" t="str">
        <f>IF(B4&lt;&gt;"Zynq-7000",IF(COUNTIF(Config_lookup,B7),VLOOKUP($B$7,Config_lookup,15,FALSE),'Warning Messages'!B9),'Warning Messages'!B17)</f>
        <v xml:space="preserve">For an upstream device in a serial configuration daisy-chain, connect DOUT to the DIN of the downstream slave-serial FPGA. Otherwise, DOUT_CSO_B is high impedance and can be left unconnected. </v>
      </c>
      <c r="C48" s="112"/>
      <c r="D48" s="111"/>
      <c r="E48" s="94" t="str">
        <f>Configuration!$O$51</f>
        <v>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v>
      </c>
      <c r="F48" s="11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row>
    <row r="49" spans="1:47" ht="165.75" outlineLevel="1">
      <c r="A49" s="144" t="str">
        <f>Configuration!P27</f>
        <v>RDWR_B</v>
      </c>
      <c r="B49" s="92" t="str">
        <f>IF(B4&lt;&gt;"Zynq-7000",IF(COUNTIF(Config_lookup,B7),VLOOKUP($B$7,Config_lookup,16,FALSE),'Warning Messages'!B9),'Warning Messages'!B17)</f>
        <v>RDWR_B is ignored and can be left unconnected.</v>
      </c>
      <c r="C49" s="112"/>
      <c r="D49" s="111"/>
      <c r="E49" s="94" t="str">
        <f>Configuration!$P$51</f>
        <v>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v>
      </c>
      <c r="F49" s="11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row>
    <row r="50" spans="1:47" ht="127.5" outlineLevel="1">
      <c r="A50" s="144" t="str">
        <f>Configuration!Q27</f>
        <v>D00_MOSI</v>
      </c>
      <c r="B50" s="92" t="str">
        <f>IF(B4&lt;&gt;"Zynq-7000",IF(COUNTIF(Config_lookup,B7),VLOOKUP($B$7,Config_lookup,17,FALSE),'Warning Messages'!B9),'Warning Messages'!B17)</f>
        <v>D00_MOSI is ignored and kept in a high-impedance state during configuration. It can be left unconnected.</v>
      </c>
      <c r="C50" s="112"/>
      <c r="D50" s="111"/>
      <c r="E50" s="94" t="str">
        <f>Configuration!$Q$51</f>
        <v>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v>
      </c>
      <c r="F50" s="11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row>
    <row r="51" spans="1:47" ht="127.5" outlineLevel="1">
      <c r="A51" s="144" t="str">
        <f>Configuration!R27</f>
        <v>D01_DIN</v>
      </c>
      <c r="B51" s="92" t="str">
        <f>IF(B4&lt;&gt;"Zynq-7000",IF(COUNTIF(Config_lookup,B7),VLOOKUP($B$7,Config_lookup,18,FALSE),'Warning Messages'!B9),'Warning Messages'!B17)</f>
        <v xml:space="preserve">Connect D01_DIN to the serial data output pin of the serial data source. </v>
      </c>
      <c r="C51" s="112"/>
      <c r="D51" s="111"/>
      <c r="E51" s="94" t="str">
        <f>Configuration!$R$51</f>
        <v>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v>
      </c>
      <c r="F51" s="11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row>
    <row r="52" spans="1:47" ht="127.5" outlineLevel="1">
      <c r="A52" s="144" t="str">
        <f>Configuration!S27</f>
        <v>D02</v>
      </c>
      <c r="B52" s="92" t="str">
        <f>IF(B4&lt;&gt;"Zynq-7000",IF(COUNTIF(Config_lookup,B7),VLOOKUP($B$7,Config_lookup,19,FALSE),'Warning Messages'!B9),'Warning Messages'!B17)</f>
        <v>D02 is ignored and can be left unconnected.</v>
      </c>
      <c r="C52" s="112"/>
      <c r="D52" s="111"/>
      <c r="E52" s="94" t="str">
        <f>Configuration!$S$51</f>
        <v>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v>
      </c>
      <c r="F52" s="11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row>
    <row r="53" spans="1:47" ht="127.5" outlineLevel="1">
      <c r="A53" s="144" t="str">
        <f>Configuration!T27</f>
        <v>D03</v>
      </c>
      <c r="B53" s="92" t="str">
        <f>IF(B4&lt;&gt;"Zynq-7000",IF(COUNTIF(Config_lookup,B7),VLOOKUP($B$7,Config_lookup,20,FALSE),'Warning Messages'!B9),'Warning Messages'!B17)</f>
        <v>D03 is ignored and can be left unconnected.</v>
      </c>
      <c r="C53" s="112"/>
      <c r="D53" s="111"/>
      <c r="E53" s="94" t="str">
        <f>Configuration!$T$51</f>
        <v>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v>
      </c>
      <c r="F53" s="11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row>
    <row r="54" spans="1:47" ht="127.5" outlineLevel="1">
      <c r="A54" s="144" t="str">
        <f>Configuration!U27</f>
        <v>D[04-07]</v>
      </c>
      <c r="B54" s="92" t="str">
        <f>IF(B4&lt;&gt;"Zynq-7000",IF(COUNTIF(Config_lookup,B7),VLOOKUP($B$7,Config_lookup,21,FALSE),'Warning Messages'!B9),'Warning Messages'!B17)</f>
        <v>D[04-07] are ignored and can be left unconnected.</v>
      </c>
      <c r="C54" s="112"/>
      <c r="D54" s="111"/>
      <c r="E54" s="94" t="str">
        <f>Configuration!$U$51</f>
        <v>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v>
      </c>
      <c r="F54" s="11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row>
    <row r="55" spans="1:47" ht="127.5" outlineLevel="1">
      <c r="A55" s="144" t="str">
        <f>Configuration!V27</f>
        <v>D[08-15]</v>
      </c>
      <c r="B55" s="92" t="str">
        <f>IF(B4&lt;&gt;"Zynq-7000",IF(COUNTIF(Config_lookup,B7),VLOOKUP($B$7,Config_lookup,22,FALSE),'Warning Messages'!B9),'Warning Messages'!B17)</f>
        <v>D[08-15] are ignored and can be left unconnected.</v>
      </c>
      <c r="C55" s="112"/>
      <c r="D55" s="111"/>
      <c r="E55" s="94" t="str">
        <f>Configuration!$V$51</f>
        <v>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v>
      </c>
      <c r="F55" s="11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row>
    <row r="56" spans="1:47" ht="204" outlineLevel="1">
      <c r="A56" s="144" t="str">
        <f>Configuration!W27</f>
        <v>A[00-15]_D[16-31]</v>
      </c>
      <c r="B56" s="92" t="str">
        <f>IF(B4&lt;&gt;"Zynq-7000",IF(COUNTIF(Config_lookup,B7),VLOOKUP($B$7,Config_lookup,23,FALSE),'Warning Messages'!B9),'Warning Messages'!B17)</f>
        <v>A[00-15]_D[16-31] are ignored and can be left unconnected.</v>
      </c>
      <c r="C56" s="112"/>
      <c r="D56" s="111"/>
      <c r="E56" s="94" t="str">
        <f>Configuration!$W$51</f>
        <v>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v>
      </c>
      <c r="F56" s="11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row>
    <row r="57" spans="1:47" ht="114.75" outlineLevel="1">
      <c r="A57" s="144" t="str">
        <f>Configuration!X27</f>
        <v>A[16-28]</v>
      </c>
      <c r="B57" s="92" t="str">
        <f>IF(B4&lt;&gt;"Zynq-7000",IF(COUNTIF(Config_lookup,B7),VLOOKUP($B$7,Config_lookup,24,FALSE),'Warning Messages'!B9),'Warning Messages'!B17)</f>
        <v>A[16-28] are ignored and can be left unconnected.</v>
      </c>
      <c r="C57" s="112"/>
      <c r="D57" s="111"/>
      <c r="E57" s="94" t="str">
        <f>Configuration!$X$51</f>
        <v>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v>
      </c>
      <c r="F57" s="11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row>
    <row r="58" spans="1:47" ht="127.5" outlineLevel="1">
      <c r="A58" s="144" t="str">
        <f>Configuration!Y27</f>
        <v>FCS_B</v>
      </c>
      <c r="B58" s="92" t="str">
        <f>IF(B4&lt;&gt;"Zynq-7000",IF(COUNTIF(Config_lookup,B7),VLOOKUP($B$7,Config_lookup,25,FALSE),'Warning Messages'!B9),'Warning Messages'!B17)</f>
        <v>FCS_B is high impedance and can be left unconnected.</v>
      </c>
      <c r="C58" s="112"/>
      <c r="D58" s="111"/>
      <c r="E58" s="94" t="str">
        <f>Configuration!$Y$51</f>
        <v>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v>
      </c>
      <c r="F58" s="11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row>
    <row r="59" spans="1:47" ht="76.5" outlineLevel="1">
      <c r="A59" s="144" t="str">
        <f>Configuration!Z27</f>
        <v>FOE_B</v>
      </c>
      <c r="B59" s="92" t="str">
        <f>IF(B4&lt;&gt;"Zynq-7000",IF(COUNTIF(Config_lookup,B7),VLOOKUP($B$7,Config_lookup,26,FALSE),'Warning Messages'!B9),'Warning Messages'!B17)</f>
        <v>FOE_B is high-impedance and can be left unconnected.</v>
      </c>
      <c r="C59" s="112"/>
      <c r="D59" s="111"/>
      <c r="E59" s="94" t="str">
        <f>Configuration!$Z$51</f>
        <v xml:space="preserve">Flash Output-Enable (bar) 
Multi-purpose open-drain output pin referenced to VCCO_15.
During BPI configuration and during iMPACT/Vivado indirect BPI flash programming, FOE_B drives Low to enable the flash data bus output. </v>
      </c>
      <c r="F59" s="11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row>
    <row r="60" spans="1:47" ht="114.75" outlineLevel="1">
      <c r="A60" s="144" t="str">
        <f>Configuration!AA27</f>
        <v>FWE_B</v>
      </c>
      <c r="B60" s="92" t="str">
        <f>IF(B4&lt;&gt;"Zynq-7000",IF(COUNTIF(Config_lookup,B7),VLOOKUP($B$7,Config_lookup,27,FALSE),'Warning Messages'!B9),'Warning Messages'!B17)</f>
        <v>FWE_B is high impedance and can be left unconnected.</v>
      </c>
      <c r="C60" s="112"/>
      <c r="D60" s="111"/>
      <c r="E60" s="94" t="str">
        <f>Configuration!$AA$51</f>
        <v>Flash Write-Enable (bar) 
Multi-purpose output pin referenced to VCCO_15.
During BPI configuration, FWE_B drives High to keep the BPI flash in read mode.
During iMPACT/Vivado indirect BPI flash programming, FWE_B is driven High or Low, depending on the state of the programming operation.</v>
      </c>
      <c r="F60" s="11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row>
    <row r="61" spans="1:47" ht="76.5" outlineLevel="1">
      <c r="A61" s="144" t="str">
        <f>Configuration!AB27</f>
        <v>ADV_B</v>
      </c>
      <c r="B61" s="92" t="str">
        <f>IF(B4&lt;&gt;"Zynq-7000",IF(COUNTIF(Config_lookup,B7),VLOOKUP($B$7,Config_lookup,28,FALSE),'Warning Messages'!B9),'Warning Messages'!B17)</f>
        <v>ADV_B is high impedance and can be left unconnected.</v>
      </c>
      <c r="C61" s="112"/>
      <c r="D61" s="111"/>
      <c r="E61" s="94" t="str">
        <f>Configuration!AB$51</f>
        <v>Address Valid (bar) 
Multi-purpose output pin referenced to VCCO_15.
During BPI configuration, ADV_B is driven to control the BPI flash address latch enable (for flash that have an address latch enable input).</v>
      </c>
      <c r="F61" s="11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row>
    <row r="62" spans="1:47" ht="178.5" outlineLevel="1">
      <c r="A62" s="144" t="str">
        <f>Configuration!AC27</f>
        <v>RS0, RS1</v>
      </c>
      <c r="B62" s="92" t="str">
        <f>IF(B4&lt;&gt;"Zynq-7000",IF(COUNTIF(Config_lookup,B7),VLOOKUP($B$7,Config_lookup,29,FALSE),'Warning Messages'!B9),'Warning Messages'!B17)</f>
        <v>RS0 and RS1 are high impedance and can be left unconnected.</v>
      </c>
      <c r="C62" s="112"/>
      <c r="D62" s="111"/>
      <c r="E62" s="94" t="str">
        <f>Configuration!$AC$51</f>
        <v>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v>
      </c>
      <c r="F62" s="11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row>
    <row r="63" spans="1:47" ht="165.75" outlineLevel="1">
      <c r="A63" s="144" t="str">
        <f>Configuration!AI27</f>
        <v>JTAG Connector Pinout</v>
      </c>
      <c r="B63" s="92" t="str">
        <f>IF(COUNTIF(Config_lookup,B7),VLOOKUP($B$7,Config_lookup,35,FALSE),'Warning Messages'!B9)</f>
        <v>Suggest using Xilinx 14-pin ribbon cable header:
GND = pins 1, 3, 5, 7, 9, 11, 13; Vref = pin 2; NC = 12, 14;
TMS = pin 4; TCK = pin 6; TDO = pin 8; TDI = pin 10.
Connect all header GND pins to the ground plane.
Connect header Vref pin to same supply as FPGA VCCO_0.
Connect header TCK pin to all devices in the JTAG chain.
Connect header TMS pin to all devices in the JTAG chain.
Connect header TDI pin to the TDI pin of the first device in the JTAG scan chain.
Connect header TDO pin to the TDO pin of the last device in the JTAG scan chain.</v>
      </c>
      <c r="C63" s="112"/>
      <c r="D63" s="111"/>
      <c r="E63" s="94" t="str">
        <f>Configuration!AI51</f>
        <v>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v>
      </c>
      <c r="F63" s="11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row>
    <row r="64" spans="1:47" outlineLevel="1">
      <c r="A64" s="144" t="str">
        <f>Configuration!AH27</f>
        <v>Bitstream Length</v>
      </c>
      <c r="B64" s="92" t="str">
        <f>IF(COUNTIF(Bitstream_Length,B5),VLOOKUP(B5,Bitstream_Length,2,FALSE)&amp; " Bits",'Warning Messages'!B11)</f>
        <v>4310752 Bits</v>
      </c>
      <c r="C64" s="112"/>
      <c r="D64" s="111"/>
      <c r="E64" s="94"/>
      <c r="F64" s="11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row>
    <row r="65" spans="1:47" ht="25.5" outlineLevel="1">
      <c r="A65" s="144" t="s">
        <v>69</v>
      </c>
      <c r="B65" s="92" t="str">
        <f>IF(COUNTIF(Configuration!A2:B23,B7),IF(VALUE(B8)&lt;&gt;0,"(Bitstream Length) / (Configuration Clock Rate x Configuration Bus Width) = "&amp;ROUND(((MID(B64,1,LEN(B64)-5)/(VLOOKUP(B7,Configuration!A2:B23,2,FALSE)*(B8*10^6))))*1000,2)&amp;" ms",'Warning Messages'!B10),'Warning Messages'!B9)</f>
        <v>(Bitstream Length) / (Configuration Clock Rate x Configuration Bus Width) = 172.43 ms</v>
      </c>
      <c r="C65" s="112"/>
      <c r="D65" s="111"/>
      <c r="E65" s="94" t="str">
        <f>Configuration!AJ51</f>
        <v>Power-up time is not included in this calculation.</v>
      </c>
      <c r="F65" s="11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row>
    <row r="66" spans="1:47" ht="63.75" outlineLevel="1">
      <c r="A66" s="148" t="str">
        <f>Configuration!AD27</f>
        <v>VCCBATT</v>
      </c>
      <c r="B66" s="93" t="str">
        <f>IF(COUNTIF(Config_lookup,B7),VLOOKUP($B$7,Config_lookup,30,FALSE),'Warning Messages'!B9)</f>
        <v>If there is no requirement to use the decryptor key from the volatile key storage area, connect this pin to GND or VCCAUX. If the decryptor key is being used, the voltage must be between 1.0V and 1.89V.</v>
      </c>
      <c r="C66" s="130"/>
      <c r="D66" s="111"/>
      <c r="E66" s="94" t="str">
        <f>Configuration!$AD$51</f>
        <v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v>
      </c>
      <c r="F66" s="11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row>
    <row r="67" spans="1:47" outlineLevel="1">
      <c r="A67" s="234" t="s">
        <v>142</v>
      </c>
      <c r="B67" s="235"/>
      <c r="C67" s="236"/>
      <c r="D67" s="113"/>
      <c r="E67" s="113"/>
      <c r="F67" s="113"/>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row>
    <row r="68" spans="1:47" outlineLevel="1">
      <c r="A68" s="113"/>
      <c r="B68" s="113"/>
      <c r="C68" s="113"/>
      <c r="D68" s="113"/>
      <c r="E68" s="113"/>
      <c r="F68" s="113"/>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row>
    <row r="69" spans="1:47">
      <c r="A69" s="113"/>
      <c r="B69" s="113"/>
      <c r="C69" s="113"/>
      <c r="D69" s="113"/>
      <c r="E69" s="113"/>
      <c r="F69" s="113"/>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row>
    <row r="70" spans="1:47">
      <c r="A70" s="225" t="s">
        <v>151</v>
      </c>
      <c r="B70" s="226"/>
      <c r="C70" s="226"/>
      <c r="D70" s="226"/>
      <c r="E70" s="226"/>
      <c r="F70" s="227"/>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row>
    <row r="71" spans="1:47" outlineLevel="1">
      <c r="A71" s="146" t="s">
        <v>144</v>
      </c>
      <c r="B71" s="121" t="str">
        <f>HYPERLINK("http://www.xilinx.com/support/documentation/user_guides/ug480_7Series_XADC.pdf","See User Guide  480")</f>
        <v>See User Guide  480</v>
      </c>
      <c r="C71" s="113"/>
      <c r="D71" s="113"/>
      <c r="E71" s="113"/>
      <c r="F71" s="113"/>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row>
    <row r="72" spans="1:47" outlineLevel="1">
      <c r="A72" s="113"/>
      <c r="B72" s="113"/>
      <c r="C72" s="113"/>
      <c r="D72" s="113"/>
      <c r="E72" s="113"/>
      <c r="F72" s="113"/>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row>
    <row r="73" spans="1:47" outlineLevel="1">
      <c r="A73" s="119" t="s">
        <v>176</v>
      </c>
      <c r="B73" s="119" t="s">
        <v>157</v>
      </c>
      <c r="C73" s="119" t="s">
        <v>158</v>
      </c>
      <c r="D73" s="119" t="s">
        <v>159</v>
      </c>
      <c r="E73" s="119" t="s">
        <v>206</v>
      </c>
      <c r="F73" s="119" t="s">
        <v>68</v>
      </c>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row>
    <row r="74" spans="1:47" ht="127.5" outlineLevel="1">
      <c r="A74" s="149" t="str">
        <f>XADC!A2</f>
        <v>VCCADC_0</v>
      </c>
      <c r="B74" s="120" t="str">
        <f>XADC!$B$2</f>
        <v>This pin can be tied to the 1.8V VCCAUX supply. However, in a mixed-signal system the supply should be connected to a separate 1.8V analog, if available. See the "Analog Power Supply and Ground (VCCADC and GNDADC)" section of UG480, 7 Series FPGAs XADC Dual 12-Bit 1MSPS Analog-to-Digital Converter User Guide for more information. This pin should never be tied to GND. The pin should be tied to VCCAUX even if the XADC is not being used.
A 100 nF decoupling capacitor should be placed between VCCADC and GNDADC as close to the FPGA package balls as possible.</v>
      </c>
      <c r="C74" s="131"/>
      <c r="D74" s="110"/>
      <c r="E74" s="115" t="str">
        <f>XADC!$C$2</f>
        <v xml:space="preserve">This is the analog supply pin for the ADCs and other analog circuits in the XADC. </v>
      </c>
      <c r="F74" s="129"/>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row>
    <row r="75" spans="1:47" ht="89.25" outlineLevel="1">
      <c r="A75" s="148" t="str">
        <f>XADC!A3</f>
        <v>GNDADC_0</v>
      </c>
      <c r="B75" s="93" t="str">
        <f>XADC!$B$3</f>
        <v>This pin can be tied to the system ground via an isolating ferrite bead. In a mixed-signal system this pin should be tied to an analog ground plane if available, in which case the ferrite bead is not required. See the "Analog Power Supply and Ground (VCCADC and GNDADC)" section of UG480, 7 Series FPGAs XADC Dual 12-Bit 1MSPS Analog-to-Digital Converter User Guide for more information. This pin should always be tied to GND even if the XADC is not being used.</v>
      </c>
      <c r="C75" s="130"/>
      <c r="D75" s="111"/>
      <c r="E75" s="94" t="str">
        <f>XADC!$C$3</f>
        <v xml:space="preserve">This is the ground reference pin for the ADCs and other analog circuits in the XADC. </v>
      </c>
      <c r="F75" s="11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row>
    <row r="76" spans="1:47" ht="114.75" outlineLevel="1">
      <c r="A76" s="148" t="str">
        <f>XADC!A4</f>
        <v>VREFP_0</v>
      </c>
      <c r="B76" s="93" t="str">
        <f>XADC!$B$4</f>
        <v>This pin should be tied to an external 1.25V accurate reference source (±0.2%) for best performance of the ADCs. It should be treated as an analog signal that together with the VREFN_0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v>
      </c>
      <c r="C76" s="130"/>
      <c r="D76" s="111"/>
      <c r="E76" s="94">
        <f>XADC!$C$4</f>
        <v>0</v>
      </c>
      <c r="F76" s="11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row>
    <row r="77" spans="1:47" ht="63.75" outlineLevel="1">
      <c r="A77" s="148" t="str">
        <f>XADC!A5</f>
        <v>VREFN_0</v>
      </c>
      <c r="B77" s="93" t="str">
        <f>XADC!$B$5</f>
        <v>This pin should be tied to the GND pin of an external 1.25V accurate reference source (±0.2%) for best performance of the ADCs. It should be treated as an analog signal that together with the VREFP_0 signal provides a differential 1.25V voltage. This pin should always be connected to GNDADC even if an external reference is not supplied.</v>
      </c>
      <c r="C77" s="130"/>
      <c r="D77" s="111"/>
      <c r="E77" s="94" t="str">
        <f>XADC!$C$5</f>
        <v xml:space="preserve"> </v>
      </c>
      <c r="F77" s="11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row>
    <row r="78" spans="1:47" ht="51" outlineLevel="1">
      <c r="A78" s="148" t="str">
        <f>XADC!A6</f>
        <v>VP_0</v>
      </c>
      <c r="B78" s="93" t="str">
        <f>XADC!$B$6</f>
        <v>This is the positive input terminal of the dedicated differential analog input channel (VP/VN). The analog input channels are very flexible and support multiple analog input signal types. This pin should be connected to GND if not used.</v>
      </c>
      <c r="C78" s="130"/>
      <c r="D78" s="111"/>
      <c r="E78" s="94" t="str">
        <f>XADC!$C$6</f>
        <v xml:space="preserve"> </v>
      </c>
      <c r="F78" s="11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row>
    <row r="79" spans="1:47" ht="51" outlineLevel="1">
      <c r="A79" s="148" t="str">
        <f>XADC!A7</f>
        <v>VN_0</v>
      </c>
      <c r="B79" s="93" t="str">
        <f>XADC!$B$7</f>
        <v>This is the negative input terminal of the dedicated differential analog input channel (VP/VN). The analog input channels are very flexible and support multiple analog input signal types.This pin should be connected to GND if not used.</v>
      </c>
      <c r="C79" s="130"/>
      <c r="D79" s="111"/>
      <c r="E79" s="94" t="str">
        <f>XADC!$C$7</f>
        <v xml:space="preserve"> </v>
      </c>
      <c r="F79" s="11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row>
    <row r="80" spans="1:47" ht="76.5" outlineLevel="1">
      <c r="A80" s="148" t="str">
        <f>XADC!A8</f>
        <v>AD0P to AD15P</v>
      </c>
      <c r="B80" s="93" t="str">
        <f>XADC!$B$8</f>
        <v>These are multi-function pins that can support analog inputs or can be used as regular digital I/O. These pins support up to 16 positive input terminals of the differential auxiliary analog input channels (VAUXP/VAUXN). The analog input channels are very flexible and support multiple analog input signal types. When not being used as analog inputs, these pins can be treated like any other digital I/O.</v>
      </c>
      <c r="C80" s="130"/>
      <c r="D80" s="111"/>
      <c r="E80" s="94" t="str">
        <f>XADC!$C$8</f>
        <v>Auxiliary channels 6, 7, 13, 14, and 15 are not supported on Kintex-7 devices.</v>
      </c>
      <c r="F80" s="11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row>
    <row r="81" spans="1:47" ht="76.5" outlineLevel="1">
      <c r="A81" s="144" t="str">
        <f>XADC!A9</f>
        <v>AD0N to AD15N</v>
      </c>
      <c r="B81" s="92" t="str">
        <f>XADC!$B$9</f>
        <v>These are multi-function pins that can support analog inputs or can be used as regular digital I/O. These pins support up to 16 negative input terminals of the differential auxiliary analog input channels (VAUXP/VAUXN). The analog input channels are very flexible and support multiple analog input signal types. When not being used as analog inputs, these pins can be treated like any other digital I/O.</v>
      </c>
      <c r="C81" s="112"/>
      <c r="D81" s="111"/>
      <c r="E81" s="94" t="str">
        <f>XADC!$C$9</f>
        <v>Auxiliary channels 6, 7, 13, 14, and 15 are not supported on Kintex-7 devices.</v>
      </c>
      <c r="F81" s="11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row>
    <row r="82" spans="1:47" outlineLevel="1">
      <c r="A82" s="113"/>
      <c r="B82" s="113"/>
      <c r="C82" s="113"/>
      <c r="D82" s="113"/>
      <c r="E82" s="113"/>
      <c r="F82" s="113"/>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row>
    <row r="83" spans="1:47">
      <c r="A83" s="113"/>
      <c r="B83" s="113"/>
      <c r="C83" s="113"/>
      <c r="D83" s="113"/>
      <c r="E83" s="113"/>
      <c r="F83" s="113"/>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row>
    <row r="84" spans="1:47" hidden="1">
      <c r="A84" s="240" t="s">
        <v>261</v>
      </c>
      <c r="B84" s="240"/>
      <c r="C84" s="240"/>
      <c r="D84" s="240"/>
      <c r="E84" s="240"/>
      <c r="F84" s="240"/>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row>
    <row r="85" spans="1:47" hidden="1" outlineLevel="1">
      <c r="A85" s="144" t="s">
        <v>144</v>
      </c>
      <c r="B85" s="118" t="str">
        <f>HYPERLINK("http://www.xilinx.com/support/documentation/user_guides/ug476_7Series_Transceivers.pdf","See User Guide  476")</f>
        <v>See User Guide  476</v>
      </c>
      <c r="C85" s="113"/>
      <c r="D85" s="113"/>
      <c r="E85" s="113"/>
      <c r="F85" s="113"/>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row>
    <row r="86" spans="1:47" hidden="1" outlineLevel="1">
      <c r="A86" s="113"/>
      <c r="B86" s="113"/>
      <c r="C86" s="113"/>
      <c r="D86" s="113"/>
      <c r="E86" s="113"/>
      <c r="F86" s="113"/>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row>
    <row r="87" spans="1:47" hidden="1" outlineLevel="1">
      <c r="A87" s="119" t="s">
        <v>176</v>
      </c>
      <c r="B87" s="119" t="s">
        <v>157</v>
      </c>
      <c r="C87" s="119" t="s">
        <v>158</v>
      </c>
      <c r="D87" s="119" t="s">
        <v>159</v>
      </c>
      <c r="E87" s="119" t="s">
        <v>206</v>
      </c>
      <c r="F87" s="119" t="s">
        <v>68</v>
      </c>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row>
    <row r="88" spans="1:47" hidden="1" outlineLevel="1">
      <c r="A88" s="150" t="str">
        <f>IF($B$5="",'Warning Messages'!$B$13,IF($B$6="",'Warning Messages'!$B$14,IF(COUNTIF(IO_Type_Lookup,$B$5&amp;$B$6),IF(VLOOKUP($B$5&amp;$B$6,IO_Type_Lookup,7,FALSE) = "N/A",IF(VLOOKUP($B$5&amp;$B$6,IO_Type_Lookup,8,FALSE) = "N/A",IF(VLOOKUP($B$5&amp;$B$6,IO_Type_Lookup,9,FALSE) = "N/A",'Warning Messages'!$B$16,GTP!A2),'GTH-GTX'!A2),'GTH-GTX'!A2),'Warning Messages'!$B$3)))</f>
        <v>No GTs exist in this device.</v>
      </c>
      <c r="B88" s="114" t="str">
        <f>IF($B$5="",'Warning Messages'!$B$13,IF($B$6="",'Warning Messages'!$B$14,IF(COUNTIF(IO_Type_Lookup,$B$5&amp;$B$6),IF(VLOOKUP($B$5&amp;$B$6,IO_Type_Lookup,7,FALSE) = "N/A",IF(VLOOKUP($B$5&amp;$B$6,IO_Type_Lookup,8,FALSE) = "N/A",IF(VLOOKUP($B$5&amp;$B$6,IO_Type_Lookup,9,FALSE) = "N/A",'Warning Messages'!$B$16,GTP!B2),'GTH-GTX'!B2),'GTH-GTX'!B2),'Warning Messages'!$B$3)))</f>
        <v>No GTs exist in this device.</v>
      </c>
      <c r="C88" s="131"/>
      <c r="D88" s="110"/>
      <c r="E88" s="114" t="str">
        <f>IF($B$5="",'Warning Messages'!$B$13,IF($B$6="",'Warning Messages'!$B$14,IF(COUNTIF(IO_Type_Lookup,$B$5&amp;$B$6),IF(VLOOKUP($B$5&amp;$B$6,IO_Type_Lookup,7,FALSE) = "N/A",IF(VLOOKUP($B$5&amp;$B$6,IO_Type_Lookup,8,FALSE) = "N/A",IF(VLOOKUP($B$5&amp;$B$6,IO_Type_Lookup,9,FALSE) = "N/A",'Warning Messages'!$B$16,GTP!C2),'GTH-GTX'!C2),'GTH-GTX'!C2),'Warning Messages'!$B$3)))</f>
        <v>No GTs exist in this device.</v>
      </c>
      <c r="F88" s="129"/>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row>
    <row r="89" spans="1:47" hidden="1" outlineLevel="1">
      <c r="A89" s="145" t="str">
        <f>IF($B$5="",'Warning Messages'!$B$13,IF($B$6="",'Warning Messages'!$B$14,IF(COUNTIF(IO_Type_Lookup,$B$5&amp;$B$6),IF(VLOOKUP($B$5&amp;$B$6,IO_Type_Lookup,7,FALSE) = "N/A",IF(VLOOKUP($B$5&amp;$B$6,IO_Type_Lookup,8,FALSE) = "N/A",IF(VLOOKUP($B$5&amp;$B$6,IO_Type_Lookup,9,FALSE) = "N/A",'Warning Messages'!$B$16,GTP!A3),'GTH-GTX'!A3),'GTH-GTX'!A3),'Warning Messages'!$B$3)))</f>
        <v>No GTs exist in this device.</v>
      </c>
      <c r="B89" s="92" t="str">
        <f>IF($B$5="",'Warning Messages'!$B$13,IF($B$6="",'Warning Messages'!$B$14,IF(COUNTIF(IO_Type_Lookup,$B$5&amp;$B$6),IF(VLOOKUP($B$5&amp;$B$6,IO_Type_Lookup,7,FALSE) = "N/A",IF(VLOOKUP($B$5&amp;$B$6,IO_Type_Lookup,8,FALSE) = "N/A",IF(VLOOKUP($B$5&amp;$B$6,IO_Type_Lookup,9,FALSE) = "N/A",'Warning Messages'!$B$16,GTP!B3),'GTH-GTX'!B3),'GTH-GTX'!B3),'Warning Messages'!$B$3)))</f>
        <v>No GTs exist in this device.</v>
      </c>
      <c r="C89" s="130"/>
      <c r="D89" s="111"/>
      <c r="E89" s="92" t="str">
        <f>IF($B$5="",'Warning Messages'!$B$13,IF($B$6="",'Warning Messages'!$B$14,IF(COUNTIF(IO_Type_Lookup,$B$5&amp;$B$6),IF(VLOOKUP($B$5&amp;$B$6,IO_Type_Lookup,7,FALSE) = "N/A",IF(VLOOKUP($B$5&amp;$B$6,IO_Type_Lookup,8,FALSE) = "N/A",IF(VLOOKUP($B$5&amp;$B$6,IO_Type_Lookup,9,FALSE) = "N/A",'Warning Messages'!$B$16,GTP!C3),'GTH-GTX'!C3),'GTH-GTX'!C3),'Warning Messages'!$B$3)))</f>
        <v>No GTs exist in this device.</v>
      </c>
      <c r="F89" s="11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row>
    <row r="90" spans="1:47" hidden="1" outlineLevel="1">
      <c r="A90" s="145" t="str">
        <f>IF($B$5="",'Warning Messages'!$B$13,IF($B$6="",'Warning Messages'!$B$14,IF(COUNTIF(IO_Type_Lookup,$B$5&amp;$B$6),IF(VLOOKUP($B$5&amp;$B$6,IO_Type_Lookup,7,FALSE) = "N/A",IF(VLOOKUP($B$5&amp;$B$6,IO_Type_Lookup,8,FALSE) = "N/A",IF(VLOOKUP($B$5&amp;$B$6,IO_Type_Lookup,9,FALSE) = "N/A",'Warning Messages'!$B$16,GTP!A4),'GTH-GTX'!A4),'GTH-GTX'!A4),'Warning Messages'!$B$3)))</f>
        <v>No GTs exist in this device.</v>
      </c>
      <c r="B90" s="92" t="str">
        <f>IF($B$5="",'Warning Messages'!$B$13,IF($B$6="",'Warning Messages'!$B$14,IF(COUNTIF(IO_Type_Lookup,$B$5&amp;$B$6),IF(VLOOKUP($B$5&amp;$B$6,IO_Type_Lookup,7,FALSE) = "N/A",IF(VLOOKUP($B$5&amp;$B$6,IO_Type_Lookup,8,FALSE) = "N/A",IF(VLOOKUP($B$5&amp;$B$6,IO_Type_Lookup,9,FALSE) = "N/A",'Warning Messages'!$B$16,GTP!B4),'GTH-GTX'!B4),'GTH-GTX'!B4),'Warning Messages'!$B$3)))</f>
        <v>No GTs exist in this device.</v>
      </c>
      <c r="C90" s="130"/>
      <c r="D90" s="111"/>
      <c r="E90" s="92" t="str">
        <f>IF($B$5="",'Warning Messages'!$B$13,IF($B$6="",'Warning Messages'!$B$14,IF(COUNTIF(IO_Type_Lookup,$B$5&amp;$B$6),IF(VLOOKUP($B$5&amp;$B$6,IO_Type_Lookup,7,FALSE) = "N/A",IF(VLOOKUP($B$5&amp;$B$6,IO_Type_Lookup,8,FALSE) = "N/A",IF(VLOOKUP($B$5&amp;$B$6,IO_Type_Lookup,9,FALSE) = "N/A",'Warning Messages'!$B$16,GTP!C4),'GTH-GTX'!C4),'GTH-GTX'!C4),'Warning Messages'!$B$3)))</f>
        <v>No GTs exist in this device.</v>
      </c>
      <c r="F90" s="11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row>
    <row r="91" spans="1:47" hidden="1" outlineLevel="1">
      <c r="A91" s="145" t="str">
        <f>IF($B$5="",'Warning Messages'!$B$13,IF($B$6="",'Warning Messages'!$B$14,IF(COUNTIF(IO_Type_Lookup,$B$5&amp;$B$6),IF(VLOOKUP($B$5&amp;$B$6,IO_Type_Lookup,7,FALSE) = "N/A",IF(VLOOKUP($B$5&amp;$B$6,IO_Type_Lookup,8,FALSE) = "N/A",IF(VLOOKUP($B$5&amp;$B$6,IO_Type_Lookup,9,FALSE) = "N/A",'Warning Messages'!$B$16,GTP!A5),'GTH-GTX'!A5),'GTH-GTX'!A5),'Warning Messages'!$B$3)))</f>
        <v>No GTs exist in this device.</v>
      </c>
      <c r="B91" s="92" t="str">
        <f>IF($B$5="",'Warning Messages'!$B$13,IF($B$6="",'Warning Messages'!$B$14,IF(COUNTIF(IO_Type_Lookup,$B$5&amp;$B$6),IF(VLOOKUP($B$5&amp;$B$6,IO_Type_Lookup,7,FALSE) = "N/A",IF(VLOOKUP($B$5&amp;$B$6,IO_Type_Lookup,8,FALSE) = "N/A",IF(VLOOKUP($B$5&amp;$B$6,IO_Type_Lookup,9,FALSE) = "N/A",'Warning Messages'!$B$16,GTP!B5),'GTH-GTX'!B5),'GTH-GTX'!B5),'Warning Messages'!$B$3)))</f>
        <v>No GTs exist in this device.</v>
      </c>
      <c r="C91" s="130"/>
      <c r="D91" s="111"/>
      <c r="E91" s="92" t="str">
        <f>IF($B$5="",'Warning Messages'!$B$13,IF($B$6="",'Warning Messages'!$B$14,IF(COUNTIF(IO_Type_Lookup,$B$5&amp;$B$6),IF(VLOOKUP($B$5&amp;$B$6,IO_Type_Lookup,7,FALSE) = "N/A",IF(VLOOKUP($B$5&amp;$B$6,IO_Type_Lookup,8,FALSE) = "N/A",IF(VLOOKUP($B$5&amp;$B$6,IO_Type_Lookup,9,FALSE) = "N/A",'Warning Messages'!$B$16,GTP!C5),'GTH-GTX'!C5),'GTH-GTX'!C5),'Warning Messages'!$B$3)))</f>
        <v>No GTs exist in this device.</v>
      </c>
      <c r="F91" s="11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row>
    <row r="92" spans="1:47" hidden="1" outlineLevel="1">
      <c r="A92" s="145" t="str">
        <f>IF($B$5="",'Warning Messages'!$B$13,IF($B$6="",'Warning Messages'!$B$14,IF(COUNTIF(IO_Type_Lookup,$B$5&amp;$B$6),IF(VLOOKUP($B$5&amp;$B$6,IO_Type_Lookup,7,FALSE) = "N/A",IF(VLOOKUP($B$5&amp;$B$6,IO_Type_Lookup,8,FALSE) = "N/A",IF(VLOOKUP($B$5&amp;$B$6,IO_Type_Lookup,9,FALSE) = "N/A",'Warning Messages'!$B$16,GTP!A6),'GTH-GTX'!A6),'GTH-GTX'!A6),'Warning Messages'!$B$3)))</f>
        <v>No GTs exist in this device.</v>
      </c>
      <c r="B92" s="92" t="str">
        <f>IF($B$5="",'Warning Messages'!$B$13,IF($B$6="",'Warning Messages'!$B$14,IF(COUNTIF(IO_Type_Lookup,$B$5&amp;$B$6),IF(VLOOKUP($B$5&amp;$B$6,IO_Type_Lookup,7,FALSE) = "N/A",IF(VLOOKUP($B$5&amp;$B$6,IO_Type_Lookup,8,FALSE) = "N/A",IF(VLOOKUP($B$5&amp;$B$6,IO_Type_Lookup,9,FALSE) = "N/A",'Warning Messages'!$B$16,GTP!B6),'GTH-GTX'!B6),'GTH-GTX'!B6),'Warning Messages'!$B$3)))</f>
        <v>No GTs exist in this device.</v>
      </c>
      <c r="C92" s="130"/>
      <c r="D92" s="111"/>
      <c r="E92" s="92" t="str">
        <f>IF($B$5="",'Warning Messages'!$B$13,IF($B$6="",'Warning Messages'!$B$14,IF(COUNTIF(IO_Type_Lookup,$B$5&amp;$B$6),IF(VLOOKUP($B$5&amp;$B$6,IO_Type_Lookup,7,FALSE) = "N/A",IF(VLOOKUP($B$5&amp;$B$6,IO_Type_Lookup,8,FALSE) = "N/A",IF(VLOOKUP($B$5&amp;$B$6,IO_Type_Lookup,9,FALSE) = "N/A",'Warning Messages'!$B$16,GTP!C6),'GTH-GTX'!C6),'GTH-GTX'!C6),'Warning Messages'!$B$3)))</f>
        <v>No GTs exist in this device.</v>
      </c>
      <c r="F92" s="11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row>
    <row r="93" spans="1:47" hidden="1" outlineLevel="1">
      <c r="A93" s="145" t="str">
        <f>IF($B$5="",'Warning Messages'!$B$13,IF($B$6="",'Warning Messages'!$B$14,IF(COUNTIF(IO_Type_Lookup,$B$5&amp;$B$6),IF(VLOOKUP($B$5&amp;$B$6,IO_Type_Lookup,7,FALSE) = "N/A",IF(VLOOKUP($B$5&amp;$B$6,IO_Type_Lookup,8,FALSE) = "N/A",IF(VLOOKUP($B$5&amp;$B$6,IO_Type_Lookup,9,FALSE) = "N/A",'Warning Messages'!$B$16,GTP!A7),'GTH-GTX'!A7),'GTH-GTX'!A7),'Warning Messages'!$B$3)))</f>
        <v>No GTs exist in this device.</v>
      </c>
      <c r="B93" s="92" t="str">
        <f>IF($B$5="",'Warning Messages'!$B$13,IF($B$6="",'Warning Messages'!$B$14,IF(COUNTIF(IO_Type_Lookup,$B$5&amp;$B$6),IF(VLOOKUP($B$5&amp;$B$6,IO_Type_Lookup,7,FALSE) = "N/A",IF(VLOOKUP($B$5&amp;$B$6,IO_Type_Lookup,8,FALSE) = "N/A",IF(VLOOKUP($B$5&amp;$B$6,IO_Type_Lookup,9,FALSE) = "N/A",'Warning Messages'!$B$16,GTP!B7),'GTH-GTX'!B7),'GTH-GTX'!B7),'Warning Messages'!$B$3)))</f>
        <v>No GTs exist in this device.</v>
      </c>
      <c r="C93" s="130"/>
      <c r="D93" s="111"/>
      <c r="E93" s="92" t="str">
        <f>IF($B$5="",'Warning Messages'!$B$13,IF($B$6="",'Warning Messages'!$B$14,IF(COUNTIF(IO_Type_Lookup,$B$5&amp;$B$6),IF(VLOOKUP($B$5&amp;$B$6,IO_Type_Lookup,7,FALSE) = "N/A",IF(VLOOKUP($B$5&amp;$B$6,IO_Type_Lookup,8,FALSE) = "N/A",IF(VLOOKUP($B$5&amp;$B$6,IO_Type_Lookup,9,FALSE) = "N/A",'Warning Messages'!$B$16,GTP!C7),'GTH-GTX'!C7),'GTH-GTX'!C7),'Warning Messages'!$B$3)))</f>
        <v>No GTs exist in this device.</v>
      </c>
      <c r="F93" s="11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row>
    <row r="94" spans="1:47" hidden="1" outlineLevel="1">
      <c r="A94" s="145" t="str">
        <f>IF($B$5="",'Warning Messages'!$B$13,IF($B$6="",'Warning Messages'!$B$14,IF(COUNTIF(IO_Type_Lookup,$B$5&amp;$B$6),IF(VLOOKUP($B$5&amp;$B$6,IO_Type_Lookup,7,FALSE) = "N/A",IF(VLOOKUP($B$5&amp;$B$6,IO_Type_Lookup,8,FALSE) = "N/A",IF(VLOOKUP($B$5&amp;$B$6,IO_Type_Lookup,9,FALSE) = "N/A",'Warning Messages'!$B$16,GTP!A8),'GTH-GTX'!A8),'GTH-GTX'!A8),'Warning Messages'!$B$3)))</f>
        <v>No GTs exist in this device.</v>
      </c>
      <c r="B94" s="92" t="str">
        <f>IF($B$5="",'Warning Messages'!$B$13,IF($B$6="",'Warning Messages'!$B$14,IF(COUNTIF(IO_Type_Lookup,$B$5&amp;$B$6),IF(VLOOKUP($B$5&amp;$B$6,IO_Type_Lookup,7,FALSE) = "N/A",IF(VLOOKUP($B$5&amp;$B$6,IO_Type_Lookup,8,FALSE) = "N/A",IF(VLOOKUP($B$5&amp;$B$6,IO_Type_Lookup,9,FALSE) = "N/A",'Warning Messages'!$B$16,GTP!B8),'GTH-GTX'!B8),'GTH-GTX'!B8),'Warning Messages'!$B$3)))</f>
        <v>No GTs exist in this device.</v>
      </c>
      <c r="C94" s="130"/>
      <c r="D94" s="111"/>
      <c r="E94" s="92" t="str">
        <f>IF($B$5="",'Warning Messages'!$B$13,IF($B$6="",'Warning Messages'!$B$14,IF(COUNTIF(IO_Type_Lookup,$B$5&amp;$B$6),IF(VLOOKUP($B$5&amp;$B$6,IO_Type_Lookup,7,FALSE) = "N/A",IF(VLOOKUP($B$5&amp;$B$6,IO_Type_Lookup,8,FALSE) = "N/A",IF(VLOOKUP($B$5&amp;$B$6,IO_Type_Lookup,9,FALSE) = "N/A",'Warning Messages'!$B$16,GTP!C8),'GTH-GTX'!C8),'GTH-GTX'!C8),'Warning Messages'!$B$3)))</f>
        <v>No GTs exist in this device.</v>
      </c>
      <c r="F94" s="11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row>
    <row r="95" spans="1:47" hidden="1" outlineLevel="1">
      <c r="A95" s="145" t="str">
        <f>IF($B$5="",'Warning Messages'!$B$13,IF($B$6="",'Warning Messages'!$B$14,IF(COUNTIF(IO_Type_Lookup,$B$5&amp;$B$6),IF(VLOOKUP($B$5&amp;$B$6,IO_Type_Lookup,7,FALSE) = "N/A",IF(VLOOKUP($B$5&amp;$B$6,IO_Type_Lookup,8,FALSE) = "N/A",IF(VLOOKUP($B$5&amp;$B$6,IO_Type_Lookup,9,FALSE) = "N/A",'Warning Messages'!$B$16,GTP!A9),'GTH-GTX'!A9),'GTH-GTX'!A9),'Warning Messages'!$B$3)))</f>
        <v>No GTs exist in this device.</v>
      </c>
      <c r="B95" s="92" t="str">
        <f>IF($B$5="",'Warning Messages'!$B$13,IF($B$6="",'Warning Messages'!$B$14,IF(COUNTIF(IO_Type_Lookup,$B$5&amp;$B$6),IF(VLOOKUP($B$5&amp;$B$6,IO_Type_Lookup,7,FALSE) = "N/A",IF(VLOOKUP($B$5&amp;$B$6,IO_Type_Lookup,8,FALSE) = "N/A",IF(VLOOKUP($B$5&amp;$B$6,IO_Type_Lookup,9,FALSE) = "N/A",'Warning Messages'!$B$16,GTP!B9),'GTH-GTX'!B9),'GTH-GTX'!B9),'Warning Messages'!$B$3)))</f>
        <v>No GTs exist in this device.</v>
      </c>
      <c r="C95" s="112"/>
      <c r="D95" s="111"/>
      <c r="E95" s="92" t="str">
        <f>IF($B$5="",'Warning Messages'!$B$13,IF($B$6="",'Warning Messages'!$B$14,IF(COUNTIF(IO_Type_Lookup,$B$5&amp;$B$6),IF(VLOOKUP($B$5&amp;$B$6,IO_Type_Lookup,7,FALSE) = "N/A",IF(VLOOKUP($B$5&amp;$B$6,IO_Type_Lookup,8,FALSE) = "N/A",IF(VLOOKUP($B$5&amp;$B$6,IO_Type_Lookup,9,FALSE) = "N/A",'Warning Messages'!$B$16,GTP!C9),'GTH-GTX'!C9),'GTH-GTX'!C9),'Warning Messages'!$B$3)))</f>
        <v>No GTs exist in this device.</v>
      </c>
      <c r="F95" s="11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row>
    <row r="96" spans="1:47" hidden="1" outlineLevel="1">
      <c r="A96" s="113"/>
      <c r="B96" s="113"/>
      <c r="C96" s="113"/>
      <c r="D96" s="113"/>
      <c r="E96" s="113"/>
      <c r="F96" s="113"/>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row>
    <row r="97" spans="1:47" hidden="1">
      <c r="A97" s="113"/>
      <c r="B97" s="113"/>
      <c r="C97" s="113"/>
      <c r="D97" s="113"/>
      <c r="E97" s="113"/>
      <c r="F97" s="113"/>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row>
    <row r="98" spans="1:47" hidden="1">
      <c r="A98" s="240" t="s">
        <v>856</v>
      </c>
      <c r="B98" s="240"/>
      <c r="C98" s="240"/>
      <c r="D98" s="240"/>
      <c r="E98" s="240"/>
      <c r="F98" s="240"/>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row>
    <row r="99" spans="1:47" hidden="1" outlineLevel="1">
      <c r="A99" s="144" t="s">
        <v>144</v>
      </c>
      <c r="B99" s="118"/>
      <c r="C99" s="113"/>
      <c r="D99" s="113"/>
      <c r="E99" s="113"/>
      <c r="F99" s="113"/>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row>
    <row r="100" spans="1:47" hidden="1" outlineLevel="1">
      <c r="A100" s="113"/>
      <c r="B100" s="113"/>
      <c r="C100" s="113"/>
      <c r="D100" s="113"/>
      <c r="E100" s="113"/>
      <c r="F100" s="113"/>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row>
    <row r="101" spans="1:47" hidden="1" outlineLevel="1">
      <c r="A101" s="119" t="s">
        <v>176</v>
      </c>
      <c r="B101" s="119" t="s">
        <v>157</v>
      </c>
      <c r="C101" s="119" t="s">
        <v>158</v>
      </c>
      <c r="D101" s="119" t="s">
        <v>159</v>
      </c>
      <c r="E101" s="119" t="s">
        <v>206</v>
      </c>
      <c r="F101" s="119" t="s">
        <v>68</v>
      </c>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row>
    <row r="102" spans="1:47" hidden="1" outlineLevel="1">
      <c r="A102" s="150" t="str">
        <f>IF($B$5="",'Warning Messages'!$B$13,IF($B$6="",'Warning Messages'!$B$14,IF(COUNTIF(IO_Type_Lookup,$B$5&amp;$B$6),IF(VLOOKUP($B$5&amp;$B$6,IO_Type_Lookup,12,FALSE) = "N/A",'Warning Messages'!$B$20,GTZ!A1),'Warning Messages'!$B$3)))</f>
        <v>No GTZs exist in this device.</v>
      </c>
      <c r="B102" s="114" t="str">
        <f>IF($B$5="",'Warning Messages'!$B$13,IF($B$6="",'Warning Messages'!$B$14,IF(COUNTIF(IO_Type_Lookup,$B$5&amp;$B$6),IF(VLOOKUP($B$5&amp;$B$6,IO_Type_Lookup,12,FALSE) = "N/A",'Warning Messages'!$B$20,GTZ!B1),'Warning Messages'!$B$3)))</f>
        <v>No GTZs exist in this device.</v>
      </c>
      <c r="C102" s="131"/>
      <c r="D102" s="110"/>
      <c r="E102" s="114" t="str">
        <f>IF($B$5="",'Warning Messages'!$B$13,IF($B$6="",'Warning Messages'!$B$14,IF(COUNTIF(IO_Type_Lookup,$B$5&amp;$B$6),IF(VLOOKUP($B$5&amp;$B$6,IO_Type_Lookup,12,FALSE) = "N/A",'Warning Messages'!$B$16,GTZ!C1),'Warning Messages'!$B$3)))</f>
        <v>No GTs exist in this device.</v>
      </c>
      <c r="F102" s="129"/>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row>
    <row r="103" spans="1:47" hidden="1" outlineLevel="1">
      <c r="A103" s="145" t="str">
        <f>IF($B$5="",'Warning Messages'!$B$13,IF($B$6="",'Warning Messages'!$B$14,IF(COUNTIF(IO_Type_Lookup,$B$5&amp;$B$6),IF(VLOOKUP($B$5&amp;$B$6,IO_Type_Lookup,12,FALSE) = "N/A",'Warning Messages'!$B$20,GTZ!A2),'Warning Messages'!$B$3)))</f>
        <v>No GTZs exist in this device.</v>
      </c>
      <c r="B103" s="92" t="str">
        <f>IF($B$5="",'Warning Messages'!$B$13,IF($B$6="",'Warning Messages'!$B$14,IF(COUNTIF(IO_Type_Lookup,$B$5&amp;$B$6),IF(VLOOKUP($B$5&amp;$B$6,IO_Type_Lookup,12,FALSE) = "N/A",'Warning Messages'!$B$20,GTZ!B2),'Warning Messages'!$B$3)))</f>
        <v>No GTZs exist in this device.</v>
      </c>
      <c r="C103" s="130"/>
      <c r="D103" s="111"/>
      <c r="E103" s="92" t="str">
        <f>IF($B$5="",'Warning Messages'!$B$13,IF($B$6="",'Warning Messages'!$B$14,IF(COUNTIF(IO_Type_Lookup,$B$5&amp;$B$6),IF(VLOOKUP($B$5&amp;$B$6,IO_Type_Lookup,12,FALSE) = "N/A",'Warning Messages'!$B$16,GTZ!C2),'Warning Messages'!$B$3)))</f>
        <v>No GTs exist in this device.</v>
      </c>
      <c r="F103" s="11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row>
    <row r="104" spans="1:47" hidden="1" outlineLevel="1">
      <c r="A104" s="145" t="str">
        <f>IF($B$5="",'Warning Messages'!$B$13,IF($B$6="",'Warning Messages'!$B$14,IF(COUNTIF(IO_Type_Lookup,$B$5&amp;$B$6),IF(VLOOKUP($B$5&amp;$B$6,IO_Type_Lookup,12,FALSE) = "N/A",'Warning Messages'!$B$20,GTZ!A3),'Warning Messages'!$B$3)))</f>
        <v>No GTZs exist in this device.</v>
      </c>
      <c r="B104" s="92" t="str">
        <f>IF($B$5="",'Warning Messages'!$B$13,IF($B$6="",'Warning Messages'!$B$14,IF(COUNTIF(IO_Type_Lookup,$B$5&amp;$B$6),IF(VLOOKUP($B$5&amp;$B$6,IO_Type_Lookup,12,FALSE) = "N/A",'Warning Messages'!$B$20,GTZ!B3),'Warning Messages'!$B$3)))</f>
        <v>No GTZs exist in this device.</v>
      </c>
      <c r="C104" s="130"/>
      <c r="D104" s="111"/>
      <c r="E104" s="92" t="str">
        <f>IF($B$5="",'Warning Messages'!$B$13,IF($B$6="",'Warning Messages'!$B$14,IF(COUNTIF(IO_Type_Lookup,$B$5&amp;$B$6),IF(VLOOKUP($B$5&amp;$B$6,IO_Type_Lookup,12,FALSE) = "N/A",'Warning Messages'!$B$16,GTZ!C3),'Warning Messages'!$B$3)))</f>
        <v>No GTs exist in this device.</v>
      </c>
      <c r="F104" s="11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row>
    <row r="105" spans="1:47" hidden="1" outlineLevel="1">
      <c r="A105" s="145" t="str">
        <f>IF($B$5="",'Warning Messages'!$B$13,IF($B$6="",'Warning Messages'!$B$14,IF(COUNTIF(IO_Type_Lookup,$B$5&amp;$B$6),IF(VLOOKUP($B$5&amp;$B$6,IO_Type_Lookup,12,FALSE) = "N/A",'Warning Messages'!$B$20,GTZ!A4),'Warning Messages'!$B$3)))</f>
        <v>No GTZs exist in this device.</v>
      </c>
      <c r="B105" s="92" t="str">
        <f>IF($B$5="",'Warning Messages'!$B$13,IF($B$6="",'Warning Messages'!$B$14,IF(COUNTIF(IO_Type_Lookup,$B$5&amp;$B$6),IF(VLOOKUP($B$5&amp;$B$6,IO_Type_Lookup,12,FALSE) = "N/A",'Warning Messages'!$B$20,GTZ!B4),'Warning Messages'!$B$3)))</f>
        <v>No GTZs exist in this device.</v>
      </c>
      <c r="C105" s="130"/>
      <c r="D105" s="111"/>
      <c r="E105" s="92" t="str">
        <f>IF($B$5="",'Warning Messages'!$B$13,IF($B$6="",'Warning Messages'!$B$14,IF(COUNTIF(IO_Type_Lookup,$B$5&amp;$B$6),IF(VLOOKUP($B$5&amp;$B$6,IO_Type_Lookup,12,FALSE) = "N/A",'Warning Messages'!$B$16,GTZ!C4),'Warning Messages'!$B$3)))</f>
        <v>No GTs exist in this device.</v>
      </c>
      <c r="F105" s="11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row>
    <row r="106" spans="1:47" hidden="1" outlineLevel="1">
      <c r="A106" s="145" t="str">
        <f>IF($B$5="",'Warning Messages'!$B$13,IF($B$6="",'Warning Messages'!$B$14,IF(COUNTIF(IO_Type_Lookup,$B$5&amp;$B$6),IF(VLOOKUP($B$5&amp;$B$6,IO_Type_Lookup,12,FALSE) = "N/A",'Warning Messages'!$B$20,GTZ!A5),'Warning Messages'!$B$3)))</f>
        <v>No GTZs exist in this device.</v>
      </c>
      <c r="B106" s="92" t="str">
        <f>IF($B$5="",'Warning Messages'!$B$13,IF($B$6="",'Warning Messages'!$B$14,IF(COUNTIF(IO_Type_Lookup,$B$5&amp;$B$6),IF(VLOOKUP($B$5&amp;$B$6,IO_Type_Lookup,12,FALSE) = "N/A",'Warning Messages'!$B$20,GTZ!B5),'Warning Messages'!$B$3)))</f>
        <v>No GTZs exist in this device.</v>
      </c>
      <c r="C106" s="130"/>
      <c r="D106" s="111"/>
      <c r="E106" s="92" t="str">
        <f>IF($B$5="",'Warning Messages'!$B$13,IF($B$6="",'Warning Messages'!$B$14,IF(COUNTIF(IO_Type_Lookup,$B$5&amp;$B$6),IF(VLOOKUP($B$5&amp;$B$6,IO_Type_Lookup,12,FALSE) = "N/A",'Warning Messages'!$B$16,GTZ!C5),'Warning Messages'!$B$3)))</f>
        <v>No GTs exist in this device.</v>
      </c>
      <c r="F106" s="11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row>
    <row r="107" spans="1:47" hidden="1" outlineLevel="1">
      <c r="A107" s="145" t="str">
        <f>IF($B$5="",'Warning Messages'!$B$13,IF($B$6="",'Warning Messages'!$B$14,IF(COUNTIF(IO_Type_Lookup,$B$5&amp;$B$6),IF(VLOOKUP($B$5&amp;$B$6,IO_Type_Lookup,12,FALSE) = "N/A",'Warning Messages'!$B$20,GTZ!A6),'Warning Messages'!$B$3)))</f>
        <v>No GTZs exist in this device.</v>
      </c>
      <c r="B107" s="92" t="str">
        <f>IF($B$5="",'Warning Messages'!$B$13,IF($B$6="",'Warning Messages'!$B$14,IF(COUNTIF(IO_Type_Lookup,$B$5&amp;$B$6),IF(VLOOKUP($B$5&amp;$B$6,IO_Type_Lookup,12,FALSE) = "N/A",'Warning Messages'!$B$20,GTZ!B6),'Warning Messages'!$B$3)))</f>
        <v>No GTZs exist in this device.</v>
      </c>
      <c r="C107" s="130"/>
      <c r="D107" s="111"/>
      <c r="E107" s="92" t="str">
        <f>IF($B$5="",'Warning Messages'!$B$13,IF($B$6="",'Warning Messages'!$B$14,IF(COUNTIF(IO_Type_Lookup,$B$5&amp;$B$6),IF(VLOOKUP($B$5&amp;$B$6,IO_Type_Lookup,12,FALSE) = "N/A",'Warning Messages'!$B$16,GTZ!C6),'Warning Messages'!$B$3)))</f>
        <v>No GTs exist in this device.</v>
      </c>
      <c r="F107" s="11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row>
    <row r="108" spans="1:47" hidden="1" outlineLevel="1">
      <c r="A108" s="145" t="str">
        <f>IF($B$5="",'Warning Messages'!$B$13,IF($B$6="",'Warning Messages'!$B$14,IF(COUNTIF(IO_Type_Lookup,$B$5&amp;$B$6),IF(VLOOKUP($B$5&amp;$B$6,IO_Type_Lookup,12,FALSE) = "N/A",'Warning Messages'!$B$20,GTZ!A7),'Warning Messages'!$B$3)))</f>
        <v>No GTZs exist in this device.</v>
      </c>
      <c r="B108" s="92" t="str">
        <f>IF($B$5="",'Warning Messages'!$B$13,IF($B$6="",'Warning Messages'!$B$14,IF(COUNTIF(IO_Type_Lookup,$B$5&amp;$B$6),IF(VLOOKUP($B$5&amp;$B$6,IO_Type_Lookup,12,FALSE) = "N/A",'Warning Messages'!$B$20,GTZ!B7),'Warning Messages'!$B$3)))</f>
        <v>No GTZs exist in this device.</v>
      </c>
      <c r="C108" s="130"/>
      <c r="D108" s="111"/>
      <c r="E108" s="92" t="str">
        <f>IF($B$5="",'Warning Messages'!$B$13,IF($B$6="",'Warning Messages'!$B$14,IF(COUNTIF(IO_Type_Lookup,$B$5&amp;$B$6),IF(VLOOKUP($B$5&amp;$B$6,IO_Type_Lookup,12,FALSE) = "N/A",'Warning Messages'!$B$16,GTZ!C7),'Warning Messages'!$B$3)))</f>
        <v>No GTs exist in this device.</v>
      </c>
      <c r="F108" s="11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row>
    <row r="109" spans="1:47" hidden="1" outlineLevel="1">
      <c r="A109" s="145" t="str">
        <f>IF($B$5="",'Warning Messages'!$B$13,IF($B$6="",'Warning Messages'!$B$14,IF(COUNTIF(IO_Type_Lookup,$B$5&amp;$B$6),IF(VLOOKUP($B$5&amp;$B$6,IO_Type_Lookup,12,FALSE) = "N/A",'Warning Messages'!$B$20,GTZ!A8),'Warning Messages'!$B$3)))</f>
        <v>No GTZs exist in this device.</v>
      </c>
      <c r="B109" s="92" t="str">
        <f>IF($B$5="",'Warning Messages'!$B$13,IF($B$6="",'Warning Messages'!$B$14,IF(COUNTIF(IO_Type_Lookup,$B$5&amp;$B$6),IF(VLOOKUP($B$5&amp;$B$6,IO_Type_Lookup,12,FALSE) = "N/A",'Warning Messages'!$B$20,GTZ!B8),'Warning Messages'!$B$3)))</f>
        <v>No GTZs exist in this device.</v>
      </c>
      <c r="C109" s="112"/>
      <c r="D109" s="111"/>
      <c r="E109" s="92" t="str">
        <f>IF($B$5="",'Warning Messages'!$B$13,IF($B$6="",'Warning Messages'!$B$14,IF(COUNTIF(IO_Type_Lookup,$B$5&amp;$B$6),IF(VLOOKUP($B$5&amp;$B$6,IO_Type_Lookup,12,FALSE) = "N/A",'Warning Messages'!$B$16,GTZ!C8),'Warning Messages'!$B$3)))</f>
        <v>No GTs exist in this device.</v>
      </c>
      <c r="F109" s="11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row>
    <row r="110" spans="1:47" hidden="1" outlineLevel="1">
      <c r="A110" s="145" t="str">
        <f>IF($B$5="",'Warning Messages'!$B$13,IF($B$6="",'Warning Messages'!$B$14,IF(COUNTIF(IO_Type_Lookup,$B$5&amp;$B$6),IF(VLOOKUP($B$5&amp;$B$6,IO_Type_Lookup,12,FALSE) = "N/A",'Warning Messages'!$B$20,GTZ!A9),'Warning Messages'!$B$3)))</f>
        <v>No GTZs exist in this device.</v>
      </c>
      <c r="B110" s="92" t="str">
        <f>IF($B$5="",'Warning Messages'!$B$13,IF($B$6="",'Warning Messages'!$B$14,IF(COUNTIF(IO_Type_Lookup,$B$5&amp;$B$6),IF(VLOOKUP($B$5&amp;$B$6,IO_Type_Lookup,12,FALSE) = "N/A",'Warning Messages'!$B$20,GTZ!B9),'Warning Messages'!$B$3)))</f>
        <v>No GTZs exist in this device.</v>
      </c>
      <c r="C110" s="112"/>
      <c r="D110" s="111"/>
      <c r="E110" s="92" t="str">
        <f>IF($B$5="",'Warning Messages'!$B$13,IF($B$6="",'Warning Messages'!$B$14,IF(COUNTIF(IO_Type_Lookup,$B$5&amp;$B$6),IF(VLOOKUP($B$5&amp;$B$6,IO_Type_Lookup,12,FALSE) = "N/A",'Warning Messages'!$B$16,GTZ!C9),'Warning Messages'!$B$3)))</f>
        <v>No GTs exist in this device.</v>
      </c>
      <c r="F110" s="11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row>
    <row r="111" spans="1:47" hidden="1" outlineLevel="1">
      <c r="A111" s="145" t="str">
        <f>IF($B$5="",'Warning Messages'!$B$13,IF($B$6="",'Warning Messages'!$B$14,IF(COUNTIF(IO_Type_Lookup,$B$5&amp;$B$6),IF(VLOOKUP($B$5&amp;$B$6,IO_Type_Lookup,12,FALSE) = "N/A",'Warning Messages'!$B$20,GTZ!A10),'Warning Messages'!$B$3)))</f>
        <v>No GTZs exist in this device.</v>
      </c>
      <c r="B111" s="92" t="str">
        <f>IF($B$5="",'Warning Messages'!$B$13,IF($B$6="",'Warning Messages'!$B$14,IF(COUNTIF(IO_Type_Lookup,$B$5&amp;$B$6),IF(VLOOKUP($B$5&amp;$B$6,IO_Type_Lookup,12,FALSE) = "N/A",'Warning Messages'!$B$20,GTZ!B10),'Warning Messages'!$B$3)))</f>
        <v>No GTZs exist in this device.</v>
      </c>
      <c r="C111" s="112"/>
      <c r="D111" s="111"/>
      <c r="E111" s="92" t="str">
        <f>IF($B$5="",'Warning Messages'!$B$13,IF($B$6="",'Warning Messages'!$B$14,IF(COUNTIF(IO_Type_Lookup,$B$5&amp;$B$6),IF(VLOOKUP($B$5&amp;$B$6,IO_Type_Lookup,12,FALSE) = "N/A",'Warning Messages'!$B$16,GTZ!C10),'Warning Messages'!$B$3)))</f>
        <v>No GTs exist in this device.</v>
      </c>
      <c r="F111" s="11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row>
    <row r="112" spans="1:47" hidden="1" outlineLevel="1">
      <c r="A112" s="145" t="str">
        <f>IF($B$5="",'Warning Messages'!$B$13,IF($B$6="",'Warning Messages'!$B$14,IF(COUNTIF(IO_Type_Lookup,$B$5&amp;$B$6),IF(VLOOKUP($B$5&amp;$B$6,IO_Type_Lookup,12,FALSE) = "N/A",'Warning Messages'!$B$20,GTZ!A11),'Warning Messages'!$B$3)))</f>
        <v>No GTZs exist in this device.</v>
      </c>
      <c r="B112" s="92" t="str">
        <f>IF($B$5="",'Warning Messages'!$B$13,IF($B$6="",'Warning Messages'!$B$14,IF(COUNTIF(IO_Type_Lookup,$B$5&amp;$B$6),IF(VLOOKUP($B$5&amp;$B$6,IO_Type_Lookup,12,FALSE) = "N/A",'Warning Messages'!$B$20,GTZ!B11),'Warning Messages'!$B$3)))</f>
        <v>No GTZs exist in this device.</v>
      </c>
      <c r="C112" s="112"/>
      <c r="D112" s="111"/>
      <c r="E112" s="92" t="str">
        <f>IF($B$5="",'Warning Messages'!$B$13,IF($B$6="",'Warning Messages'!$B$14,IF(COUNTIF(IO_Type_Lookup,$B$5&amp;$B$6),IF(VLOOKUP($B$5&amp;$B$6,IO_Type_Lookup,12,FALSE) = "N/A",'Warning Messages'!$B$16,GTZ!C11),'Warning Messages'!$B$3)))</f>
        <v>No GTs exist in this device.</v>
      </c>
      <c r="F112" s="11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row>
    <row r="113" spans="1:47" hidden="1" outlineLevel="1">
      <c r="A113" s="145" t="str">
        <f>IF($B$5="",'Warning Messages'!$B$13,IF($B$6="",'Warning Messages'!$B$14,IF(COUNTIF(IO_Type_Lookup,$B$5&amp;$B$6),IF(VLOOKUP($B$5&amp;$B$6,IO_Type_Lookup,12,FALSE) = "N/A",'Warning Messages'!$B$20,GTZ!A12),'Warning Messages'!$B$3)))</f>
        <v>No GTZs exist in this device.</v>
      </c>
      <c r="B113" s="92" t="str">
        <f>IF($B$5="",'Warning Messages'!$B$13,IF($B$6="",'Warning Messages'!$B$14,IF(COUNTIF(IO_Type_Lookup,$B$5&amp;$B$6),IF(VLOOKUP($B$5&amp;$B$6,IO_Type_Lookup,12,FALSE) = "N/A",'Warning Messages'!$B$20,GTZ!B12),'Warning Messages'!$B$3)))</f>
        <v>No GTZs exist in this device.</v>
      </c>
      <c r="C113" s="112"/>
      <c r="D113" s="111"/>
      <c r="E113" s="92" t="str">
        <f>IF($B$5="",'Warning Messages'!$B$13,IF($B$6="",'Warning Messages'!$B$14,IF(COUNTIF(IO_Type_Lookup,$B$5&amp;$B$6),IF(VLOOKUP($B$5&amp;$B$6,IO_Type_Lookup,12,FALSE) = "N/A",'Warning Messages'!$B$16,GTZ!C12),'Warning Messages'!$B$3)))</f>
        <v>No GTs exist in this device.</v>
      </c>
      <c r="F113" s="11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row>
    <row r="114" spans="1:47" hidden="1" outlineLevel="1">
      <c r="A114" s="145" t="str">
        <f>IF($B$5="",'Warning Messages'!$B$13,IF($B$6="",'Warning Messages'!$B$14,IF(COUNTIF(IO_Type_Lookup,$B$5&amp;$B$6),IF(VLOOKUP($B$5&amp;$B$6,IO_Type_Lookup,12,FALSE) = "N/A",'Warning Messages'!$B$20,GTZ!A13),'Warning Messages'!$B$3)))</f>
        <v>No GTZs exist in this device.</v>
      </c>
      <c r="B114" s="92" t="str">
        <f>IF($B$5="",'Warning Messages'!$B$13,IF($B$6="",'Warning Messages'!$B$14,IF(COUNTIF(IO_Type_Lookup,$B$5&amp;$B$6),IF(VLOOKUP($B$5&amp;$B$6,IO_Type_Lookup,12,FALSE) = "N/A",'Warning Messages'!$B$20,GTZ!B13),'Warning Messages'!$B$3)))</f>
        <v>No GTZs exist in this device.</v>
      </c>
      <c r="C114" s="112"/>
      <c r="D114" s="111"/>
      <c r="E114" s="92" t="str">
        <f>IF($B$5="",'Warning Messages'!$B$13,IF($B$6="",'Warning Messages'!$B$14,IF(COUNTIF(IO_Type_Lookup,$B$5&amp;$B$6),IF(VLOOKUP($B$5&amp;$B$6,IO_Type_Lookup,12,FALSE) = "N/A",'Warning Messages'!$B$16,GTZ!C13),'Warning Messages'!$B$3)))</f>
        <v>No GTs exist in this device.</v>
      </c>
      <c r="F114" s="11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row>
    <row r="115" spans="1:47" hidden="1" outlineLevel="1">
      <c r="A115" s="145" t="str">
        <f>IF($B$5="",'Warning Messages'!$B$13,IF($B$6="",'Warning Messages'!$B$14,IF(COUNTIF(IO_Type_Lookup,$B$5&amp;$B$6),IF(VLOOKUP($B$5&amp;$B$6,IO_Type_Lookup,12,FALSE) = "N/A",'Warning Messages'!$B$20,GTZ!A14),'Warning Messages'!$B$3)))</f>
        <v>No GTZs exist in this device.</v>
      </c>
      <c r="B115" s="92" t="str">
        <f>IF($B$5="",'Warning Messages'!$B$13,IF($B$6="",'Warning Messages'!$B$14,IF(COUNTIF(IO_Type_Lookup,$B$5&amp;$B$6),IF(VLOOKUP($B$5&amp;$B$6,IO_Type_Lookup,12,FALSE) = "N/A",'Warning Messages'!$B$20,GTZ!B14),'Warning Messages'!$B$3)))</f>
        <v>No GTZs exist in this device.</v>
      </c>
      <c r="C115" s="112"/>
      <c r="D115" s="111"/>
      <c r="E115" s="92" t="str">
        <f>IF($B$5="",'Warning Messages'!$B$13,IF($B$6="",'Warning Messages'!$B$14,IF(COUNTIF(IO_Type_Lookup,$B$5&amp;$B$6),IF(VLOOKUP($B$5&amp;$B$6,IO_Type_Lookup,12,FALSE) = "N/A",'Warning Messages'!$B$16,GTZ!C14),'Warning Messages'!$B$3)))</f>
        <v>No GTs exist in this device.</v>
      </c>
      <c r="F115" s="11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row>
    <row r="116" spans="1:47" hidden="1" outlineLevel="1">
      <c r="A116" s="145" t="str">
        <f>IF($B$5="",'Warning Messages'!$B$13,IF($B$6="",'Warning Messages'!$B$14,IF(COUNTIF(IO_Type_Lookup,$B$5&amp;$B$6),IF(VLOOKUP($B$5&amp;$B$6,IO_Type_Lookup,12,FALSE) = "N/A",'Warning Messages'!$B$20,GTZ!A15),'Warning Messages'!$B$3)))</f>
        <v>No GTZs exist in this device.</v>
      </c>
      <c r="B116" s="92" t="str">
        <f>IF($B$5="",'Warning Messages'!$B$13,IF($B$6="",'Warning Messages'!$B$14,IF(COUNTIF(IO_Type_Lookup,$B$5&amp;$B$6),IF(VLOOKUP($B$5&amp;$B$6,IO_Type_Lookup,12,FALSE) = "N/A",'Warning Messages'!$B$20,GTZ!B15),'Warning Messages'!$B$3)))</f>
        <v>No GTZs exist in this device.</v>
      </c>
      <c r="C116" s="112"/>
      <c r="D116" s="111"/>
      <c r="E116" s="92" t="str">
        <f>IF($B$5="",'Warning Messages'!$B$13,IF($B$6="",'Warning Messages'!$B$14,IF(COUNTIF(IO_Type_Lookup,$B$5&amp;$B$6),IF(VLOOKUP($B$5&amp;$B$6,IO_Type_Lookup,12,FALSE) = "N/A",'Warning Messages'!$B$16,GTZ!C15),'Warning Messages'!$B$3)))</f>
        <v>No GTs exist in this device.</v>
      </c>
      <c r="F116" s="11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row>
    <row r="117" spans="1:47" hidden="1" outlineLevel="1">
      <c r="A117" s="145" t="str">
        <f>IF($B$5="",'Warning Messages'!$B$13,IF($B$6="",'Warning Messages'!$B$14,IF(COUNTIF(IO_Type_Lookup,$B$5&amp;$B$6),IF(VLOOKUP($B$5&amp;$B$6,IO_Type_Lookup,12,FALSE) = "N/A",'Warning Messages'!$B$20,GTZ!A16),'Warning Messages'!$B$3)))</f>
        <v>No GTZs exist in this device.</v>
      </c>
      <c r="B117" s="92" t="str">
        <f>IF($B$5="",'Warning Messages'!$B$13,IF($B$6="",'Warning Messages'!$B$14,IF(COUNTIF(IO_Type_Lookup,$B$5&amp;$B$6),IF(VLOOKUP($B$5&amp;$B$6,IO_Type_Lookup,12,FALSE) = "N/A",'Warning Messages'!$B$20,GTZ!B16),'Warning Messages'!$B$3)))</f>
        <v>No GTZs exist in this device.</v>
      </c>
      <c r="C117" s="112"/>
      <c r="D117" s="111"/>
      <c r="E117" s="92" t="str">
        <f>IF($B$5="",'Warning Messages'!$B$13,IF($B$6="",'Warning Messages'!$B$14,IF(COUNTIF(IO_Type_Lookup,$B$5&amp;$B$6),IF(VLOOKUP($B$5&amp;$B$6,IO_Type_Lookup,12,FALSE) = "N/A",'Warning Messages'!$B$16,GTZ!C16),'Warning Messages'!$B$3)))</f>
        <v>No GTs exist in this device.</v>
      </c>
      <c r="F117" s="11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row>
    <row r="118" spans="1:47" hidden="1">
      <c r="A118" s="113"/>
      <c r="B118" s="113"/>
      <c r="C118" s="113"/>
      <c r="D118" s="113"/>
      <c r="E118" s="113"/>
      <c r="F118" s="113"/>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row>
    <row r="119" spans="1:47" hidden="1">
      <c r="A119" s="113"/>
      <c r="B119" s="113"/>
      <c r="C119" s="113"/>
      <c r="D119" s="113"/>
      <c r="E119" s="113"/>
      <c r="F119" s="113"/>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row>
    <row r="120" spans="1:47">
      <c r="A120" s="225" t="s">
        <v>253</v>
      </c>
      <c r="B120" s="226"/>
      <c r="C120" s="226"/>
      <c r="D120" s="226"/>
      <c r="E120" s="226"/>
      <c r="F120" s="227"/>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row>
    <row r="121" spans="1:47" outlineLevel="1">
      <c r="A121" s="113"/>
      <c r="B121" s="113"/>
      <c r="C121" s="113"/>
      <c r="D121" s="113"/>
      <c r="E121" s="113"/>
      <c r="F121" s="113"/>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row>
    <row r="122" spans="1:47" outlineLevel="1">
      <c r="A122" s="113"/>
      <c r="B122" s="113"/>
      <c r="C122" s="113"/>
      <c r="D122" s="113"/>
      <c r="E122" s="113"/>
      <c r="F122" s="113"/>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row>
    <row r="123" spans="1:47" outlineLevel="1">
      <c r="A123" s="119" t="s">
        <v>176</v>
      </c>
      <c r="B123" s="119" t="s">
        <v>157</v>
      </c>
      <c r="C123" s="119" t="s">
        <v>158</v>
      </c>
      <c r="D123" s="119" t="s">
        <v>159</v>
      </c>
      <c r="E123" s="119" t="s">
        <v>206</v>
      </c>
      <c r="F123" s="119" t="s">
        <v>68</v>
      </c>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row>
    <row r="124" spans="1:47" ht="165.75" outlineLevel="1">
      <c r="A124" s="149" t="str">
        <f>Other_items!A3</f>
        <v>MRCC</v>
      </c>
      <c r="B124" s="120" t="str">
        <f>Other_items!B3</f>
        <v>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v>
      </c>
      <c r="C124" s="131"/>
      <c r="D124" s="110"/>
      <c r="E124" s="115" t="str">
        <f>Other_items!C3</f>
        <v xml:space="preserve">These are the clock capable I/Os driving BUFRs, BUFIOs, BUFGs, and MMCMs/PLLs. In addition, these pins can drive the BUFMR for multi-region BUFIO and BUFR support. These pins become regular user I/Os when not needed as a clock. </v>
      </c>
      <c r="F124" s="129"/>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row>
    <row r="125" spans="1:47" ht="102" outlineLevel="1">
      <c r="A125" s="148" t="str">
        <f>Other_items!A4</f>
        <v>SRCC</v>
      </c>
      <c r="B125" s="93" t="str">
        <f>Other_items!B4</f>
        <v>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v>
      </c>
      <c r="C125" s="130"/>
      <c r="D125" s="111"/>
      <c r="E125" s="94" t="str">
        <f>Other_items!C4</f>
        <v>These are the clock capable I/Os driving BUFRs, BUFIOs, and MMCMs/PLLs. These pins become regular user I/Os when not needed for clocks.</v>
      </c>
      <c r="F125" s="11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row>
    <row r="126" spans="1:47" ht="63.75" outlineLevel="1">
      <c r="A126" s="148" t="str">
        <f>Other_items!A5</f>
        <v>VRN</v>
      </c>
      <c r="B126" s="93" t="str">
        <f>Other_items!B5</f>
        <v>VRN is pulled High with a reference resistor, the value of reference resistor is dependent on the DCI I/O Standard used in the bank. VRN functionality does not apply to HR banks. NOTE: resistor values have changed from prior generations.</v>
      </c>
      <c r="C126" s="130"/>
      <c r="D126" s="111"/>
      <c r="E126" s="94" t="str">
        <f>Other_items!C5</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6" s="11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row>
    <row r="127" spans="1:47" ht="63.75" outlineLevel="1">
      <c r="A127" s="148" t="str">
        <f>Other_items!A6</f>
        <v>VRP</v>
      </c>
      <c r="B127" s="93" t="str">
        <f>Other_items!B6</f>
        <v>VRP is pulled Low with a reference resistor, the value of reference resistor is dependent on the DCI I/O Standard used in the bank. VRP functionality does not apply to HR banks. NOTE: resistor values have changed from prior generations.</v>
      </c>
      <c r="C127" s="130"/>
      <c r="D127" s="111"/>
      <c r="E127" s="94" t="str">
        <f>Other_items!C6</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7" s="11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row>
    <row r="128" spans="1:47" ht="38.25" outlineLevel="1">
      <c r="A128" s="148" t="str">
        <f>Other_items!A7</f>
        <v>DXP_0, DXN_0</v>
      </c>
      <c r="B128" s="93" t="str">
        <f>Other_items!B7</f>
        <v>When not used, tie to GND. See UG475, 7 Series FPGAs Packaging and Pinout Specification for more information and AR#5738 for implementation examples.</v>
      </c>
      <c r="C128" s="130"/>
      <c r="D128" s="111"/>
      <c r="E128" s="94" t="str">
        <f>Other_items!C7</f>
        <v>Temperature-sensing diode pins (Anode: DXP; Cathode: DXN). The thermal diode is accessed by using the DXP and DXN pins in bank 0.</v>
      </c>
      <c r="F128" s="112"/>
      <c r="G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row>
    <row r="129" spans="1:47" ht="76.5" outlineLevel="1">
      <c r="A129" s="148" t="str">
        <f>Other_items!A10</f>
        <v xml:space="preserve">DCI cascading </v>
      </c>
      <c r="B129" s="93" t="str">
        <f>Other_items!B10</f>
        <v>If you are using DCI Cascade then see UG471, 7 Series FPGAs SelectIO Resources User Guide. Make sure the DCI Cascade rules are followed.</v>
      </c>
      <c r="C129" s="130"/>
      <c r="D129" s="111"/>
      <c r="E129" s="94" t="str">
        <f>Other_items!C10</f>
        <v>Note for ISE users:
When running BitGen via a command line or script, the .pcf file must be included. The .pcf file is read into BitGen to include the DCI_CASCADE attributes. 
From Project Navigator, the .pcf file is automatically included during BitGen because it has the same name as the design name.</v>
      </c>
      <c r="F129" s="11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row>
    <row r="130" spans="1:47" ht="25.5" outlineLevel="1">
      <c r="A130" s="148" t="str">
        <f>Other_items!A11</f>
        <v>3.3V level translation</v>
      </c>
      <c r="B130" s="96" t="str">
        <f>HYPERLINK(Other_items!D11,Other_items!B11)</f>
        <v>See XAPP520, Interfacing 7 Series FPGAs High-Performance I/O Banks with 2.5V and 3.3V I/O Standards for 3.3V translation solutions.</v>
      </c>
      <c r="C130" s="130"/>
      <c r="D130" s="111"/>
      <c r="E130" s="94" t="str">
        <f>Other_items!C11</f>
        <v>HP I/O support 1.2V, 1.5V, and 1.8V I/O standards.</v>
      </c>
      <c r="F130" s="11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row>
    <row r="131" spans="1:47" outlineLevel="1">
      <c r="A131" s="148" t="str">
        <f>Other_items!A12</f>
        <v>I/O Standard Compatibility</v>
      </c>
      <c r="B131" s="93" t="str">
        <f>Other_items!B12</f>
        <v>Run DRC with Vivado.</v>
      </c>
      <c r="C131" s="130"/>
      <c r="D131" s="111"/>
      <c r="E131" s="94"/>
      <c r="F131" s="11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row>
    <row r="132" spans="1:47" outlineLevel="1">
      <c r="A132" s="148" t="str">
        <f>Other_items!A13</f>
        <v>SSO Analysis</v>
      </c>
      <c r="B132" s="93" t="str">
        <f>Other_items!B13</f>
        <v>Run SSN Analysis with Vivado using the report_ssn command.</v>
      </c>
      <c r="C132" s="130"/>
      <c r="D132" s="111"/>
      <c r="E132" s="94"/>
      <c r="F132" s="11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row>
    <row r="133" spans="1:47" outlineLevel="1">
      <c r="A133" s="148" t="str">
        <f>Other_items!A14</f>
        <v>MIG</v>
      </c>
      <c r="B133" s="93" t="str">
        <f>Other_items!B14</f>
        <v>Use MIG tool to verify pin placement rules.</v>
      </c>
      <c r="C133" s="130"/>
      <c r="D133" s="111"/>
      <c r="E133" s="94"/>
      <c r="F133" s="11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row>
    <row r="134" spans="1:47" ht="25.5" outlineLevel="1">
      <c r="A134" s="144" t="str">
        <f>Other_items!A15</f>
        <v>HR memory termination</v>
      </c>
      <c r="B134" s="92" t="str">
        <f>Other_items!B15</f>
        <v>The HR I/O have uncalibrated termination for HSTL and SSTL standards built in. Therefore, external termination is not necessary.</v>
      </c>
      <c r="C134" s="112"/>
      <c r="D134" s="111"/>
      <c r="E134" s="94"/>
      <c r="F134" s="11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row>
    <row r="135" spans="1:47" outlineLevel="1">
      <c r="A135" s="113"/>
      <c r="B135" s="113"/>
      <c r="C135" s="113"/>
      <c r="D135" s="113"/>
      <c r="E135" s="113"/>
      <c r="F135" s="113"/>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row>
    <row r="136" spans="1:47" outlineLevel="1">
      <c r="A136" s="113"/>
      <c r="B136" s="113"/>
      <c r="C136" s="113"/>
      <c r="D136" s="113"/>
      <c r="E136" s="113"/>
      <c r="F136" s="113"/>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row>
    <row r="137" spans="1:47" outlineLevel="1">
      <c r="A137" s="113"/>
      <c r="B137" s="113"/>
      <c r="C137" s="113"/>
      <c r="D137" s="113"/>
      <c r="E137" s="113"/>
      <c r="F137" s="113"/>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row>
    <row r="138" spans="1:47">
      <c r="A138" s="113"/>
      <c r="B138" s="113"/>
      <c r="C138" s="113"/>
      <c r="D138" s="113"/>
      <c r="E138" s="113"/>
      <c r="F138" s="113"/>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row>
    <row r="139" spans="1:47" hidden="1">
      <c r="A139" s="225" t="s">
        <v>587</v>
      </c>
      <c r="B139" s="226"/>
      <c r="C139" s="226"/>
      <c r="D139" s="226"/>
      <c r="E139" s="226"/>
      <c r="F139" s="227"/>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row>
    <row r="140" spans="1:47" hidden="1" outlineLevel="1">
      <c r="A140" s="147" t="s">
        <v>144</v>
      </c>
      <c r="B140" s="123" t="s">
        <v>588</v>
      </c>
      <c r="C140" s="113"/>
      <c r="D140" s="113"/>
      <c r="E140" s="113"/>
      <c r="F140" s="113"/>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row>
    <row r="141" spans="1:47" hidden="1" outlineLevel="1">
      <c r="A141" s="113"/>
      <c r="B141" s="113"/>
      <c r="C141" s="113"/>
      <c r="D141" s="113"/>
      <c r="E141" s="113"/>
      <c r="F141" s="113"/>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row>
    <row r="142" spans="1:47" hidden="1" outlineLevel="1">
      <c r="A142" s="119" t="s">
        <v>176</v>
      </c>
      <c r="B142" s="119" t="s">
        <v>157</v>
      </c>
      <c r="C142" s="119" t="s">
        <v>158</v>
      </c>
      <c r="D142" s="119" t="s">
        <v>159</v>
      </c>
      <c r="E142" s="119" t="s">
        <v>206</v>
      </c>
      <c r="F142" s="119" t="s">
        <v>68</v>
      </c>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row>
    <row r="143" spans="1:47" hidden="1" outlineLevel="1">
      <c r="A143" s="149" t="str">
        <f>Zynq!A2</f>
        <v>RSVDVCC</v>
      </c>
      <c r="B143" s="120" t="str">
        <f>IF(B4="",'Warning Messages'!B12,IF(B4="Zynq-7000","Tie to VCCO_0",'Warning Messages'!B17))</f>
        <v>Does not apply to selected family.</v>
      </c>
      <c r="C143" s="161"/>
      <c r="D143" s="110"/>
      <c r="E143" s="122" t="str">
        <f>IF(B4="Zynq-7000",""&amp;Zynq!C2,"")</f>
        <v/>
      </c>
      <c r="F143" s="159"/>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row>
    <row r="144" spans="1:47" hidden="1" outlineLevel="1">
      <c r="A144" s="148" t="str">
        <f>Zynq!A3</f>
        <v>RSVDGND</v>
      </c>
      <c r="B144" s="93" t="str">
        <f>IF(B4="",'Warning Messages'!B12,IF(B4="Zynq-7000","Leave floating",'Warning Messages'!B17))</f>
        <v>Does not apply to selected family.</v>
      </c>
      <c r="C144" s="130"/>
      <c r="D144" s="111"/>
      <c r="E144" s="95" t="str">
        <f>IF(B4="Zynq-7000",""&amp;Zynq!C3,"")</f>
        <v/>
      </c>
      <c r="F144" s="11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row>
    <row r="145" spans="1:47" hidden="1" outlineLevel="1">
      <c r="A145" s="148" t="str">
        <f>Zynq!A4</f>
        <v>VCCO_MIO0</v>
      </c>
      <c r="B145"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"&amp;ROUND(VLOOKUP($B$5&amp;$B$6,Decap_Artix,28,FALSE),0)&amp;" of "&amp;Decap!$AD$103&amp;", "&amp;ROUND(VLOOKUP($B$5&amp;$B$6,Decap_Artix,29,FALSE),0)&amp;" of "&amp;Decap!$AE$103&amp;", "&amp;ROUND(VLOOKUP($B$5&amp;$B$6,Decap_Artix,30,FALSE),0)&amp;" of "&amp;Decap!$AF$103),'Warning Messages'!B2)))))</f>
        <v>Does not apply to selected family.</v>
      </c>
      <c r="C145" s="130"/>
      <c r="D145" s="111"/>
      <c r="E145" s="95" t="str">
        <f>IF(B4="Zynq-7000",""&amp;Zynq!C4,"")</f>
        <v/>
      </c>
      <c r="F145" s="11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row>
    <row r="146" spans="1:47" hidden="1" outlineLevel="1">
      <c r="A146" s="148" t="str">
        <f>Zynq!A5</f>
        <v>VCCO_MIO1</v>
      </c>
      <c r="B146"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"&amp;ROUND(VLOOKUP($B$5&amp;$B$6,Decap_Artix,31,FALSE),0)&amp;" of "&amp;Decap!$AG$103&amp;", "&amp;ROUND(VLOOKUP($B$5&amp;$B$6,Decap_Artix,32,FALSE),0)&amp;" of "&amp;Decap!$AH$103&amp;", "&amp;ROUND(VLOOKUP($B$5&amp;$B$6,Decap_Artix,33,FALSE),0)&amp;" of "&amp;Decap!$AI$103),'Warning Messages'!B2)))))</f>
        <v>Does not apply to selected family.</v>
      </c>
      <c r="C146" s="130"/>
      <c r="D146" s="111"/>
      <c r="E146" s="95" t="str">
        <f>IF(B4="Zynq-7000",""&amp;Zynq!C5,"")</f>
        <v/>
      </c>
      <c r="F146" s="11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row>
    <row r="147" spans="1:47" hidden="1" outlineLevel="1">
      <c r="A147" s="148" t="str">
        <f>Zynq!A6</f>
        <v>VCCO_DDR</v>
      </c>
      <c r="B147"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1.2V - 1.8V, "&amp;ROUND(VLOOKUP($B$5&amp;$B$6,Decap_KV,27,FALSE),0)&amp;" of "&amp;Decap!$AA$2&amp;", "&amp;ROUND(VLOOKUP($B$5&amp;$B$6,Decap_KV,28,FALSE),0)&amp;" of "&amp;Decap!$AB$2&amp;", "&amp;ROUND(VLOOKUP($B$5&amp;$B$6,Decap_KV,29,FALSE),0)&amp;" of "&amp;Decap!$AC$2,"1.2V - 1.8V, "&amp;ROUND(VLOOKUP($B$5&amp;$B$6,Decap_Artix,25,FALSE),0)&amp;" of "&amp;Decap!$AA$103&amp;", "&amp;ROUND(VLOOKUP($B$5&amp;$B$6,Decap_Artix,26,FALSE),0)&amp;" of "&amp;Decap!$AB$103&amp;", "&amp;ROUND(VLOOKUP($B$5&amp;$B$6,Decap_Artix,27,FALSE),0)&amp;" of "&amp;Decap!$AC$103),'Warning Messages'!B2)))))</f>
        <v>Does not apply to selected family.</v>
      </c>
      <c r="C147" s="130"/>
      <c r="D147" s="111"/>
      <c r="E147" s="95" t="str">
        <f>IF(B4="Zynq-7000",""&amp;Zynq!C6,"")</f>
        <v/>
      </c>
      <c r="F147" s="112"/>
      <c r="G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row>
    <row r="148" spans="1:47" hidden="1" outlineLevel="1">
      <c r="A148" s="148" t="str">
        <f>Zynq!A7</f>
        <v>VCCPINT</v>
      </c>
      <c r="B148"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1.0V, "&amp;ROUND(VLOOKUP($B$5&amp;$B$6,Decap_KV,27,FALSE),0)&amp;" of "&amp;Decap!$AA$2&amp;", "&amp;ROUND(VLOOKUP($B$5&amp;$B$6,Decap_KV,28,FALSE),0)&amp;" of "&amp;Decap!$AB$2&amp;", "&amp;ROUND(VLOOKUP($B$5&amp;$B$6,Decap_KV,29,FALSE),0)&amp;" of "&amp;Decap!$AC$2,"1.0V, "&amp;ROUND(VLOOKUP($B$5&amp;$B$6,Decap_Artix,19,FALSE),0)&amp;" of "&amp;Decap!$U$103&amp;", "&amp;ROUND(VLOOKUP($B$5&amp;$B$6,Decap_Artix,20,FALSE),0)&amp;" of "&amp;Decap!$V$103&amp;", "&amp;ROUND(VLOOKUP($B$5&amp;$B$6,Decap_Artix,21,FALSE),0)&amp;" of "&amp;Decap!$W$103),'Warning Messages'!B2)))))</f>
        <v>Does not apply to selected family.</v>
      </c>
      <c r="C148" s="130"/>
      <c r="D148" s="111"/>
      <c r="E148" s="95" t="str">
        <f>IF(B4="Zynq-7000",""&amp;Zynq!C7,"")</f>
        <v/>
      </c>
      <c r="F148" s="11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row>
    <row r="149" spans="1:47" hidden="1" outlineLevel="1">
      <c r="A149" s="148" t="str">
        <f>Zynq!A8</f>
        <v>VCCPAUX</v>
      </c>
      <c r="B149"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"&amp;ROUND(VLOOKUP($B$5&amp;$B$6,Decap_KV,27,FALSE),0)&amp;" of "&amp;Decap!$AA$2&amp;", "&amp;ROUND(VLOOKUP($B$5&amp;$B$6,Decap_KV,28,FALSE),0)&amp;" of "&amp;Decap!$AB$2&amp;", "&amp;ROUND(VLOOKUP($B$5&amp;$B$6,Decap_KV,29,FALSE),0)&amp;" of "&amp;Decap!$AC$2,"1.8V, "&amp;ROUND(VLOOKUP($B$5&amp;$B$6,Decap_Artix,22,FALSE),0)&amp;" of "&amp;Decap!$X$103&amp;", "&amp;ROUND(VLOOKUP($B$5&amp;$B$6,Decap_Artix,23,FALSE),0)&amp;" of "&amp;Decap!$Y$103&amp;", "&amp;ROUND(VLOOKUP($B$5&amp;$B$6,Decap_Artix,24,FALSE),0)&amp;" of "&amp;Decap!$Z$103),'Warning Messages'!B2)))))</f>
        <v>Does not apply to selected family.</v>
      </c>
      <c r="C149" s="130"/>
      <c r="D149" s="111"/>
      <c r="E149" s="95" t="str">
        <f>IF(B4="Zynq-7000",""&amp;Zynq!C8,"")</f>
        <v/>
      </c>
      <c r="F149" s="11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row>
    <row r="150" spans="1:47" hidden="1" outlineLevel="1">
      <c r="A150" s="148" t="str">
        <f>Zynq!A9</f>
        <v>VCCPLL</v>
      </c>
      <c r="B150" s="93" t="str">
        <f>IF(B4="",'Warning Messages'!B12,IF(B4="Zynq-7000",Zynq!B9,'Warning Messages'!B17))</f>
        <v>Does not apply to selected family.</v>
      </c>
      <c r="C150" s="130"/>
      <c r="D150" s="111"/>
      <c r="E150" s="95" t="str">
        <f>IF(B4="Zynq-7000",""&amp;Zynq!C9,"")</f>
        <v/>
      </c>
      <c r="F150" s="11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row>
    <row r="151" spans="1:47" ht="25.5" hidden="1" outlineLevel="1">
      <c r="A151" s="148" t="str">
        <f>Zynq!A10</f>
        <v>PS_DDR_VREF0
PS_DDR_VREF1</v>
      </c>
      <c r="B151" s="93" t="str">
        <f>IF(B4="",'Warning Messages'!B12,IF(B4="Zynq-7000",Zynq!B10,'Warning Messages'!B17))</f>
        <v>Does not apply to selected family.</v>
      </c>
      <c r="C151" s="130"/>
      <c r="D151" s="111"/>
      <c r="E151" s="95" t="str">
        <f>IF(B4="Zynq-7000",""&amp;Zynq!C10,"")</f>
        <v/>
      </c>
      <c r="F151" s="11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row>
    <row r="152" spans="1:47" hidden="1" outlineLevel="1">
      <c r="A152" s="148" t="str">
        <f>Zynq!A11</f>
        <v>VTT</v>
      </c>
      <c r="B152" s="92" t="str">
        <f>IF(B4="",'Warning Messages'!B12,IF(B4="Zynq-7000",Zynq!B11,'Warning Messages'!B17))</f>
        <v>Does not apply to selected family.</v>
      </c>
      <c r="C152" s="130"/>
      <c r="D152" s="111"/>
      <c r="E152" s="95" t="str">
        <f>IF(B4="Zynq-7000",""&amp;Zynq!C11,"")</f>
        <v/>
      </c>
      <c r="F152" s="11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row>
    <row r="153" spans="1:47" hidden="1" outlineLevel="1">
      <c r="A153" s="148" t="str">
        <f>Zynq!A12</f>
        <v>PS_MIO_VREF</v>
      </c>
      <c r="B153" s="92" t="str">
        <f>IF(B4="",'Warning Messages'!B12,IF(B4="Zynq-7000",Zynq!B12,'Warning Messages'!B17))</f>
        <v>Does not apply to selected family.</v>
      </c>
      <c r="C153" s="130"/>
      <c r="D153" s="111"/>
      <c r="E153" s="95" t="str">
        <f>IF(B4="Zynq-7000",""&amp;Zynq!C12,"")</f>
        <v/>
      </c>
      <c r="F153" s="11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row>
    <row r="154" spans="1:47" hidden="1" outlineLevel="1">
      <c r="A154" s="148" t="str">
        <f>Zynq!A17</f>
        <v>Power-On/Off Sequence</v>
      </c>
      <c r="B154" s="92" t="str">
        <f>IF(B4="",'Warning Messages'!B12,IF(B4="Zynq-7000",Zynq!B17,'Warning Messages'!B17))</f>
        <v>Does not apply to selected family.</v>
      </c>
      <c r="C154" s="130"/>
      <c r="D154" s="111"/>
      <c r="E154" s="95" t="str">
        <f>IF(B4="Zynq-7000",""&amp;Zynq!C17,"")</f>
        <v/>
      </c>
      <c r="F154" s="11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row>
    <row r="155" spans="1:47" hidden="1" outlineLevel="1">
      <c r="A155" s="144" t="str">
        <f>Zynq!A18</f>
        <v>Power Supply Ramp Time</v>
      </c>
      <c r="B155" s="92" t="str">
        <f>IF(B4="",'Warning Messages'!B12,IF(B4="Zynq-7000",Zynq!B18,'Warning Messages'!B17))</f>
        <v>Does not apply to selected family.</v>
      </c>
      <c r="C155" s="112"/>
      <c r="D155" s="111"/>
      <c r="E155" s="94" t="str">
        <f>IF(B4="Zynq-7000",""&amp;Zynq!C18,"")</f>
        <v/>
      </c>
      <c r="F155" s="11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row>
    <row r="156" spans="1:47" hidden="1" outlineLevel="1">
      <c r="A156" s="113"/>
      <c r="B156" s="113"/>
      <c r="C156" s="113"/>
      <c r="D156" s="113"/>
      <c r="E156" s="113"/>
      <c r="F156" s="113"/>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row>
    <row r="157" spans="1:47" hidden="1" outlineLevel="1">
      <c r="A157" s="113"/>
      <c r="B157" s="113"/>
      <c r="C157" s="113"/>
      <c r="D157" s="113"/>
      <c r="E157" s="113"/>
      <c r="F157" s="113"/>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row>
    <row r="158" spans="1:47" hidden="1">
      <c r="A158" s="113"/>
      <c r="B158" s="113"/>
      <c r="C158" s="113"/>
      <c r="D158" s="113"/>
      <c r="E158" s="113"/>
      <c r="F158" s="113"/>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row>
    <row r="159" spans="1:47" hidden="1">
      <c r="A159" s="225" t="s">
        <v>589</v>
      </c>
      <c r="B159" s="226"/>
      <c r="C159" s="226"/>
      <c r="D159" s="226"/>
      <c r="E159" s="226"/>
      <c r="F159" s="227"/>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row>
    <row r="160" spans="1:47" hidden="1" outlineLevel="1">
      <c r="A160" s="144" t="s">
        <v>144</v>
      </c>
      <c r="B160" s="118" t="s">
        <v>588</v>
      </c>
      <c r="C160" s="113"/>
      <c r="D160" s="113"/>
      <c r="E160" s="113"/>
      <c r="F160" s="113"/>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row>
    <row r="161" spans="1:47" hidden="1" outlineLevel="1">
      <c r="A161" s="113"/>
      <c r="B161" s="113"/>
      <c r="C161" s="113"/>
      <c r="D161" s="113"/>
      <c r="E161" s="113"/>
      <c r="F161" s="113"/>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row>
    <row r="162" spans="1:47" hidden="1" outlineLevel="1">
      <c r="A162" s="119" t="s">
        <v>176</v>
      </c>
      <c r="B162" s="119" t="s">
        <v>157</v>
      </c>
      <c r="C162" s="119" t="s">
        <v>158</v>
      </c>
      <c r="D162" s="119" t="s">
        <v>159</v>
      </c>
      <c r="E162" s="119" t="s">
        <v>206</v>
      </c>
      <c r="F162" s="119" t="s">
        <v>68</v>
      </c>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row>
    <row r="163" spans="1:47" hidden="1" outlineLevel="1">
      <c r="A163" s="149" t="str">
        <f>Zynq!A21</f>
        <v>PS_CLK</v>
      </c>
      <c r="B163" s="120" t="str">
        <f>IF(B4="",'Warning Messages'!B12,IF(B4="Zynq-7000",Zynq!B21,'Warning Messages'!B17))</f>
        <v>Does not apply to selected family.</v>
      </c>
      <c r="C163" s="131"/>
      <c r="D163" s="110"/>
      <c r="E163" s="122" t="str">
        <f>IF(B4="Zynq-7000",""&amp;Zynq!C21,"")</f>
        <v/>
      </c>
      <c r="F163" s="129"/>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row>
    <row r="164" spans="1:47" ht="25.5" hidden="1" outlineLevel="1">
      <c r="A164" s="148" t="str">
        <f>Zynq!A22</f>
        <v>PS_POR_B
PS power-on reset</v>
      </c>
      <c r="B164" s="93" t="str">
        <f>IF(B4="",'Warning Messages'!B12,IF(B4="Zynq-7000",Zynq!B22,'Warning Messages'!B17))</f>
        <v>Does not apply to selected family.</v>
      </c>
      <c r="C164" s="130"/>
      <c r="D164" s="111"/>
      <c r="E164" s="95" t="str">
        <f>IF(B4="Zynq-7000",""&amp;Zynq!C22,"")</f>
        <v/>
      </c>
      <c r="F164" s="11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row>
    <row r="165" spans="1:47" ht="25.5" hidden="1" outlineLevel="1">
      <c r="A165" s="148" t="str">
        <f>Zynq!A23</f>
        <v>PS_SRST_B
PS system reset</v>
      </c>
      <c r="B165" s="93" t="str">
        <f>IF(B4="",'Warning Messages'!B12,IF(B4="Zynq-7000",Zynq!B23,'Warning Messages'!B17))</f>
        <v>Does not apply to selected family.</v>
      </c>
      <c r="C165" s="130"/>
      <c r="D165" s="111"/>
      <c r="E165" s="95" t="str">
        <f>IF(B4="Zynq-7000",""&amp;Zynq!C23,"")</f>
        <v/>
      </c>
      <c r="F165" s="11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row>
    <row r="166" spans="1:47" ht="25.5" hidden="1" outlineLevel="1">
      <c r="A166" s="148" t="str">
        <f>Zynq!A24</f>
        <v>vmode [1:0] = MIO[8:7]
I/O bank voltage</v>
      </c>
      <c r="B166" s="93" t="str">
        <f>IF(B4="",'Warning Messages'!B12,IF(B4="Zynq-7000",Zynq!B24,'Warning Messages'!B17))</f>
        <v>Does not apply to selected family.</v>
      </c>
      <c r="C166" s="130"/>
      <c r="D166" s="111"/>
      <c r="E166" s="95" t="str">
        <f>IF(B4="Zynq-7000",""&amp;Zynq!C24,"")</f>
        <v/>
      </c>
      <c r="F166" s="11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row>
    <row r="167" spans="1:47" ht="38.25" hidden="1" outlineLevel="1">
      <c r="A167" s="148" t="str">
        <f>Zynq!A25</f>
        <v xml:space="preserve">BOOT_MODE[3] = MIO[2]
JTAG mode
</v>
      </c>
      <c r="B167" s="93" t="str">
        <f>IF(B4="",'Warning Messages'!B12,IF(B4="Zynq-7000",Zynq!B25,'Warning Messages'!B17))</f>
        <v>Does not apply to selected family.</v>
      </c>
      <c r="C167" s="130"/>
      <c r="D167" s="111"/>
      <c r="E167" s="95" t="str">
        <f>IF(B4="Zynq-7000",""&amp;Zynq!C25,"")</f>
        <v/>
      </c>
      <c r="F167" s="11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row>
    <row r="168" spans="1:47" ht="25.5" hidden="1" outlineLevel="1">
      <c r="A168" s="148" t="str">
        <f>Zynq!A26</f>
        <v>BOOT_MODE[2:0] = MIO[5:3]
Boot devices</v>
      </c>
      <c r="B168" s="93" t="str">
        <f>IF(B4="",'Warning Messages'!B12,IF(B4="Zynq-7000",Zynq!B26,'Warning Messages'!B17))</f>
        <v>Does not apply to selected family.</v>
      </c>
      <c r="C168" s="130"/>
      <c r="D168" s="111"/>
      <c r="E168" s="95" t="str">
        <f>IF(B4="Zynq-7000",""&amp;Zynq!C26,"")</f>
        <v/>
      </c>
      <c r="F168" s="11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row>
    <row r="169" spans="1:47" ht="25.5" hidden="1" outlineLevel="1">
      <c r="A169" s="148" t="str">
        <f>Zynq!A27</f>
        <v>BOOT_MODE[4] = MIO[6] PLL mode</v>
      </c>
      <c r="B169" s="93" t="str">
        <f>IF(B4="",'Warning Messages'!B12,IF(B4="Zynq-7000",Zynq!B27,'Warning Messages'!B17))</f>
        <v>Does not apply to selected family.</v>
      </c>
      <c r="C169" s="130"/>
      <c r="D169" s="111"/>
      <c r="E169" s="95" t="str">
        <f>IF(B4="Zynq-7000",""&amp;Zynq!C27,"")</f>
        <v/>
      </c>
      <c r="F169" s="11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row>
    <row r="170" spans="1:47" hidden="1" outlineLevel="1">
      <c r="A170" s="148" t="str">
        <f>Zynq!A28</f>
        <v>CASCADED JTAG</v>
      </c>
      <c r="B170" s="93" t="str">
        <f>IF(B4="",'Warning Messages'!B12,IF(B4="Zynq-7000",Zynq!B28,'Warning Messages'!B17))</f>
        <v>Does not apply to selected family.</v>
      </c>
      <c r="C170" s="130"/>
      <c r="D170" s="111"/>
      <c r="E170" s="95" t="str">
        <f>IF(B4="Zynq-7000",""&amp;Zynq!C28,"")</f>
        <v/>
      </c>
      <c r="F170" s="11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row>
    <row r="171" spans="1:47" hidden="1" outlineLevel="1">
      <c r="A171" s="144" t="str">
        <f>Zynq!A29</f>
        <v>INDEPENDENT JTAG</v>
      </c>
      <c r="B171" s="92" t="str">
        <f>IF(B4="",'Warning Messages'!B12,IF(B4="Zynq-7000",Zynq!B29,'Warning Messages'!B17))</f>
        <v>Does not apply to selected family.</v>
      </c>
      <c r="C171" s="112"/>
      <c r="D171" s="111"/>
      <c r="E171" s="94" t="str">
        <f>IF(B4="Zynq-7000",""&amp;Zynq!C29,"")</f>
        <v/>
      </c>
      <c r="F171" s="11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row>
    <row r="172" spans="1:47" hidden="1" outlineLevel="1">
      <c r="A172" s="144" t="str">
        <f>Zynq!A33</f>
        <v>Note: PUDC_B</v>
      </c>
      <c r="B172" s="92" t="str">
        <f>IF(B4="",'Warning Messages'!B12,IF(B4="Zynq-7000",Zynq!B33,'Warning Messages'!B17))</f>
        <v>Does not apply to selected family.</v>
      </c>
      <c r="C172" s="112"/>
      <c r="D172" s="111"/>
      <c r="E172" s="94" t="str">
        <f>IF(B5="Zynq-7000",""&amp;Zynq!C30,"")</f>
        <v/>
      </c>
      <c r="F172" s="11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row>
    <row r="173" spans="1:47" hidden="1">
      <c r="A173" s="113"/>
      <c r="B173" s="113"/>
      <c r="C173" s="113"/>
      <c r="D173" s="113"/>
      <c r="E173" s="113"/>
      <c r="F173" s="113"/>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row>
    <row r="174" spans="1:47" hidden="1">
      <c r="A174" s="225" t="s">
        <v>590</v>
      </c>
      <c r="B174" s="226"/>
      <c r="C174" s="226"/>
      <c r="D174" s="226"/>
      <c r="E174" s="226"/>
      <c r="F174" s="227"/>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row>
    <row r="175" spans="1:47" hidden="1" outlineLevel="1">
      <c r="A175" s="144" t="s">
        <v>144</v>
      </c>
      <c r="B175" s="118" t="s">
        <v>588</v>
      </c>
      <c r="C175" s="113"/>
      <c r="D175" s="113"/>
      <c r="E175" s="113"/>
      <c r="F175" s="113"/>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row>
    <row r="176" spans="1:47" hidden="1" outlineLevel="1">
      <c r="A176" s="113"/>
      <c r="B176" s="113"/>
      <c r="C176" s="113"/>
      <c r="D176" s="113"/>
      <c r="E176" s="113"/>
      <c r="F176" s="113"/>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row>
    <row r="177" spans="1:47" hidden="1" outlineLevel="1">
      <c r="A177" s="124" t="s">
        <v>176</v>
      </c>
      <c r="B177" s="125" t="s">
        <v>157</v>
      </c>
      <c r="C177" s="125" t="s">
        <v>158</v>
      </c>
      <c r="D177" s="125" t="s">
        <v>159</v>
      </c>
      <c r="E177" s="125" t="s">
        <v>206</v>
      </c>
      <c r="F177" s="126" t="s">
        <v>68</v>
      </c>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row>
    <row r="178" spans="1:47" hidden="1" outlineLevel="1">
      <c r="A178" s="149" t="str">
        <f>Zynq!A30</f>
        <v>DDR Termination</v>
      </c>
      <c r="B178" s="120" t="str">
        <f>IF(B4="",'Warning Messages'!B12,IF(B4="Zynq-7000",Zynq!B30,'Warning Messages'!B17))</f>
        <v>Does not apply to selected family.</v>
      </c>
      <c r="C178" s="131"/>
      <c r="D178" s="110"/>
      <c r="E178" s="122" t="str">
        <f>IF(B4="Zynq-7000",""&amp;Zynq!C30,"")</f>
        <v/>
      </c>
      <c r="F178" s="129"/>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row>
    <row r="179" spans="1:47" ht="25.5" hidden="1" outlineLevel="1">
      <c r="A179" s="148" t="str">
        <f>Zynq!A31</f>
        <v>DDR_CK_P
DDR_CK_N</v>
      </c>
      <c r="B179" s="93" t="str">
        <f>IF(B4="",'Warning Messages'!B12,IF(B4="Zynq-7000",Zynq!B31,'Warning Messages'!B17))</f>
        <v>Does not apply to selected family.</v>
      </c>
      <c r="C179" s="130"/>
      <c r="D179" s="111"/>
      <c r="E179" s="95" t="str">
        <f>IF(B4="Zynq-7000",""&amp;Zynq!C31,"")</f>
        <v/>
      </c>
      <c r="F179" s="11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row>
    <row r="180" spans="1:47" ht="25.5" hidden="1" outlineLevel="1">
      <c r="A180" s="144" t="str">
        <f>Zynq!A32</f>
        <v xml:space="preserve">DDR topology
</v>
      </c>
      <c r="B180" s="92" t="str">
        <f>IF(B4="",'Warning Messages'!B12,IF(B4="Zynq-7000",Zynq!B32,'Warning Messages'!B17))</f>
        <v>Does not apply to selected family.</v>
      </c>
      <c r="C180" s="112"/>
      <c r="D180" s="111"/>
      <c r="E180" s="94" t="str">
        <f>IF(B4="Zynq-7000",""&amp;Zynq!C32,"")</f>
        <v/>
      </c>
      <c r="F180" s="11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row>
    <row r="181" spans="1:47" hidden="1" outlineLevel="1">
      <c r="A181" s="148" t="str">
        <f>Zynq!A13</f>
        <v>PS_DDR_VRP</v>
      </c>
      <c r="B181" s="92" t="str">
        <f>IF(B4="",'Warning Messages'!B12,IF(B4="Zynq-7000",Zynq!B13,'Warning Messages'!B17))</f>
        <v>Does not apply to selected family.</v>
      </c>
      <c r="C181" s="130"/>
      <c r="D181" s="111"/>
      <c r="E181" s="95" t="str">
        <f>IF(B35="Zynq-7000",""&amp;Zynq!C44,"")</f>
        <v/>
      </c>
      <c r="F181" s="11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row>
    <row r="182" spans="1:47" hidden="1" outlineLevel="1">
      <c r="A182" s="148" t="str">
        <f>Zynq!A14</f>
        <v>PS_DDR_VRN</v>
      </c>
      <c r="B182" s="92" t="str">
        <f>IF(B4="",'Warning Messages'!B12,IF(B4="Zynq-7000",Zynq!B14,'Warning Messages'!B17))</f>
        <v>Does not apply to selected family.</v>
      </c>
      <c r="C182" s="130"/>
      <c r="D182" s="111"/>
      <c r="E182" s="95" t="str">
        <f>IF(B35="Zynq-7000",""&amp;Zynq!C45,"")</f>
        <v/>
      </c>
      <c r="F182" s="11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row>
    <row r="183" spans="1:47" hidden="1" outlineLevel="1">
      <c r="A183" s="148" t="str">
        <f>Zynq!A15</f>
        <v>DDR ZQ Pin</v>
      </c>
      <c r="B183" s="92" t="str">
        <f>IF(B4="",'Warning Messages'!B12,IF(B4="Zynq-7000",Zynq!B15,'Warning Messages'!B17))</f>
        <v>Does not apply to selected family.</v>
      </c>
      <c r="C183" s="130"/>
      <c r="D183" s="111"/>
      <c r="E183" s="95" t="str">
        <f>IF(B35="Zynq-7000",""&amp;Zynq!C46,"")</f>
        <v/>
      </c>
      <c r="F183" s="11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row>
    <row r="184" spans="1:47" hidden="1" outlineLevel="1">
      <c r="A184" s="148" t="str">
        <f>Zynq!A16</f>
        <v>LPDDR2 simulation</v>
      </c>
      <c r="B184" s="92" t="str">
        <f>IF(B4="",'Warning Messages'!B12,IF(B4="Zynq-7000",Zynq!B16,'Warning Messages'!B17))</f>
        <v>Does not apply to selected family.</v>
      </c>
      <c r="C184" s="130"/>
      <c r="D184" s="111"/>
      <c r="E184" s="95" t="str">
        <f>IF(B35="Zynq-7000",""&amp;Zynq!C47,"")</f>
        <v/>
      </c>
      <c r="F184" s="11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row>
    <row r="185" spans="1:47" hidden="1" outlineLevel="1">
      <c r="A185" s="113"/>
      <c r="B185" s="113"/>
      <c r="C185" s="113"/>
      <c r="D185" s="113"/>
      <c r="E185" s="113"/>
      <c r="F185" s="113"/>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row>
    <row r="186" spans="1:47" hidden="1">
      <c r="A186" s="113"/>
      <c r="B186" s="113"/>
      <c r="C186" s="113"/>
      <c r="D186" s="113"/>
      <c r="E186" s="113"/>
      <c r="F186" s="113"/>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row>
    <row r="187" spans="1:47" hidden="1">
      <c r="A187" s="225" t="s">
        <v>591</v>
      </c>
      <c r="B187" s="226"/>
      <c r="C187" s="226"/>
      <c r="D187" s="226"/>
      <c r="E187" s="226"/>
      <c r="F187" s="227"/>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row>
    <row r="188" spans="1:47" hidden="1" outlineLevel="1">
      <c r="A188" s="113"/>
      <c r="B188" s="113"/>
      <c r="C188" s="113"/>
      <c r="D188" s="113"/>
      <c r="E188" s="113"/>
      <c r="F188" s="113"/>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row>
    <row r="189" spans="1:47" hidden="1" outlineLevel="1">
      <c r="A189" s="113"/>
      <c r="B189" s="113"/>
      <c r="C189" s="113"/>
      <c r="D189" s="113"/>
      <c r="E189" s="113"/>
      <c r="F189" s="113"/>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row>
    <row r="190" spans="1:47" hidden="1" outlineLevel="1">
      <c r="A190" s="119" t="s">
        <v>592</v>
      </c>
      <c r="B190" s="119" t="s">
        <v>593</v>
      </c>
      <c r="C190" s="113"/>
      <c r="D190" s="113"/>
      <c r="E190" s="113"/>
      <c r="F190" s="113"/>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row>
    <row r="191" spans="1:47" hidden="1" outlineLevel="1">
      <c r="A191" s="142" t="s">
        <v>361</v>
      </c>
      <c r="B191" s="127"/>
      <c r="C191" s="113"/>
      <c r="D191" s="113"/>
      <c r="E191" s="113"/>
      <c r="F191" s="113"/>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row>
    <row r="192" spans="1:47" hidden="1" outlineLevel="1">
      <c r="A192" s="142" t="s">
        <v>362</v>
      </c>
      <c r="B192" s="127"/>
      <c r="C192" s="113"/>
      <c r="D192" s="113"/>
      <c r="E192" s="113"/>
      <c r="F192" s="113"/>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row>
    <row r="193" spans="1:47" hidden="1" outlineLevel="1">
      <c r="A193" s="142" t="s">
        <v>363</v>
      </c>
      <c r="B193" s="127"/>
      <c r="C193" s="113"/>
      <c r="D193" s="113"/>
      <c r="E193" s="113"/>
      <c r="F193" s="113"/>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row>
    <row r="194" spans="1:47" hidden="1" outlineLevel="1">
      <c r="A194" s="142" t="s">
        <v>364</v>
      </c>
      <c r="B194" s="127"/>
      <c r="C194" s="113"/>
      <c r="D194" s="113"/>
      <c r="E194" s="113"/>
      <c r="F194" s="113"/>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row>
    <row r="195" spans="1:47" hidden="1" outlineLevel="1">
      <c r="A195" s="142" t="s">
        <v>365</v>
      </c>
      <c r="B195" s="127"/>
      <c r="C195" s="113"/>
      <c r="D195" s="113"/>
      <c r="E195" s="113"/>
      <c r="F195" s="113"/>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row>
    <row r="196" spans="1:47" hidden="1" outlineLevel="1">
      <c r="A196" s="142" t="s">
        <v>366</v>
      </c>
      <c r="B196" s="127"/>
      <c r="C196" s="113"/>
      <c r="D196" s="113"/>
      <c r="E196" s="113"/>
      <c r="F196" s="113"/>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row>
    <row r="197" spans="1:47" hidden="1" outlineLevel="1">
      <c r="A197" s="142" t="s">
        <v>367</v>
      </c>
      <c r="B197" s="127"/>
      <c r="C197" s="113"/>
      <c r="D197" s="113"/>
      <c r="E197" s="113"/>
      <c r="F197" s="113"/>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row>
    <row r="198" spans="1:47" hidden="1" outlineLevel="1">
      <c r="A198" s="142" t="s">
        <v>368</v>
      </c>
      <c r="B198" s="127"/>
      <c r="C198" s="113"/>
      <c r="D198" s="113"/>
      <c r="E198" s="113"/>
      <c r="F198" s="113"/>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row>
    <row r="199" spans="1:47" hidden="1" outlineLevel="1">
      <c r="A199" s="142" t="s">
        <v>369</v>
      </c>
      <c r="B199" s="127"/>
      <c r="C199" s="113"/>
      <c r="D199" s="113"/>
      <c r="E199" s="113"/>
      <c r="F199" s="113"/>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row>
    <row r="200" spans="1:47" hidden="1" outlineLevel="1">
      <c r="A200" s="142" t="s">
        <v>370</v>
      </c>
      <c r="B200" s="127"/>
      <c r="C200" s="113"/>
      <c r="D200" s="113"/>
      <c r="E200" s="113"/>
      <c r="F200" s="113"/>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row>
    <row r="201" spans="1:47" hidden="1" outlineLevel="1">
      <c r="A201" s="142" t="s">
        <v>371</v>
      </c>
      <c r="B201" s="127"/>
      <c r="C201" s="113"/>
      <c r="D201" s="113"/>
      <c r="E201" s="113"/>
      <c r="F201" s="113"/>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row>
    <row r="202" spans="1:47" hidden="1" outlineLevel="1">
      <c r="A202" s="142" t="s">
        <v>372</v>
      </c>
      <c r="B202" s="127"/>
      <c r="C202" s="113"/>
      <c r="D202" s="113"/>
      <c r="E202" s="113"/>
      <c r="F202" s="113"/>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row>
    <row r="203" spans="1:47" hidden="1" outlineLevel="1">
      <c r="A203" s="142" t="s">
        <v>373</v>
      </c>
      <c r="B203" s="127"/>
      <c r="C203" s="113"/>
      <c r="D203" s="113"/>
      <c r="E203" s="113"/>
      <c r="F203" s="113"/>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row>
    <row r="204" spans="1:47" hidden="1" outlineLevel="1">
      <c r="A204" s="142" t="s">
        <v>374</v>
      </c>
      <c r="B204" s="127"/>
      <c r="C204" s="113"/>
      <c r="D204" s="113"/>
      <c r="E204" s="113"/>
      <c r="F204" s="113"/>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row>
    <row r="205" spans="1:47" hidden="1" outlineLevel="1">
      <c r="A205" s="142" t="s">
        <v>375</v>
      </c>
      <c r="B205" s="127"/>
      <c r="C205" s="113"/>
      <c r="D205" s="113"/>
      <c r="E205" s="113"/>
      <c r="F205" s="113"/>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row>
    <row r="206" spans="1:47" hidden="1" outlineLevel="1">
      <c r="A206" s="142" t="s">
        <v>376</v>
      </c>
      <c r="B206" s="127"/>
      <c r="C206" s="113"/>
      <c r="D206" s="113"/>
      <c r="E206" s="113"/>
      <c r="F206" s="113"/>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row>
    <row r="207" spans="1:47" hidden="1" outlineLevel="1">
      <c r="A207" s="142" t="s">
        <v>377</v>
      </c>
      <c r="B207" s="127"/>
      <c r="C207" s="113"/>
      <c r="D207" s="113"/>
      <c r="E207" s="113"/>
      <c r="F207" s="113"/>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row>
    <row r="208" spans="1:47" hidden="1" outlineLevel="1">
      <c r="A208" s="142" t="s">
        <v>378</v>
      </c>
      <c r="B208" s="127"/>
      <c r="C208" s="113"/>
      <c r="D208" s="113"/>
      <c r="E208" s="113"/>
      <c r="F208" s="113"/>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row>
    <row r="209" spans="1:47" hidden="1" outlineLevel="1">
      <c r="A209" s="142" t="s">
        <v>379</v>
      </c>
      <c r="B209" s="127"/>
      <c r="C209" s="113"/>
      <c r="D209" s="113"/>
      <c r="E209" s="113"/>
      <c r="F209" s="113"/>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row>
    <row r="210" spans="1:47" hidden="1" outlineLevel="1">
      <c r="A210" s="142" t="s">
        <v>380</v>
      </c>
      <c r="B210" s="127"/>
      <c r="C210" s="113"/>
      <c r="D210" s="113"/>
      <c r="E210" s="113"/>
      <c r="F210" s="113"/>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row>
    <row r="211" spans="1:47" hidden="1" outlineLevel="1">
      <c r="A211" s="142" t="s">
        <v>381</v>
      </c>
      <c r="B211" s="127"/>
      <c r="C211" s="113"/>
      <c r="D211" s="113"/>
      <c r="E211" s="113"/>
      <c r="F211" s="113"/>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row>
    <row r="212" spans="1:47" hidden="1" outlineLevel="1">
      <c r="A212" s="142" t="s">
        <v>382</v>
      </c>
      <c r="B212" s="127"/>
      <c r="C212" s="113"/>
      <c r="D212" s="113"/>
      <c r="E212" s="113"/>
      <c r="F212" s="113"/>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row>
    <row r="213" spans="1:47" hidden="1" outlineLevel="1">
      <c r="A213" s="142" t="s">
        <v>383</v>
      </c>
      <c r="B213" s="127"/>
      <c r="C213" s="113"/>
      <c r="D213" s="113"/>
      <c r="E213" s="113"/>
      <c r="F213" s="113"/>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row>
    <row r="214" spans="1:47" hidden="1" outlineLevel="1">
      <c r="A214" s="142" t="s">
        <v>384</v>
      </c>
      <c r="B214" s="127"/>
      <c r="C214" s="113"/>
      <c r="D214" s="113"/>
      <c r="E214" s="113"/>
      <c r="F214" s="113"/>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row>
    <row r="215" spans="1:47" hidden="1" outlineLevel="1">
      <c r="A215" s="142" t="s">
        <v>385</v>
      </c>
      <c r="B215" s="127"/>
      <c r="C215" s="113"/>
      <c r="D215" s="113"/>
      <c r="E215" s="113"/>
      <c r="F215" s="113"/>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row>
    <row r="216" spans="1:47" hidden="1" outlineLevel="1">
      <c r="A216" s="142" t="s">
        <v>386</v>
      </c>
      <c r="B216" s="127"/>
      <c r="C216" s="113"/>
      <c r="D216" s="113"/>
      <c r="E216" s="113"/>
      <c r="F216" s="113"/>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row>
    <row r="217" spans="1:47" hidden="1" outlineLevel="1">
      <c r="A217" s="142" t="s">
        <v>387</v>
      </c>
      <c r="B217" s="127"/>
      <c r="C217" s="113"/>
      <c r="D217" s="113"/>
      <c r="E217" s="113"/>
      <c r="F217" s="113"/>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row>
    <row r="218" spans="1:47" hidden="1" outlineLevel="1">
      <c r="A218" s="142" t="s">
        <v>388</v>
      </c>
      <c r="B218" s="127"/>
      <c r="C218" s="113"/>
      <c r="D218" s="113"/>
      <c r="E218" s="113"/>
      <c r="F218" s="113"/>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row>
    <row r="219" spans="1:47" hidden="1" outlineLevel="1">
      <c r="A219" s="142" t="s">
        <v>389</v>
      </c>
      <c r="B219" s="127"/>
      <c r="C219" s="113"/>
      <c r="D219" s="113"/>
      <c r="E219" s="113"/>
      <c r="F219" s="113"/>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row>
    <row r="220" spans="1:47" hidden="1" outlineLevel="1">
      <c r="A220" s="142" t="s">
        <v>390</v>
      </c>
      <c r="B220" s="127"/>
      <c r="C220" s="113"/>
      <c r="D220" s="113"/>
      <c r="E220" s="113"/>
      <c r="F220" s="113"/>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row>
    <row r="221" spans="1:47" hidden="1" outlineLevel="1">
      <c r="A221" s="142" t="s">
        <v>391</v>
      </c>
      <c r="B221" s="127"/>
      <c r="C221" s="113"/>
      <c r="D221" s="113"/>
      <c r="E221" s="113"/>
      <c r="F221" s="113"/>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row>
    <row r="222" spans="1:47" hidden="1" outlineLevel="1">
      <c r="A222" s="142" t="s">
        <v>392</v>
      </c>
      <c r="B222" s="127"/>
      <c r="C222" s="113"/>
      <c r="D222" s="113"/>
      <c r="E222" s="113"/>
      <c r="F222" s="113"/>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c r="AQ222" s="82"/>
      <c r="AR222" s="82"/>
      <c r="AS222" s="82"/>
      <c r="AT222" s="82"/>
      <c r="AU222" s="82"/>
    </row>
    <row r="223" spans="1:47" hidden="1" outlineLevel="1">
      <c r="A223" s="142" t="s">
        <v>393</v>
      </c>
      <c r="B223" s="127"/>
      <c r="C223" s="113"/>
      <c r="D223" s="113"/>
      <c r="E223" s="113"/>
      <c r="F223" s="113"/>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82"/>
      <c r="AS223" s="82"/>
      <c r="AT223" s="82"/>
      <c r="AU223" s="82"/>
    </row>
    <row r="224" spans="1:47" hidden="1" outlineLevel="1">
      <c r="A224" s="142" t="s">
        <v>394</v>
      </c>
      <c r="B224" s="127"/>
      <c r="C224" s="113"/>
      <c r="D224" s="113"/>
      <c r="E224" s="113"/>
      <c r="F224" s="113"/>
      <c r="G224" s="82"/>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c r="AQ224" s="82"/>
      <c r="AR224" s="82"/>
      <c r="AS224" s="82"/>
      <c r="AT224" s="82"/>
      <c r="AU224" s="82"/>
    </row>
    <row r="225" spans="1:47" hidden="1" outlineLevel="1">
      <c r="A225" s="142" t="s">
        <v>1732</v>
      </c>
      <c r="B225" s="127"/>
      <c r="C225" s="113"/>
      <c r="D225" s="113"/>
      <c r="E225" s="113"/>
      <c r="F225" s="113"/>
      <c r="G225" s="82"/>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82"/>
      <c r="AS225" s="82"/>
      <c r="AT225" s="82"/>
      <c r="AU225" s="82"/>
    </row>
    <row r="226" spans="1:47" hidden="1" outlineLevel="1">
      <c r="A226" s="142" t="s">
        <v>395</v>
      </c>
      <c r="B226" s="127"/>
      <c r="C226" s="113"/>
      <c r="D226" s="113"/>
      <c r="E226" s="113"/>
      <c r="F226" s="113"/>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row>
    <row r="227" spans="1:47" hidden="1" outlineLevel="1">
      <c r="A227" s="142" t="s">
        <v>398</v>
      </c>
      <c r="B227" s="127"/>
      <c r="C227" s="113"/>
      <c r="D227" s="113"/>
      <c r="E227" s="113"/>
      <c r="F227" s="113"/>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c r="AS227" s="82"/>
      <c r="AT227" s="82"/>
      <c r="AU227" s="82"/>
    </row>
    <row r="228" spans="1:47" hidden="1" outlineLevel="1">
      <c r="A228" s="151" t="s">
        <v>396</v>
      </c>
      <c r="B228" s="128"/>
      <c r="C228" s="113"/>
      <c r="D228" s="113"/>
      <c r="E228" s="113"/>
      <c r="F228" s="113"/>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82"/>
      <c r="AS228" s="82"/>
      <c r="AT228" s="82"/>
      <c r="AU228" s="82"/>
    </row>
    <row r="229" spans="1:47" hidden="1" outlineLevel="1">
      <c r="A229" s="142" t="s">
        <v>655</v>
      </c>
      <c r="B229" s="127"/>
      <c r="C229" s="113"/>
      <c r="D229" s="113"/>
      <c r="E229" s="113"/>
      <c r="F229" s="113"/>
      <c r="G229" s="82"/>
      <c r="H229" s="82"/>
      <c r="I229" s="82"/>
      <c r="J229" s="82"/>
      <c r="K229" s="82"/>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82"/>
      <c r="AS229" s="82"/>
      <c r="AT229" s="82"/>
      <c r="AU229" s="82"/>
    </row>
    <row r="230" spans="1:47" hidden="1" outlineLevel="1">
      <c r="A230" s="142" t="s">
        <v>656</v>
      </c>
      <c r="B230" s="127"/>
      <c r="C230" s="113"/>
      <c r="D230" s="113"/>
      <c r="E230" s="113"/>
      <c r="F230" s="113"/>
      <c r="G230" s="82"/>
      <c r="H230" s="82"/>
      <c r="I230" s="82"/>
      <c r="J230" s="82"/>
      <c r="K230" s="82"/>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row>
    <row r="231" spans="1:47" hidden="1" outlineLevel="1">
      <c r="A231" s="113"/>
      <c r="B231" s="113"/>
      <c r="C231" s="113"/>
      <c r="D231" s="113"/>
      <c r="E231" s="113"/>
      <c r="F231" s="113"/>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82"/>
      <c r="AS231" s="82"/>
      <c r="AT231" s="82"/>
      <c r="AU231" s="82"/>
    </row>
    <row r="232" spans="1:47" hidden="1" outlineLevel="1">
      <c r="A232" s="119" t="s">
        <v>176</v>
      </c>
      <c r="B232" s="119" t="str">
        <f>IF(B4="Zynq-7000","MIO pin not used",IF(B4="",'Warning Messages'!B12,'Warning Messages'!B17))</f>
        <v>Does not apply to selected family.</v>
      </c>
      <c r="C232" s="119" t="s">
        <v>158</v>
      </c>
      <c r="D232" s="119" t="s">
        <v>159</v>
      </c>
      <c r="E232" s="119" t="s">
        <v>206</v>
      </c>
      <c r="F232" s="119" t="s">
        <v>68</v>
      </c>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82"/>
      <c r="AS232" s="82"/>
      <c r="AT232" s="82"/>
      <c r="AU232" s="82"/>
    </row>
    <row r="233" spans="1:47" hidden="1" outlineLevel="1">
      <c r="A233" s="149" t="s">
        <v>594</v>
      </c>
      <c r="B233" s="120" t="str">
        <f>IF(B4="Zynq-7000","MIO pin not used",IF(B4="",'Warning Messages'!B12,'Warning Messages'!B17))</f>
        <v>Does not apply to selected family.</v>
      </c>
      <c r="C233" s="131"/>
      <c r="D233" s="110"/>
      <c r="E233" s="162"/>
      <c r="F233" s="129"/>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82"/>
      <c r="AS233" s="82"/>
      <c r="AT233" s="82"/>
      <c r="AU233" s="82"/>
    </row>
    <row r="234" spans="1:47" hidden="1" outlineLevel="1">
      <c r="A234" s="148" t="s">
        <v>595</v>
      </c>
      <c r="B234" s="93" t="str">
        <f>IF(B4="Zynq-7000","MIO pin not used",IF(B4="",'Warning Messages'!B12,'Warning Messages'!B17))</f>
        <v>Does not apply to selected family.</v>
      </c>
      <c r="C234" s="130"/>
      <c r="D234" s="111"/>
      <c r="E234" s="163"/>
      <c r="F234" s="11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82"/>
      <c r="AS234" s="82"/>
      <c r="AT234" s="82"/>
      <c r="AU234" s="82"/>
    </row>
    <row r="235" spans="1:47" hidden="1" outlineLevel="1">
      <c r="A235" s="148" t="s">
        <v>596</v>
      </c>
      <c r="B235" s="93" t="str">
        <f>IF(B4="Zynq-7000","MIO pin not used",IF(B4="",'Warning Messages'!B12,'Warning Messages'!B17))</f>
        <v>Does not apply to selected family.</v>
      </c>
      <c r="C235" s="130"/>
      <c r="D235" s="111"/>
      <c r="E235" s="163"/>
      <c r="F235" s="11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row>
    <row r="236" spans="1:47" hidden="1" outlineLevel="1">
      <c r="A236" s="148" t="s">
        <v>597</v>
      </c>
      <c r="B236" s="93" t="str">
        <f>IF(B4="Zynq-7000","MIO pin not used",IF(B4="",'Warning Messages'!B12,'Warning Messages'!B17))</f>
        <v>Does not apply to selected family.</v>
      </c>
      <c r="C236" s="130"/>
      <c r="D236" s="111"/>
      <c r="E236" s="163"/>
      <c r="F236" s="112"/>
      <c r="G236" s="82"/>
      <c r="H236" s="82"/>
      <c r="I236" s="82"/>
      <c r="J236" s="82"/>
      <c r="K236" s="82"/>
      <c r="L236" s="82"/>
      <c r="M236" s="82"/>
      <c r="N236" s="82"/>
      <c r="O236" s="82"/>
      <c r="P236" s="82"/>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c r="AQ236" s="82"/>
      <c r="AR236" s="82"/>
      <c r="AS236" s="82"/>
      <c r="AT236" s="82"/>
      <c r="AU236" s="82"/>
    </row>
    <row r="237" spans="1:47" hidden="1" outlineLevel="1">
      <c r="A237" s="148" t="s">
        <v>598</v>
      </c>
      <c r="B237" s="93" t="str">
        <f>IF(B4="Zynq-7000","MIO pin not used",IF(B4="",'Warning Messages'!B12,'Warning Messages'!B17))</f>
        <v>Does not apply to selected family.</v>
      </c>
      <c r="C237" s="130"/>
      <c r="D237" s="111"/>
      <c r="E237" s="163"/>
      <c r="F237" s="112"/>
      <c r="G237" s="82"/>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82"/>
      <c r="AU237" s="82"/>
    </row>
    <row r="238" spans="1:47" hidden="1" outlineLevel="1">
      <c r="A238" s="148" t="s">
        <v>599</v>
      </c>
      <c r="B238" s="93" t="str">
        <f>IF(B4="Zynq-7000","MIO pin not used",IF(B4="",'Warning Messages'!B12,'Warning Messages'!B17))</f>
        <v>Does not apply to selected family.</v>
      </c>
      <c r="C238" s="130"/>
      <c r="D238" s="111"/>
      <c r="E238" s="163"/>
      <c r="F238" s="112"/>
      <c r="G238" s="82"/>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82"/>
      <c r="AU238" s="82"/>
    </row>
    <row r="239" spans="1:47" hidden="1" outlineLevel="1">
      <c r="A239" s="148" t="s">
        <v>600</v>
      </c>
      <c r="B239" s="93" t="str">
        <f>IF(B4="Zynq-7000","MIO pin not used",IF(B4="",'Warning Messages'!B12,'Warning Messages'!B17))</f>
        <v>Does not apply to selected family.</v>
      </c>
      <c r="C239" s="130"/>
      <c r="D239" s="111"/>
      <c r="E239" s="163"/>
      <c r="F239" s="112"/>
      <c r="G239" s="82"/>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82"/>
      <c r="AU239" s="82"/>
    </row>
    <row r="240" spans="1:47" hidden="1" outlineLevel="1">
      <c r="A240" s="148" t="s">
        <v>601</v>
      </c>
      <c r="B240" s="93" t="str">
        <f>IF(B4="Zynq-7000","MIO pin not used",IF(B4="",'Warning Messages'!B12,'Warning Messages'!B17))</f>
        <v>Does not apply to selected family.</v>
      </c>
      <c r="C240" s="130"/>
      <c r="D240" s="111"/>
      <c r="E240" s="163"/>
      <c r="F240" s="112"/>
      <c r="G240" s="82"/>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row>
    <row r="241" spans="1:47" hidden="1" outlineLevel="1">
      <c r="A241" s="148" t="s">
        <v>602</v>
      </c>
      <c r="B241" s="93" t="str">
        <f>IF(B4="Zynq-7000","MIO pin not used",IF(B4="",'Warning Messages'!B12,'Warning Messages'!B17))</f>
        <v>Does not apply to selected family.</v>
      </c>
      <c r="C241" s="130"/>
      <c r="D241" s="111"/>
      <c r="E241" s="163"/>
      <c r="F241" s="112"/>
      <c r="G241" s="82"/>
      <c r="H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row>
    <row r="242" spans="1:47" hidden="1" outlineLevel="1">
      <c r="A242" s="148" t="s">
        <v>603</v>
      </c>
      <c r="B242" s="93" t="str">
        <f>IF(B4="Zynq-7000","MIO pin not used",IF(B4="",'Warning Messages'!B12,'Warning Messages'!B17))</f>
        <v>Does not apply to selected family.</v>
      </c>
      <c r="C242" s="130"/>
      <c r="D242" s="111"/>
      <c r="E242" s="163"/>
      <c r="F242" s="112"/>
      <c r="G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row>
    <row r="243" spans="1:47" hidden="1" outlineLevel="1">
      <c r="A243" s="148" t="s">
        <v>604</v>
      </c>
      <c r="B243" s="93" t="str">
        <f>IF(B4="Zynq-7000","MIO pin not used",IF(B4="",'Warning Messages'!B12,'Warning Messages'!B17))</f>
        <v>Does not apply to selected family.</v>
      </c>
      <c r="C243" s="130"/>
      <c r="D243" s="111"/>
      <c r="E243" s="163"/>
      <c r="F243" s="112"/>
      <c r="G243" s="82"/>
      <c r="H243" s="82"/>
      <c r="I243" s="82"/>
      <c r="J243" s="82"/>
      <c r="K243" s="82"/>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row>
    <row r="244" spans="1:47" hidden="1" outlineLevel="1">
      <c r="A244" s="148" t="s">
        <v>605</v>
      </c>
      <c r="B244" s="93" t="str">
        <f>IF(B4="Zynq-7000","MIO pin not used",IF(B4="",'Warning Messages'!B12,'Warning Messages'!B17))</f>
        <v>Does not apply to selected family.</v>
      </c>
      <c r="C244" s="130"/>
      <c r="D244" s="111"/>
      <c r="E244" s="163"/>
      <c r="F244" s="112"/>
      <c r="G244" s="82"/>
      <c r="H244" s="82"/>
      <c r="I244" s="82"/>
      <c r="J244" s="82"/>
      <c r="K244" s="82"/>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row>
    <row r="245" spans="1:47" hidden="1" outlineLevel="1">
      <c r="A245" s="148" t="s">
        <v>606</v>
      </c>
      <c r="B245" s="93" t="str">
        <f>IF(B4="Zynq-7000","MIO pin not used",IF(B4="",'Warning Messages'!B12,'Warning Messages'!B17))</f>
        <v>Does not apply to selected family.</v>
      </c>
      <c r="C245" s="130"/>
      <c r="D245" s="111"/>
      <c r="E245" s="163"/>
      <c r="F245" s="112"/>
      <c r="G245" s="82"/>
      <c r="H245" s="82"/>
      <c r="I245" s="82"/>
      <c r="J245" s="82"/>
      <c r="K245" s="82"/>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row>
    <row r="246" spans="1:47" hidden="1" outlineLevel="1">
      <c r="A246" s="148" t="s">
        <v>607</v>
      </c>
      <c r="B246" s="93" t="str">
        <f>IF(B4="Zynq-7000","MIO pin not used",IF(B4="",'Warning Messages'!B12,'Warning Messages'!B17))</f>
        <v>Does not apply to selected family.</v>
      </c>
      <c r="C246" s="130"/>
      <c r="D246" s="111"/>
      <c r="E246" s="163"/>
      <c r="F246" s="11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row>
    <row r="247" spans="1:47" hidden="1" outlineLevel="1">
      <c r="A247" s="148" t="s">
        <v>608</v>
      </c>
      <c r="B247" s="93" t="str">
        <f>IF(B4="Zynq-7000","MIO pin not used",IF(B4="",'Warning Messages'!B12,'Warning Messages'!B17))</f>
        <v>Does not apply to selected family.</v>
      </c>
      <c r="C247" s="130"/>
      <c r="D247" s="111"/>
      <c r="E247" s="163"/>
      <c r="F247" s="112"/>
      <c r="G247" s="82"/>
      <c r="H247" s="82"/>
      <c r="I247" s="82"/>
      <c r="J247" s="82"/>
      <c r="K247" s="82"/>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row>
    <row r="248" spans="1:47" hidden="1" outlineLevel="1">
      <c r="A248" s="148" t="s">
        <v>609</v>
      </c>
      <c r="B248" s="93" t="str">
        <f>IF(B4="Zynq-7000","MIO pin not used",IF(B4="",'Warning Messages'!B12,'Warning Messages'!B17))</f>
        <v>Does not apply to selected family.</v>
      </c>
      <c r="C248" s="130"/>
      <c r="D248" s="111"/>
      <c r="E248" s="163"/>
      <c r="F248" s="112"/>
      <c r="G248" s="82"/>
      <c r="H248" s="82"/>
      <c r="I248" s="82"/>
      <c r="J248" s="82"/>
      <c r="K248" s="82"/>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row>
    <row r="249" spans="1:47" hidden="1" outlineLevel="1">
      <c r="A249" s="148" t="s">
        <v>610</v>
      </c>
      <c r="B249" s="93" t="str">
        <f>IF(B4="Zynq-7000","MIO pin not used",IF(B4="",'Warning Messages'!B12,'Warning Messages'!B17))</f>
        <v>Does not apply to selected family.</v>
      </c>
      <c r="C249" s="130"/>
      <c r="D249" s="111"/>
      <c r="E249" s="163"/>
      <c r="F249" s="11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row>
    <row r="250" spans="1:47" hidden="1" outlineLevel="1">
      <c r="A250" s="148" t="s">
        <v>611</v>
      </c>
      <c r="B250" s="93" t="str">
        <f>IF(B4="Zynq-7000","MIO pin not used",IF(B4="",'Warning Messages'!B12,'Warning Messages'!B17))</f>
        <v>Does not apply to selected family.</v>
      </c>
      <c r="C250" s="130"/>
      <c r="D250" s="111"/>
      <c r="E250" s="163"/>
      <c r="F250" s="112"/>
      <c r="G250" s="82"/>
      <c r="H250" s="82"/>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row>
    <row r="251" spans="1:47" hidden="1" outlineLevel="1">
      <c r="A251" s="148" t="s">
        <v>612</v>
      </c>
      <c r="B251" s="93" t="str">
        <f>IF(B4="Zynq-7000","MIO pin not used",IF(B4="",'Warning Messages'!B12,'Warning Messages'!B17))</f>
        <v>Does not apply to selected family.</v>
      </c>
      <c r="C251" s="130"/>
      <c r="D251" s="111"/>
      <c r="E251" s="163"/>
      <c r="F251" s="11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row>
    <row r="252" spans="1:47" hidden="1" outlineLevel="1">
      <c r="A252" s="148" t="s">
        <v>613</v>
      </c>
      <c r="B252" s="93" t="str">
        <f>IF(B4="Zynq-7000","MIO pin not used",IF(B4="",'Warning Messages'!B12,'Warning Messages'!B17))</f>
        <v>Does not apply to selected family.</v>
      </c>
      <c r="C252" s="130"/>
      <c r="D252" s="111"/>
      <c r="E252" s="163"/>
      <c r="F252" s="112"/>
      <c r="G252" s="82"/>
      <c r="H252" s="82"/>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c r="AQ252" s="82"/>
      <c r="AR252" s="82"/>
      <c r="AS252" s="82"/>
      <c r="AT252" s="82"/>
      <c r="AU252" s="82"/>
    </row>
    <row r="253" spans="1:47" hidden="1" outlineLevel="1">
      <c r="A253" s="148" t="s">
        <v>614</v>
      </c>
      <c r="B253" s="93" t="str">
        <f>IF(B4="Zynq-7000","MIO pin not used",IF(B4="",'Warning Messages'!B12,'Warning Messages'!B17))</f>
        <v>Does not apply to selected family.</v>
      </c>
      <c r="C253" s="130"/>
      <c r="D253" s="111"/>
      <c r="E253" s="163"/>
      <c r="F253" s="112"/>
      <c r="G253" s="82"/>
      <c r="H253" s="82"/>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c r="AQ253" s="82"/>
      <c r="AR253" s="82"/>
      <c r="AS253" s="82"/>
      <c r="AT253" s="82"/>
      <c r="AU253" s="82"/>
    </row>
    <row r="254" spans="1:47" hidden="1" outlineLevel="1">
      <c r="A254" s="148" t="s">
        <v>615</v>
      </c>
      <c r="B254" s="93" t="str">
        <f>IF(B4="Zynq-7000","MIO pin not used",IF(B4="",'Warning Messages'!B12,'Warning Messages'!B17))</f>
        <v>Does not apply to selected family.</v>
      </c>
      <c r="C254" s="130"/>
      <c r="D254" s="111"/>
      <c r="E254" s="163"/>
      <c r="F254" s="112"/>
      <c r="G254" s="82"/>
      <c r="H254" s="82"/>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c r="AQ254" s="82"/>
      <c r="AR254" s="82"/>
      <c r="AS254" s="82"/>
      <c r="AT254" s="82"/>
      <c r="AU254" s="82"/>
    </row>
    <row r="255" spans="1:47" hidden="1" outlineLevel="1">
      <c r="A255" s="148" t="s">
        <v>616</v>
      </c>
      <c r="B255" s="93" t="str">
        <f>IF(B4="Zynq-7000","MIO pin not used",IF(B4="",'Warning Messages'!B12,'Warning Messages'!B17))</f>
        <v>Does not apply to selected family.</v>
      </c>
      <c r="C255" s="130"/>
      <c r="D255" s="111"/>
      <c r="E255" s="163"/>
      <c r="F255" s="112"/>
      <c r="G255" s="82"/>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row>
    <row r="256" spans="1:47" hidden="1" outlineLevel="1">
      <c r="A256" s="148" t="s">
        <v>617</v>
      </c>
      <c r="B256" s="93" t="str">
        <f>IF(B4="Zynq-7000","MIO pin not used",IF(B4="",'Warning Messages'!B12,'Warning Messages'!B17))</f>
        <v>Does not apply to selected family.</v>
      </c>
      <c r="C256" s="130"/>
      <c r="D256" s="111"/>
      <c r="E256" s="163"/>
      <c r="F256" s="11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row>
    <row r="257" spans="1:47" hidden="1" outlineLevel="1">
      <c r="A257" s="148" t="s">
        <v>618</v>
      </c>
      <c r="B257" s="93" t="str">
        <f>IF(B4="Zynq-7000","MIO pin not used",IF(B4="",'Warning Messages'!B12,'Warning Messages'!B17))</f>
        <v>Does not apply to selected family.</v>
      </c>
      <c r="C257" s="130"/>
      <c r="D257" s="111"/>
      <c r="E257" s="163"/>
      <c r="F257" s="112"/>
      <c r="G257" s="82"/>
      <c r="H257" s="82"/>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row>
    <row r="258" spans="1:47" hidden="1" outlineLevel="1">
      <c r="A258" s="148" t="s">
        <v>619</v>
      </c>
      <c r="B258" s="93" t="str">
        <f>IF(B4="Zynq-7000","MIO pin not used",IF(B4="",'Warning Messages'!B12,'Warning Messages'!B17))</f>
        <v>Does not apply to selected family.</v>
      </c>
      <c r="C258" s="130"/>
      <c r="D258" s="111"/>
      <c r="E258" s="163"/>
      <c r="F258" s="112"/>
      <c r="G258" s="82"/>
      <c r="H258" s="82"/>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row>
    <row r="259" spans="1:47" hidden="1" outlineLevel="1">
      <c r="A259" s="148" t="s">
        <v>620</v>
      </c>
      <c r="B259" s="93" t="str">
        <f>IF(B4="Zynq-7000","MIO pin not used",IF(B4="",'Warning Messages'!B12,'Warning Messages'!B17))</f>
        <v>Does not apply to selected family.</v>
      </c>
      <c r="C259" s="130"/>
      <c r="D259" s="111"/>
      <c r="E259" s="163"/>
      <c r="F259" s="112"/>
      <c r="G259" s="82"/>
      <c r="H259" s="82"/>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row>
    <row r="260" spans="1:47" hidden="1" outlineLevel="1">
      <c r="A260" s="148" t="s">
        <v>621</v>
      </c>
      <c r="B260" s="93" t="str">
        <f>IF(B4="Zynq-7000","MIO pin not used",IF(B4="",'Warning Messages'!B12,'Warning Messages'!B17))</f>
        <v>Does not apply to selected family.</v>
      </c>
      <c r="C260" s="130"/>
      <c r="D260" s="111"/>
      <c r="E260" s="163"/>
      <c r="F260" s="112"/>
      <c r="G260" s="82"/>
      <c r="H260" s="82"/>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row>
    <row r="261" spans="1:47" hidden="1" outlineLevel="1">
      <c r="A261" s="148" t="s">
        <v>622</v>
      </c>
      <c r="B261" s="93" t="str">
        <f>IF(B4="Zynq-7000","MIO pin not used",IF(B4="",'Warning Messages'!B12,'Warning Messages'!B17))</f>
        <v>Does not apply to selected family.</v>
      </c>
      <c r="C261" s="130"/>
      <c r="D261" s="111"/>
      <c r="E261" s="163"/>
      <c r="F261" s="112"/>
      <c r="G261" s="82"/>
      <c r="H261" s="82"/>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row>
    <row r="262" spans="1:47" hidden="1" outlineLevel="1">
      <c r="A262" s="148" t="s">
        <v>623</v>
      </c>
      <c r="B262" s="93" t="str">
        <f>IF(B4="Zynq-7000","MIO pin not used",IF(B4="",'Warning Messages'!B12,'Warning Messages'!B17))</f>
        <v>Does not apply to selected family.</v>
      </c>
      <c r="C262" s="130"/>
      <c r="D262" s="111"/>
      <c r="E262" s="163"/>
      <c r="F262" s="112"/>
      <c r="G262" s="82"/>
      <c r="H262" s="82"/>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row>
    <row r="263" spans="1:47" hidden="1" outlineLevel="1">
      <c r="A263" s="148" t="s">
        <v>624</v>
      </c>
      <c r="B263" s="93" t="str">
        <f>IF(B4="Zynq-7000","MIO pin not used",IF(B4="",'Warning Messages'!B12,'Warning Messages'!B17))</f>
        <v>Does not apply to selected family.</v>
      </c>
      <c r="C263" s="130"/>
      <c r="D263" s="111"/>
      <c r="E263" s="163"/>
      <c r="F263" s="112"/>
      <c r="G263" s="82"/>
      <c r="H263" s="82"/>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row>
    <row r="264" spans="1:47" hidden="1" outlineLevel="1">
      <c r="A264" s="148" t="s">
        <v>625</v>
      </c>
      <c r="B264" s="93" t="str">
        <f>IF(B4="Zynq-7000","MIO pin not used",IF(B4="",'Warning Messages'!B12,'Warning Messages'!B17))</f>
        <v>Does not apply to selected family.</v>
      </c>
      <c r="C264" s="130"/>
      <c r="D264" s="111"/>
      <c r="E264" s="163"/>
      <c r="F264" s="112"/>
      <c r="G264" s="82"/>
      <c r="H264" s="82"/>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row>
    <row r="265" spans="1:47" hidden="1" outlineLevel="1">
      <c r="A265" s="148" t="s">
        <v>626</v>
      </c>
      <c r="B265" s="93" t="str">
        <f>IF(B4="Zynq-7000","MIO pin not used",IF(B4="",'Warning Messages'!B12,'Warning Messages'!B17))</f>
        <v>Does not apply to selected family.</v>
      </c>
      <c r="C265" s="130"/>
      <c r="D265" s="111"/>
      <c r="E265" s="163"/>
      <c r="F265" s="112"/>
      <c r="G265" s="82"/>
      <c r="H265" s="82"/>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row>
    <row r="266" spans="1:47" hidden="1" outlineLevel="1">
      <c r="A266" s="148" t="s">
        <v>627</v>
      </c>
      <c r="B266" s="93" t="str">
        <f>IF(B4="Zynq-7000","MIO pin not used",IF(B4="",'Warning Messages'!B12,'Warning Messages'!B17))</f>
        <v>Does not apply to selected family.</v>
      </c>
      <c r="C266" s="130"/>
      <c r="D266" s="111"/>
      <c r="E266" s="163"/>
      <c r="F266" s="112"/>
      <c r="G266" s="82"/>
      <c r="H266" s="82"/>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row>
    <row r="267" spans="1:47" hidden="1" outlineLevel="1">
      <c r="A267" s="148" t="s">
        <v>628</v>
      </c>
      <c r="B267" s="93" t="str">
        <f>IF(B4="Zynq-7000","MIO pin not used",IF(B4="",'Warning Messages'!B12,'Warning Messages'!B17))</f>
        <v>Does not apply to selected family.</v>
      </c>
      <c r="C267" s="130"/>
      <c r="D267" s="111"/>
      <c r="E267" s="163"/>
      <c r="F267" s="112"/>
      <c r="G267" s="82"/>
      <c r="H267" s="82"/>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row>
    <row r="268" spans="1:47" hidden="1" outlineLevel="1">
      <c r="A268" s="148" t="s">
        <v>629</v>
      </c>
      <c r="B268" s="93" t="str">
        <f>IF(B4="Zynq-7000","MIO pin not used",IF(B4="",'Warning Messages'!B12,'Warning Messages'!B17))</f>
        <v>Does not apply to selected family.</v>
      </c>
      <c r="C268" s="130"/>
      <c r="D268" s="111"/>
      <c r="E268" s="163"/>
      <c r="F268" s="112"/>
      <c r="G268" s="82"/>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row>
    <row r="269" spans="1:47" hidden="1" outlineLevel="1">
      <c r="A269" s="148" t="s">
        <v>630</v>
      </c>
      <c r="B269" s="93" t="str">
        <f>IF(B4="Zynq-7000","MIO pin not used",IF(B4="",'Warning Messages'!B12,'Warning Messages'!B17))</f>
        <v>Does not apply to selected family.</v>
      </c>
      <c r="C269" s="130"/>
      <c r="D269" s="111"/>
      <c r="E269" s="163"/>
      <c r="F269" s="112"/>
      <c r="G269" s="82"/>
      <c r="H269" s="82"/>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row>
    <row r="270" spans="1:47" hidden="1" outlineLevel="1">
      <c r="A270" s="148" t="s">
        <v>631</v>
      </c>
      <c r="B270" s="93" t="str">
        <f>IF(B4="Zynq-7000","MIO pin not used",IF(B4="",'Warning Messages'!B12,'Warning Messages'!B17))</f>
        <v>Does not apply to selected family.</v>
      </c>
      <c r="C270" s="130"/>
      <c r="D270" s="111"/>
      <c r="E270" s="163"/>
      <c r="F270" s="112"/>
      <c r="G270" s="82"/>
      <c r="H270" s="82"/>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row>
    <row r="271" spans="1:47" hidden="1" outlineLevel="1">
      <c r="A271" s="148" t="s">
        <v>632</v>
      </c>
      <c r="B271" s="93" t="str">
        <f>IF(B4="Zynq-7000","MIO pin not used",IF(B4="",'Warning Messages'!B12,'Warning Messages'!B17))</f>
        <v>Does not apply to selected family.</v>
      </c>
      <c r="C271" s="130"/>
      <c r="D271" s="111"/>
      <c r="E271" s="163"/>
      <c r="F271" s="112"/>
      <c r="G271" s="82"/>
      <c r="H271" s="82"/>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row>
    <row r="272" spans="1:47" hidden="1" outlineLevel="1">
      <c r="A272" s="148" t="s">
        <v>633</v>
      </c>
      <c r="B272" s="93" t="str">
        <f>IF(B4="Zynq-7000","MIO pin not used",IF(B4="",'Warning Messages'!B12,'Warning Messages'!B17))</f>
        <v>Does not apply to selected family.</v>
      </c>
      <c r="C272" s="130"/>
      <c r="D272" s="111"/>
      <c r="E272" s="163"/>
      <c r="F272" s="112"/>
      <c r="G272" s="82"/>
      <c r="H272" s="82"/>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row>
    <row r="273" spans="1:47" hidden="1" outlineLevel="1">
      <c r="A273" s="148" t="s">
        <v>634</v>
      </c>
      <c r="B273" s="93" t="str">
        <f>IF(B4="Zynq-7000","MIO pin not used",IF(B4="",'Warning Messages'!B12,'Warning Messages'!B17))</f>
        <v>Does not apply to selected family.</v>
      </c>
      <c r="C273" s="130"/>
      <c r="D273" s="111"/>
      <c r="E273" s="163"/>
      <c r="F273" s="112"/>
      <c r="G273" s="82"/>
      <c r="H273" s="82"/>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row>
    <row r="274" spans="1:47" hidden="1" outlineLevel="1">
      <c r="A274" s="148" t="s">
        <v>635</v>
      </c>
      <c r="B274" s="93" t="str">
        <f>IF(B4="Zynq-7000","MIO pin not used",IF(B4="",'Warning Messages'!B12,'Warning Messages'!B17))</f>
        <v>Does not apply to selected family.</v>
      </c>
      <c r="C274" s="130"/>
      <c r="D274" s="111"/>
      <c r="E274" s="163"/>
      <c r="F274" s="112"/>
      <c r="G274" s="82"/>
      <c r="H274" s="82"/>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row>
    <row r="275" spans="1:47" hidden="1" outlineLevel="1">
      <c r="A275" s="148" t="s">
        <v>636</v>
      </c>
      <c r="B275" s="93" t="str">
        <f>IF(B4="Zynq-7000","MIO pin not used",IF(B4="",'Warning Messages'!B12,'Warning Messages'!B17))</f>
        <v>Does not apply to selected family.</v>
      </c>
      <c r="C275" s="130"/>
      <c r="D275" s="111"/>
      <c r="E275" s="163"/>
      <c r="F275" s="112"/>
      <c r="G275" s="82"/>
      <c r="H275" s="82"/>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row>
    <row r="276" spans="1:47" hidden="1" outlineLevel="1">
      <c r="A276" s="148" t="s">
        <v>637</v>
      </c>
      <c r="B276" s="93" t="str">
        <f>IF(B4="Zynq-7000","MIO pin not used",IF(B4="",'Warning Messages'!B12,'Warning Messages'!B17))</f>
        <v>Does not apply to selected family.</v>
      </c>
      <c r="C276" s="130"/>
      <c r="D276" s="111"/>
      <c r="E276" s="163"/>
      <c r="F276" s="112"/>
      <c r="G276" s="82"/>
      <c r="H276" s="82"/>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row>
    <row r="277" spans="1:47" hidden="1" outlineLevel="1">
      <c r="A277" s="148" t="s">
        <v>638</v>
      </c>
      <c r="B277" s="93" t="str">
        <f>IF(B4="Zynq-7000","MIO pin not used",IF(B4="",'Warning Messages'!B12,'Warning Messages'!B17))</f>
        <v>Does not apply to selected family.</v>
      </c>
      <c r="C277" s="130"/>
      <c r="D277" s="111"/>
      <c r="E277" s="163"/>
      <c r="F277" s="112"/>
      <c r="G277" s="82"/>
      <c r="H277" s="82"/>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row>
    <row r="278" spans="1:47" hidden="1" outlineLevel="1">
      <c r="A278" s="148" t="s">
        <v>639</v>
      </c>
      <c r="B278" s="93" t="str">
        <f>IF(B4="Zynq-7000","MIO pin not used",IF(B4="",'Warning Messages'!B12,'Warning Messages'!B17))</f>
        <v>Does not apply to selected family.</v>
      </c>
      <c r="C278" s="130"/>
      <c r="D278" s="111"/>
      <c r="E278" s="163"/>
      <c r="F278" s="112"/>
      <c r="G278" s="82"/>
      <c r="H278" s="82"/>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row>
    <row r="279" spans="1:47" hidden="1" outlineLevel="1">
      <c r="A279" s="148" t="s">
        <v>640</v>
      </c>
      <c r="B279" s="93" t="str">
        <f>IF(B4="Zynq-7000","MIO pin not used",IF(B4="",'Warning Messages'!B12,'Warning Messages'!B17))</f>
        <v>Does not apply to selected family.</v>
      </c>
      <c r="C279" s="130"/>
      <c r="D279" s="111"/>
      <c r="E279" s="163"/>
      <c r="F279" s="112"/>
      <c r="G279" s="82"/>
      <c r="H279" s="82"/>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row>
    <row r="280" spans="1:47" hidden="1" outlineLevel="1">
      <c r="A280" s="148" t="s">
        <v>641</v>
      </c>
      <c r="B280" s="93" t="str">
        <f>IF(B4="Zynq-7000","MIO pin not used",IF(B4="",'Warning Messages'!B12,'Warning Messages'!B17))</f>
        <v>Does not apply to selected family.</v>
      </c>
      <c r="C280" s="130"/>
      <c r="D280" s="111"/>
      <c r="E280" s="163"/>
      <c r="F280" s="112"/>
      <c r="G280" s="82"/>
      <c r="H280" s="82"/>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row>
    <row r="281" spans="1:47" hidden="1" outlineLevel="1">
      <c r="A281" s="148" t="s">
        <v>642</v>
      </c>
      <c r="B281" s="93" t="str">
        <f>IF(B4="Zynq-7000","MIO pin not used",IF(B4="",'Warning Messages'!B12,'Warning Messages'!B17))</f>
        <v>Does not apply to selected family.</v>
      </c>
      <c r="C281" s="130"/>
      <c r="D281" s="111"/>
      <c r="E281" s="163"/>
      <c r="F281" s="112"/>
      <c r="G281" s="82"/>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row>
    <row r="282" spans="1:47" hidden="1" outlineLevel="1">
      <c r="A282" s="148" t="s">
        <v>643</v>
      </c>
      <c r="B282" s="93" t="str">
        <f>IF(B4="Zynq-7000","MIO pin not used",IF(B4="",'Warning Messages'!B12,'Warning Messages'!B17))</f>
        <v>Does not apply to selected family.</v>
      </c>
      <c r="C282" s="130"/>
      <c r="D282" s="111"/>
      <c r="E282" s="163"/>
      <c r="F282" s="112"/>
      <c r="G282" s="82"/>
      <c r="H282" s="82"/>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row>
    <row r="283" spans="1:47" hidden="1" outlineLevel="1">
      <c r="A283" s="148" t="s">
        <v>644</v>
      </c>
      <c r="B283" s="93" t="str">
        <f>IF(B4="Zynq-7000","MIO pin not used",IF(B4="",'Warning Messages'!B12,'Warning Messages'!B17))</f>
        <v>Does not apply to selected family.</v>
      </c>
      <c r="C283" s="130"/>
      <c r="D283" s="111"/>
      <c r="E283" s="163"/>
      <c r="F283" s="112"/>
      <c r="G283" s="82"/>
      <c r="H283" s="82"/>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row>
    <row r="284" spans="1:47" hidden="1" outlineLevel="1">
      <c r="A284" s="148" t="s">
        <v>645</v>
      </c>
      <c r="B284" s="93" t="str">
        <f>IF(B4="Zynq-7000","MIO pin not used",IF(B4="",'Warning Messages'!B12,'Warning Messages'!B17))</f>
        <v>Does not apply to selected family.</v>
      </c>
      <c r="C284" s="130"/>
      <c r="D284" s="111"/>
      <c r="E284" s="163"/>
      <c r="F284" s="112"/>
      <c r="G284" s="82"/>
      <c r="H284" s="82"/>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c r="AQ284" s="82"/>
      <c r="AR284" s="82"/>
      <c r="AS284" s="82"/>
      <c r="AT284" s="82"/>
      <c r="AU284" s="82"/>
    </row>
    <row r="285" spans="1:47" hidden="1" outlineLevel="1">
      <c r="A285" s="148" t="s">
        <v>646</v>
      </c>
      <c r="B285" s="93" t="str">
        <f>IF(B4="Zynq-7000","MIO pin not used",IF(B4="",'Warning Messages'!B12,'Warning Messages'!B17))</f>
        <v>Does not apply to selected family.</v>
      </c>
      <c r="C285" s="130"/>
      <c r="D285" s="111"/>
      <c r="E285" s="163"/>
      <c r="F285" s="112"/>
      <c r="G285" s="82"/>
      <c r="H285" s="82"/>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c r="AQ285" s="82"/>
      <c r="AR285" s="82"/>
      <c r="AS285" s="82"/>
      <c r="AT285" s="82"/>
      <c r="AU285" s="82"/>
    </row>
    <row r="286" spans="1:47" hidden="1" outlineLevel="1">
      <c r="A286" s="144" t="s">
        <v>647</v>
      </c>
      <c r="B286" s="92" t="str">
        <f>IF(B4="Zynq-7000","MIO pin not used",IF(B4="",'Warning Messages'!B12,'Warning Messages'!B17))</f>
        <v>Does not apply to selected family.</v>
      </c>
      <c r="C286" s="112"/>
      <c r="D286" s="111"/>
      <c r="E286" s="117"/>
      <c r="F286" s="112"/>
      <c r="G286" s="82"/>
      <c r="H286" s="82"/>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c r="AQ286" s="82"/>
      <c r="AR286" s="82"/>
      <c r="AS286" s="82"/>
      <c r="AT286" s="82"/>
      <c r="AU286" s="82"/>
    </row>
    <row r="287" spans="1:47" hidden="1" outlineLevel="1">
      <c r="A287" s="237" t="s">
        <v>704</v>
      </c>
      <c r="B287" s="238"/>
      <c r="C287" s="239"/>
      <c r="D287" s="113"/>
      <c r="E287" s="113"/>
      <c r="F287" s="113"/>
      <c r="G287" s="82"/>
      <c r="H287" s="82"/>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c r="AQ287" s="82"/>
      <c r="AR287" s="82"/>
      <c r="AS287" s="82"/>
      <c r="AT287" s="82"/>
      <c r="AU287" s="82"/>
    </row>
    <row r="288" spans="1:47" hidden="1">
      <c r="A288" s="113"/>
      <c r="B288" s="113"/>
      <c r="C288" s="113"/>
      <c r="D288" s="113"/>
      <c r="E288" s="113"/>
      <c r="F288" s="113"/>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row>
    <row r="289" spans="1:47">
      <c r="A289" s="225" t="s">
        <v>271</v>
      </c>
      <c r="B289" s="226"/>
      <c r="C289" s="226"/>
      <c r="D289" s="226"/>
      <c r="E289" s="226"/>
      <c r="F289" s="227"/>
      <c r="G289" s="82"/>
      <c r="H289" s="82"/>
      <c r="I289" s="82"/>
      <c r="J289" s="82"/>
      <c r="K289" s="82"/>
      <c r="L289" s="82"/>
      <c r="M289" s="82"/>
      <c r="N289" s="82"/>
      <c r="O289" s="82"/>
      <c r="P289" s="82"/>
      <c r="Q289" s="82"/>
      <c r="R289" s="82"/>
      <c r="S289" s="82"/>
      <c r="T289" s="82"/>
      <c r="U289" s="82"/>
      <c r="V289" s="82"/>
      <c r="W289" s="82"/>
      <c r="X289" s="82"/>
      <c r="Y289" s="82"/>
      <c r="Z289" s="82"/>
      <c r="AA289" s="82"/>
      <c r="AB289" s="82"/>
      <c r="AC289" s="82"/>
      <c r="AD289" s="82"/>
      <c r="AE289" s="82"/>
      <c r="AF289" s="82"/>
      <c r="AG289" s="82"/>
      <c r="AH289" s="82"/>
      <c r="AI289" s="82"/>
      <c r="AJ289" s="82"/>
      <c r="AK289" s="82"/>
      <c r="AL289" s="82"/>
      <c r="AM289" s="82"/>
      <c r="AN289" s="82"/>
      <c r="AO289" s="82"/>
      <c r="AP289" s="82"/>
      <c r="AQ289" s="82"/>
      <c r="AR289" s="82"/>
      <c r="AS289" s="82"/>
      <c r="AT289" s="82"/>
      <c r="AU289" s="82"/>
    </row>
    <row r="290" spans="1:47">
      <c r="A290" s="77"/>
      <c r="B290" s="77"/>
      <c r="C290" s="77"/>
      <c r="D290" s="77"/>
      <c r="E290" s="77"/>
      <c r="F290" s="77"/>
    </row>
    <row r="291" spans="1:47">
      <c r="A291" s="77"/>
      <c r="B291" s="77"/>
      <c r="C291" s="77"/>
      <c r="D291" s="77"/>
      <c r="E291" s="77"/>
      <c r="F291" s="77"/>
    </row>
    <row r="292" spans="1:47">
      <c r="A292" s="77"/>
      <c r="B292" s="77"/>
      <c r="C292" s="77"/>
      <c r="D292" s="77"/>
      <c r="E292" s="77"/>
      <c r="F292" s="77"/>
    </row>
    <row r="293" spans="1:47">
      <c r="A293" s="77"/>
      <c r="B293" s="77"/>
      <c r="C293" s="77"/>
      <c r="D293" s="77"/>
      <c r="E293" s="77"/>
      <c r="F293" s="77"/>
    </row>
    <row r="294" spans="1:47">
      <c r="A294" s="77"/>
      <c r="B294" s="77"/>
      <c r="C294" s="77"/>
      <c r="D294" s="77"/>
      <c r="E294" s="77"/>
      <c r="F294" s="77"/>
    </row>
    <row r="295" spans="1:47">
      <c r="A295" s="77"/>
      <c r="B295" s="77"/>
      <c r="C295" s="77"/>
      <c r="D295" s="77"/>
      <c r="E295" s="77"/>
      <c r="F295" s="77"/>
    </row>
    <row r="296" spans="1:47">
      <c r="A296" s="77"/>
      <c r="B296" s="77"/>
      <c r="C296" s="77"/>
      <c r="D296" s="77"/>
      <c r="E296" s="77"/>
      <c r="F296" s="77"/>
    </row>
    <row r="297" spans="1:47">
      <c r="A297" s="77"/>
      <c r="B297" s="77"/>
      <c r="C297" s="77"/>
      <c r="D297" s="77"/>
      <c r="E297" s="77"/>
      <c r="F297" s="77"/>
    </row>
    <row r="298" spans="1:47">
      <c r="A298" s="77"/>
      <c r="B298" s="77"/>
      <c r="C298" s="77"/>
      <c r="D298" s="77"/>
      <c r="E298" s="77"/>
      <c r="F298" s="77"/>
    </row>
    <row r="299" spans="1:47">
      <c r="A299" s="77"/>
      <c r="B299" s="77"/>
      <c r="C299" s="77"/>
      <c r="D299" s="77"/>
      <c r="E299" s="77"/>
      <c r="F299" s="77"/>
    </row>
    <row r="300" spans="1:47">
      <c r="A300" s="77"/>
      <c r="B300" s="77"/>
      <c r="C300" s="77"/>
      <c r="D300" s="77"/>
      <c r="E300" s="77"/>
      <c r="F300" s="77"/>
    </row>
    <row r="301" spans="1:47">
      <c r="A301" s="77"/>
      <c r="B301" s="77"/>
      <c r="C301" s="77"/>
      <c r="D301" s="77"/>
      <c r="E301" s="77"/>
      <c r="F301" s="77"/>
    </row>
    <row r="302" spans="1:47">
      <c r="A302" s="77"/>
      <c r="B302" s="77"/>
      <c r="C302" s="77"/>
      <c r="D302" s="77"/>
      <c r="E302" s="77"/>
      <c r="F302" s="77"/>
    </row>
    <row r="303" spans="1:47">
      <c r="A303" s="77"/>
      <c r="B303" s="77"/>
      <c r="C303" s="77"/>
      <c r="D303" s="77"/>
      <c r="E303" s="77"/>
      <c r="F303" s="77"/>
    </row>
    <row r="304" spans="1:47">
      <c r="A304" s="77"/>
      <c r="B304" s="77"/>
      <c r="C304" s="77"/>
      <c r="D304" s="77"/>
      <c r="E304" s="77"/>
      <c r="F304" s="77"/>
    </row>
    <row r="305" spans="1:6">
      <c r="A305" s="77"/>
      <c r="B305" s="77"/>
      <c r="C305" s="77"/>
      <c r="D305" s="77"/>
      <c r="E305" s="77"/>
      <c r="F305" s="77"/>
    </row>
    <row r="306" spans="1:6">
      <c r="A306" s="77"/>
      <c r="B306" s="77"/>
      <c r="C306" s="77"/>
      <c r="D306" s="77"/>
      <c r="E306" s="77"/>
      <c r="F306" s="77"/>
    </row>
    <row r="307" spans="1:6">
      <c r="A307" s="77"/>
      <c r="B307" s="77"/>
      <c r="C307" s="77"/>
      <c r="D307" s="77"/>
      <c r="E307" s="77"/>
      <c r="F307" s="77"/>
    </row>
    <row r="308" spans="1:6">
      <c r="A308" s="77"/>
      <c r="B308" s="77"/>
      <c r="C308" s="77"/>
      <c r="D308" s="77"/>
      <c r="E308" s="77"/>
      <c r="F308" s="77"/>
    </row>
    <row r="309" spans="1:6">
      <c r="A309" s="77"/>
      <c r="B309" s="77"/>
      <c r="C309" s="77"/>
      <c r="D309" s="77"/>
      <c r="E309" s="77"/>
      <c r="F309" s="77"/>
    </row>
    <row r="310" spans="1:6">
      <c r="A310" s="77"/>
      <c r="B310" s="77"/>
      <c r="C310" s="77"/>
      <c r="D310" s="77"/>
      <c r="E310" s="77"/>
      <c r="F310" s="77"/>
    </row>
    <row r="311" spans="1:6">
      <c r="A311" s="77"/>
      <c r="B311" s="77"/>
      <c r="C311" s="77"/>
      <c r="D311" s="77"/>
      <c r="E311" s="77"/>
      <c r="F311" s="77"/>
    </row>
    <row r="312" spans="1:6">
      <c r="A312" s="77"/>
      <c r="B312" s="77"/>
      <c r="C312" s="77"/>
      <c r="D312" s="77"/>
      <c r="E312" s="77"/>
      <c r="F312" s="77"/>
    </row>
    <row r="313" spans="1:6">
      <c r="A313" s="77"/>
      <c r="B313" s="77"/>
      <c r="C313" s="77"/>
      <c r="D313" s="77"/>
      <c r="E313" s="77"/>
      <c r="F313" s="77"/>
    </row>
    <row r="314" spans="1:6">
      <c r="A314" s="77"/>
      <c r="B314" s="77"/>
      <c r="C314" s="77"/>
      <c r="D314" s="77"/>
      <c r="E314" s="77"/>
      <c r="F314" s="77"/>
    </row>
    <row r="315" spans="1:6">
      <c r="A315" s="77"/>
      <c r="B315" s="77"/>
      <c r="C315" s="77"/>
      <c r="D315" s="77"/>
      <c r="E315" s="77"/>
      <c r="F315" s="77"/>
    </row>
    <row r="316" spans="1:6">
      <c r="A316" s="77"/>
      <c r="B316" s="77"/>
      <c r="C316" s="77"/>
      <c r="D316" s="77"/>
      <c r="E316" s="77"/>
      <c r="F316" s="77"/>
    </row>
    <row r="317" spans="1:6">
      <c r="A317" s="77"/>
      <c r="B317" s="77"/>
      <c r="C317" s="77"/>
      <c r="D317" s="77"/>
      <c r="E317" s="77"/>
      <c r="F317" s="77"/>
    </row>
    <row r="318" spans="1:6">
      <c r="A318" s="77"/>
      <c r="B318" s="77"/>
      <c r="C318" s="77"/>
      <c r="D318" s="77"/>
      <c r="E318" s="77"/>
      <c r="F318" s="77"/>
    </row>
    <row r="319" spans="1:6">
      <c r="A319" s="77"/>
      <c r="B319" s="77"/>
      <c r="C319" s="77"/>
      <c r="D319" s="77"/>
      <c r="E319" s="77"/>
      <c r="F319" s="77"/>
    </row>
    <row r="320" spans="1:6">
      <c r="A320" s="77"/>
      <c r="B320" s="77"/>
      <c r="C320" s="77"/>
      <c r="D320" s="77"/>
      <c r="E320" s="77"/>
      <c r="F320" s="77"/>
    </row>
    <row r="321" spans="1:6">
      <c r="A321" s="77"/>
      <c r="B321" s="77"/>
      <c r="C321" s="77"/>
      <c r="D321" s="77"/>
      <c r="E321" s="77"/>
      <c r="F321" s="77"/>
    </row>
    <row r="322" spans="1:6">
      <c r="A322" s="77"/>
      <c r="B322" s="77"/>
      <c r="C322" s="77"/>
      <c r="D322" s="77"/>
      <c r="E322" s="77"/>
      <c r="F322" s="77"/>
    </row>
    <row r="323" spans="1:6">
      <c r="A323" s="77"/>
      <c r="B323" s="77"/>
      <c r="C323" s="77"/>
      <c r="D323" s="77"/>
      <c r="E323" s="77"/>
      <c r="F323" s="77"/>
    </row>
    <row r="324" spans="1:6">
      <c r="A324" s="77"/>
      <c r="B324" s="77"/>
      <c r="C324" s="77"/>
      <c r="D324" s="77"/>
      <c r="E324" s="77"/>
      <c r="F324" s="77"/>
    </row>
    <row r="325" spans="1:6">
      <c r="A325" s="77"/>
      <c r="B325" s="77"/>
      <c r="C325" s="77"/>
      <c r="D325" s="77"/>
      <c r="E325" s="77"/>
      <c r="F325" s="77"/>
    </row>
    <row r="326" spans="1:6">
      <c r="A326" s="77"/>
      <c r="B326" s="77"/>
      <c r="C326" s="77"/>
      <c r="D326" s="77"/>
      <c r="E326" s="77"/>
      <c r="F326" s="77"/>
    </row>
    <row r="327" spans="1:6">
      <c r="A327" s="77"/>
      <c r="B327" s="77"/>
      <c r="C327" s="77"/>
      <c r="D327" s="77"/>
      <c r="E327" s="77"/>
      <c r="F327" s="77"/>
    </row>
    <row r="328" spans="1:6">
      <c r="A328" s="77"/>
      <c r="B328" s="77"/>
      <c r="C328" s="77"/>
      <c r="D328" s="77"/>
      <c r="E328" s="77"/>
      <c r="F328" s="77"/>
    </row>
    <row r="329" spans="1:6">
      <c r="A329" s="77"/>
      <c r="B329" s="77"/>
      <c r="C329" s="77"/>
      <c r="D329" s="77"/>
      <c r="E329" s="77"/>
      <c r="F329" s="77"/>
    </row>
    <row r="330" spans="1:6">
      <c r="A330" s="77"/>
      <c r="B330" s="77"/>
      <c r="C330" s="77"/>
      <c r="D330" s="77"/>
      <c r="E330" s="77"/>
      <c r="F330" s="77"/>
    </row>
    <row r="331" spans="1:6">
      <c r="A331" s="77"/>
      <c r="B331" s="77"/>
      <c r="C331" s="77"/>
      <c r="D331" s="77"/>
      <c r="E331" s="77"/>
      <c r="F331" s="77"/>
    </row>
    <row r="332" spans="1:6">
      <c r="A332" s="77"/>
      <c r="B332" s="77"/>
      <c r="C332" s="77"/>
      <c r="D332" s="77"/>
      <c r="E332" s="77"/>
      <c r="F332" s="77"/>
    </row>
    <row r="333" spans="1:6">
      <c r="A333" s="77"/>
      <c r="B333" s="77"/>
      <c r="C333" s="77"/>
      <c r="D333" s="77"/>
      <c r="E333" s="77"/>
      <c r="F333" s="77"/>
    </row>
    <row r="334" spans="1:6">
      <c r="A334" s="77"/>
      <c r="B334" s="77"/>
      <c r="C334" s="77"/>
      <c r="D334" s="77"/>
      <c r="E334" s="77"/>
      <c r="F334" s="77"/>
    </row>
    <row r="335" spans="1:6">
      <c r="A335" s="77"/>
      <c r="B335" s="77"/>
      <c r="C335" s="77"/>
      <c r="D335" s="77"/>
      <c r="E335" s="77"/>
      <c r="F335" s="77"/>
    </row>
    <row r="336" spans="1:6">
      <c r="A336" s="77"/>
      <c r="B336" s="77"/>
      <c r="C336" s="77"/>
      <c r="D336" s="77"/>
      <c r="E336" s="77"/>
      <c r="F336" s="77"/>
    </row>
    <row r="337" spans="1:6">
      <c r="A337" s="77"/>
      <c r="B337" s="77"/>
      <c r="C337" s="77"/>
      <c r="D337" s="77"/>
      <c r="E337" s="77"/>
      <c r="F337" s="77"/>
    </row>
    <row r="338" spans="1:6">
      <c r="A338" s="77"/>
      <c r="B338" s="77"/>
      <c r="C338" s="77"/>
      <c r="D338" s="77"/>
      <c r="E338" s="77"/>
      <c r="F338" s="77"/>
    </row>
    <row r="339" spans="1:6">
      <c r="A339" s="77"/>
      <c r="B339" s="77"/>
      <c r="C339" s="77"/>
      <c r="D339" s="77"/>
      <c r="E339" s="77"/>
      <c r="F339" s="77"/>
    </row>
    <row r="340" spans="1:6">
      <c r="A340" s="77"/>
      <c r="B340" s="77"/>
      <c r="C340" s="77"/>
      <c r="D340" s="77"/>
      <c r="E340" s="77"/>
      <c r="F340" s="77"/>
    </row>
    <row r="341" spans="1:6">
      <c r="A341" s="77"/>
      <c r="B341" s="77"/>
      <c r="C341" s="77"/>
      <c r="D341" s="77"/>
      <c r="E341" s="77"/>
      <c r="F341" s="77"/>
    </row>
    <row r="342" spans="1:6">
      <c r="A342" s="77"/>
      <c r="B342" s="77"/>
      <c r="C342" s="77"/>
      <c r="D342" s="77"/>
      <c r="E342" s="77"/>
      <c r="F342" s="77"/>
    </row>
    <row r="343" spans="1:6">
      <c r="A343" s="77"/>
      <c r="B343" s="77"/>
      <c r="C343" s="77"/>
      <c r="D343" s="77"/>
      <c r="E343" s="77"/>
      <c r="F343" s="77"/>
    </row>
    <row r="344" spans="1:6">
      <c r="A344" s="77"/>
      <c r="B344" s="77"/>
      <c r="C344" s="77"/>
      <c r="D344" s="77"/>
      <c r="E344" s="77"/>
      <c r="F344" s="77"/>
    </row>
    <row r="345" spans="1:6">
      <c r="A345" s="77"/>
      <c r="B345" s="77"/>
      <c r="C345" s="77"/>
      <c r="D345" s="77"/>
      <c r="E345" s="77"/>
      <c r="F345" s="77"/>
    </row>
    <row r="346" spans="1:6">
      <c r="A346" s="77"/>
      <c r="B346" s="77"/>
      <c r="C346" s="77"/>
      <c r="D346" s="77"/>
      <c r="E346" s="77"/>
      <c r="F346" s="77"/>
    </row>
    <row r="347" spans="1:6">
      <c r="A347" s="77"/>
      <c r="B347" s="77"/>
      <c r="C347" s="77"/>
      <c r="D347" s="77"/>
      <c r="E347" s="77"/>
      <c r="F347" s="77"/>
    </row>
    <row r="348" spans="1:6">
      <c r="A348" s="77"/>
      <c r="B348" s="77"/>
      <c r="C348" s="77"/>
      <c r="D348" s="77"/>
      <c r="E348" s="77"/>
      <c r="F348" s="77"/>
    </row>
    <row r="349" spans="1:6">
      <c r="A349" s="77"/>
      <c r="B349" s="77"/>
      <c r="C349" s="77"/>
      <c r="D349" s="77"/>
      <c r="E349" s="77"/>
      <c r="F349" s="77"/>
    </row>
    <row r="350" spans="1:6">
      <c r="A350" s="77"/>
      <c r="B350" s="77"/>
      <c r="C350" s="77"/>
      <c r="D350" s="77"/>
      <c r="E350" s="77"/>
      <c r="F350" s="77"/>
    </row>
    <row r="351" spans="1:6">
      <c r="A351" s="77"/>
      <c r="B351" s="77"/>
      <c r="C351" s="77"/>
      <c r="D351" s="77"/>
      <c r="E351" s="77"/>
      <c r="F351" s="77"/>
    </row>
    <row r="352" spans="1:6">
      <c r="A352" s="77"/>
      <c r="B352" s="77"/>
      <c r="C352" s="77"/>
      <c r="D352" s="77"/>
      <c r="E352" s="77"/>
      <c r="F352" s="77"/>
    </row>
    <row r="353" spans="1:6">
      <c r="A353" s="77"/>
      <c r="B353" s="77"/>
      <c r="C353" s="77"/>
      <c r="D353" s="77"/>
      <c r="E353" s="77"/>
      <c r="F353" s="77"/>
    </row>
    <row r="354" spans="1:6">
      <c r="A354" s="77"/>
      <c r="B354" s="77"/>
      <c r="C354" s="77"/>
      <c r="D354" s="77"/>
      <c r="E354" s="77"/>
      <c r="F354" s="77"/>
    </row>
    <row r="355" spans="1:6">
      <c r="A355" s="77"/>
      <c r="B355" s="77"/>
      <c r="C355" s="77"/>
      <c r="D355" s="77"/>
      <c r="E355" s="77"/>
      <c r="F355" s="77"/>
    </row>
    <row r="356" spans="1:6">
      <c r="A356" s="77"/>
      <c r="B356" s="77"/>
      <c r="C356" s="77"/>
      <c r="D356" s="77"/>
      <c r="E356" s="77"/>
      <c r="F356" s="77"/>
    </row>
    <row r="357" spans="1:6">
      <c r="A357" s="77"/>
      <c r="B357" s="77"/>
      <c r="C357" s="77"/>
      <c r="D357" s="77"/>
      <c r="E357" s="77"/>
      <c r="F357" s="77"/>
    </row>
    <row r="358" spans="1:6">
      <c r="A358" s="77"/>
      <c r="B358" s="77"/>
      <c r="C358" s="77"/>
      <c r="D358" s="77"/>
      <c r="E358" s="77"/>
      <c r="F358" s="77"/>
    </row>
    <row r="359" spans="1:6">
      <c r="A359" s="77"/>
      <c r="B359" s="77"/>
      <c r="C359" s="77"/>
      <c r="D359" s="77"/>
      <c r="E359" s="77"/>
      <c r="F359" s="77"/>
    </row>
    <row r="360" spans="1:6">
      <c r="A360" s="77"/>
      <c r="B360" s="77"/>
      <c r="C360" s="77"/>
      <c r="D360" s="77"/>
      <c r="E360" s="77"/>
      <c r="F360" s="77"/>
    </row>
    <row r="361" spans="1:6">
      <c r="A361" s="77"/>
      <c r="B361" s="77"/>
      <c r="C361" s="77"/>
      <c r="D361" s="77"/>
      <c r="E361" s="77"/>
      <c r="F361" s="77"/>
    </row>
    <row r="362" spans="1:6">
      <c r="A362" s="77"/>
      <c r="B362" s="77"/>
      <c r="C362" s="77"/>
      <c r="D362" s="77"/>
      <c r="E362" s="77"/>
      <c r="F362" s="77"/>
    </row>
    <row r="363" spans="1:6">
      <c r="A363" s="77"/>
      <c r="B363" s="77"/>
      <c r="C363" s="77"/>
      <c r="D363" s="77"/>
      <c r="E363" s="77"/>
      <c r="F363" s="77"/>
    </row>
    <row r="364" spans="1:6">
      <c r="A364" s="77"/>
      <c r="B364" s="77"/>
      <c r="C364" s="77"/>
      <c r="D364" s="77"/>
      <c r="E364" s="77"/>
      <c r="F364" s="77"/>
    </row>
    <row r="365" spans="1:6">
      <c r="A365" s="77"/>
      <c r="B365" s="77"/>
      <c r="C365" s="77"/>
      <c r="D365" s="77"/>
      <c r="E365" s="77"/>
      <c r="F365" s="77"/>
    </row>
    <row r="366" spans="1:6">
      <c r="A366" s="77"/>
      <c r="B366" s="77"/>
      <c r="C366" s="77"/>
      <c r="D366" s="77"/>
      <c r="E366" s="77"/>
      <c r="F366" s="77"/>
    </row>
    <row r="367" spans="1:6">
      <c r="A367" s="77"/>
      <c r="B367" s="77"/>
      <c r="C367" s="77"/>
      <c r="D367" s="77"/>
      <c r="E367" s="77"/>
      <c r="F367" s="77"/>
    </row>
    <row r="368" spans="1:6">
      <c r="A368" s="77"/>
      <c r="B368" s="77"/>
      <c r="C368" s="77"/>
      <c r="D368" s="77"/>
      <c r="E368" s="77"/>
      <c r="F368" s="77"/>
    </row>
    <row r="369" spans="1:6">
      <c r="A369" s="77"/>
      <c r="B369" s="77"/>
      <c r="C369" s="77"/>
      <c r="D369" s="77"/>
      <c r="E369" s="77"/>
      <c r="F369" s="77"/>
    </row>
    <row r="370" spans="1:6">
      <c r="A370" s="77"/>
      <c r="B370" s="77"/>
      <c r="C370" s="77"/>
      <c r="D370" s="77"/>
      <c r="E370" s="77"/>
      <c r="F370" s="77"/>
    </row>
    <row r="371" spans="1:6">
      <c r="A371" s="77"/>
      <c r="B371" s="77"/>
      <c r="C371" s="77"/>
      <c r="D371" s="77"/>
      <c r="E371" s="77"/>
      <c r="F371" s="77"/>
    </row>
    <row r="372" spans="1:6">
      <c r="A372" s="77"/>
      <c r="B372" s="77"/>
      <c r="C372" s="77"/>
      <c r="D372" s="77"/>
      <c r="E372" s="77"/>
      <c r="F372" s="77"/>
    </row>
    <row r="373" spans="1:6">
      <c r="A373" s="77"/>
      <c r="B373" s="77"/>
      <c r="C373" s="77"/>
      <c r="D373" s="77"/>
      <c r="E373" s="77"/>
      <c r="F373" s="77"/>
    </row>
    <row r="374" spans="1:6">
      <c r="A374" s="77"/>
      <c r="B374" s="77"/>
      <c r="C374" s="77"/>
      <c r="D374" s="77"/>
      <c r="E374" s="77"/>
      <c r="F374" s="77"/>
    </row>
    <row r="375" spans="1:6">
      <c r="A375" s="77"/>
      <c r="B375" s="77"/>
      <c r="C375" s="77"/>
      <c r="D375" s="77"/>
      <c r="E375" s="77"/>
      <c r="F375" s="77"/>
    </row>
    <row r="376" spans="1:6">
      <c r="A376" s="77"/>
      <c r="B376" s="77"/>
      <c r="C376" s="77"/>
      <c r="D376" s="77"/>
      <c r="E376" s="77"/>
      <c r="F376" s="77"/>
    </row>
    <row r="377" spans="1:6">
      <c r="A377" s="77"/>
      <c r="B377" s="77"/>
      <c r="C377" s="77"/>
      <c r="D377" s="77"/>
      <c r="E377" s="77"/>
      <c r="F377" s="77"/>
    </row>
    <row r="378" spans="1:6">
      <c r="A378" s="77"/>
      <c r="B378" s="77"/>
      <c r="C378" s="77"/>
      <c r="D378" s="77"/>
      <c r="E378" s="77"/>
      <c r="F378" s="77"/>
    </row>
    <row r="379" spans="1:6">
      <c r="A379" s="77"/>
      <c r="B379" s="77"/>
      <c r="C379" s="77"/>
      <c r="D379" s="77"/>
      <c r="E379" s="77"/>
      <c r="F379" s="77"/>
    </row>
    <row r="380" spans="1:6">
      <c r="A380" s="77"/>
      <c r="B380" s="77"/>
      <c r="C380" s="77"/>
      <c r="D380" s="77"/>
      <c r="E380" s="77"/>
      <c r="F380" s="77"/>
    </row>
    <row r="381" spans="1:6">
      <c r="A381" s="77"/>
      <c r="B381" s="77"/>
      <c r="C381" s="77"/>
      <c r="D381" s="77"/>
      <c r="E381" s="77"/>
      <c r="F381" s="77"/>
    </row>
    <row r="382" spans="1:6">
      <c r="A382" s="77"/>
      <c r="B382" s="77"/>
      <c r="C382" s="77"/>
      <c r="D382" s="77"/>
      <c r="E382" s="77"/>
      <c r="F382" s="77"/>
    </row>
    <row r="383" spans="1:6">
      <c r="A383" s="77"/>
      <c r="B383" s="77"/>
      <c r="C383" s="77"/>
      <c r="D383" s="77"/>
      <c r="E383" s="77"/>
      <c r="F383" s="77"/>
    </row>
    <row r="384" spans="1:6">
      <c r="A384" s="77"/>
      <c r="B384" s="77"/>
      <c r="C384" s="77"/>
      <c r="D384" s="77"/>
      <c r="E384" s="77"/>
      <c r="F384" s="77"/>
    </row>
    <row r="385" spans="1:6">
      <c r="A385" s="77"/>
      <c r="B385" s="77"/>
      <c r="C385" s="77"/>
      <c r="D385" s="77"/>
      <c r="E385" s="77"/>
      <c r="F385" s="77"/>
    </row>
    <row r="386" spans="1:6">
      <c r="A386" s="77"/>
      <c r="B386" s="77"/>
      <c r="C386" s="77"/>
      <c r="D386" s="77"/>
      <c r="E386" s="77"/>
      <c r="F386" s="77"/>
    </row>
    <row r="387" spans="1:6">
      <c r="A387" s="77"/>
      <c r="B387" s="77"/>
      <c r="C387" s="77"/>
      <c r="D387" s="77"/>
      <c r="E387" s="77"/>
      <c r="F387" s="77"/>
    </row>
    <row r="388" spans="1:6">
      <c r="A388" s="77"/>
      <c r="B388" s="77"/>
      <c r="C388" s="77"/>
      <c r="D388" s="77"/>
      <c r="E388" s="77"/>
      <c r="F388" s="77"/>
    </row>
    <row r="389" spans="1:6">
      <c r="A389" s="77"/>
      <c r="B389" s="77"/>
      <c r="C389" s="77"/>
      <c r="D389" s="77"/>
      <c r="E389" s="77"/>
      <c r="F389" s="77"/>
    </row>
    <row r="390" spans="1:6">
      <c r="A390" s="77"/>
      <c r="B390" s="77"/>
      <c r="C390" s="77"/>
      <c r="D390" s="77"/>
      <c r="E390" s="77"/>
      <c r="F390" s="77"/>
    </row>
    <row r="391" spans="1:6">
      <c r="A391" s="77"/>
      <c r="B391" s="77"/>
      <c r="C391" s="77"/>
      <c r="D391" s="77"/>
      <c r="E391" s="77"/>
      <c r="F391" s="77"/>
    </row>
    <row r="392" spans="1:6">
      <c r="A392" s="77"/>
      <c r="B392" s="77"/>
      <c r="C392" s="77"/>
      <c r="D392" s="77"/>
      <c r="E392" s="77"/>
      <c r="F392" s="77"/>
    </row>
    <row r="393" spans="1:6">
      <c r="A393" s="77"/>
      <c r="B393" s="77"/>
      <c r="C393" s="77"/>
      <c r="D393" s="77"/>
      <c r="E393" s="77"/>
      <c r="F393" s="77"/>
    </row>
    <row r="394" spans="1:6">
      <c r="A394" s="77"/>
      <c r="B394" s="77"/>
      <c r="C394" s="77"/>
      <c r="D394" s="77"/>
      <c r="E394" s="77"/>
      <c r="F394" s="77"/>
    </row>
    <row r="395" spans="1:6">
      <c r="A395" s="77"/>
      <c r="B395" s="77"/>
      <c r="C395" s="77"/>
      <c r="D395" s="77"/>
      <c r="E395" s="77"/>
      <c r="F395" s="77"/>
    </row>
    <row r="396" spans="1:6">
      <c r="A396" s="77"/>
      <c r="B396" s="77"/>
      <c r="C396" s="77"/>
      <c r="D396" s="77"/>
      <c r="E396" s="77"/>
      <c r="F396" s="77"/>
    </row>
    <row r="397" spans="1:6">
      <c r="A397" s="77"/>
      <c r="B397" s="77"/>
      <c r="C397" s="77"/>
      <c r="D397" s="77"/>
      <c r="E397" s="77"/>
      <c r="F397" s="77"/>
    </row>
    <row r="398" spans="1:6">
      <c r="A398" s="77"/>
      <c r="B398" s="77"/>
      <c r="C398" s="77"/>
      <c r="D398" s="77"/>
      <c r="E398" s="77"/>
      <c r="F398" s="77"/>
    </row>
    <row r="399" spans="1:6">
      <c r="A399" s="77"/>
      <c r="B399" s="77"/>
      <c r="C399" s="77"/>
      <c r="D399" s="77"/>
      <c r="E399" s="77"/>
      <c r="F399" s="77"/>
    </row>
    <row r="400" spans="1:6">
      <c r="A400" s="77"/>
      <c r="B400" s="77"/>
      <c r="C400" s="77"/>
      <c r="D400" s="77"/>
      <c r="E400" s="77"/>
      <c r="F400" s="77"/>
    </row>
    <row r="401" spans="1:6">
      <c r="A401" s="77"/>
      <c r="B401" s="77"/>
      <c r="C401" s="77"/>
      <c r="D401" s="77"/>
      <c r="E401" s="77"/>
      <c r="F401" s="77"/>
    </row>
    <row r="402" spans="1:6">
      <c r="A402" s="77"/>
      <c r="B402" s="77"/>
      <c r="C402" s="77"/>
      <c r="D402" s="77"/>
      <c r="E402" s="77"/>
      <c r="F402" s="77"/>
    </row>
    <row r="403" spans="1:6">
      <c r="A403" s="77"/>
      <c r="B403" s="77"/>
      <c r="C403" s="77"/>
      <c r="D403" s="77"/>
      <c r="E403" s="77"/>
      <c r="F403" s="77"/>
    </row>
    <row r="404" spans="1:6">
      <c r="A404" s="77"/>
      <c r="B404" s="77"/>
      <c r="C404" s="77"/>
      <c r="D404" s="77"/>
      <c r="E404" s="77"/>
      <c r="F404" s="77"/>
    </row>
    <row r="405" spans="1:6">
      <c r="A405" s="77"/>
      <c r="B405" s="77"/>
      <c r="C405" s="77"/>
      <c r="D405" s="77"/>
      <c r="E405" s="77"/>
      <c r="F405" s="77"/>
    </row>
    <row r="406" spans="1:6">
      <c r="A406" s="77"/>
      <c r="B406" s="77"/>
      <c r="C406" s="77"/>
      <c r="D406" s="77"/>
      <c r="E406" s="77"/>
      <c r="F406" s="77"/>
    </row>
    <row r="407" spans="1:6">
      <c r="A407" s="77"/>
      <c r="B407" s="77"/>
      <c r="C407" s="77"/>
      <c r="D407" s="77"/>
      <c r="E407" s="77"/>
      <c r="F407" s="77"/>
    </row>
    <row r="408" spans="1:6">
      <c r="A408" s="77"/>
      <c r="B408" s="77"/>
      <c r="C408" s="77"/>
      <c r="D408" s="77"/>
      <c r="E408" s="77"/>
      <c r="F408" s="77"/>
    </row>
    <row r="409" spans="1:6">
      <c r="A409" s="77"/>
      <c r="B409" s="77"/>
      <c r="C409" s="77"/>
      <c r="D409" s="77"/>
      <c r="E409" s="77"/>
      <c r="F409" s="77"/>
    </row>
    <row r="410" spans="1:6">
      <c r="A410" s="77"/>
      <c r="B410" s="77"/>
      <c r="C410" s="77"/>
      <c r="D410" s="77"/>
      <c r="E410" s="77"/>
      <c r="F410" s="77"/>
    </row>
    <row r="411" spans="1:6">
      <c r="A411" s="77"/>
      <c r="B411" s="77"/>
      <c r="C411" s="77"/>
      <c r="D411" s="77"/>
      <c r="E411" s="77"/>
      <c r="F411" s="77"/>
    </row>
    <row r="412" spans="1:6">
      <c r="A412" s="77"/>
      <c r="B412" s="77"/>
      <c r="C412" s="77"/>
      <c r="D412" s="77"/>
      <c r="E412" s="77"/>
      <c r="F412" s="77"/>
    </row>
    <row r="413" spans="1:6">
      <c r="A413" s="77"/>
      <c r="B413" s="77"/>
      <c r="C413" s="77"/>
      <c r="D413" s="77"/>
      <c r="E413" s="77"/>
      <c r="F413" s="77"/>
    </row>
    <row r="414" spans="1:6">
      <c r="A414" s="77"/>
      <c r="B414" s="77"/>
      <c r="C414" s="77"/>
      <c r="D414" s="77"/>
      <c r="E414" s="77"/>
      <c r="F414" s="77"/>
    </row>
    <row r="415" spans="1:6">
      <c r="A415" s="77"/>
      <c r="B415" s="77"/>
      <c r="C415" s="77"/>
      <c r="D415" s="77"/>
      <c r="E415" s="77"/>
      <c r="F415" s="77"/>
    </row>
    <row r="416" spans="1:6">
      <c r="A416" s="77"/>
      <c r="B416" s="77"/>
      <c r="C416" s="77"/>
      <c r="D416" s="77"/>
      <c r="E416" s="77"/>
      <c r="F416" s="77"/>
    </row>
    <row r="417" spans="1:6">
      <c r="A417" s="77"/>
      <c r="B417" s="77"/>
      <c r="C417" s="77"/>
      <c r="D417" s="77"/>
      <c r="E417" s="77"/>
      <c r="F417" s="77"/>
    </row>
    <row r="418" spans="1:6">
      <c r="A418" s="77"/>
      <c r="B418" s="77"/>
      <c r="C418" s="77"/>
      <c r="D418" s="77"/>
      <c r="E418" s="77"/>
      <c r="F418" s="77"/>
    </row>
    <row r="419" spans="1:6">
      <c r="A419" s="77"/>
      <c r="B419" s="77"/>
      <c r="C419" s="77"/>
      <c r="D419" s="77"/>
      <c r="E419" s="77"/>
      <c r="F419" s="77"/>
    </row>
    <row r="420" spans="1:6">
      <c r="A420" s="77"/>
      <c r="B420" s="77"/>
      <c r="C420" s="77"/>
      <c r="D420" s="77"/>
      <c r="E420" s="77"/>
      <c r="F420" s="77"/>
    </row>
    <row r="421" spans="1:6">
      <c r="A421" s="77"/>
      <c r="B421" s="77"/>
      <c r="C421" s="77"/>
      <c r="D421" s="77"/>
      <c r="E421" s="77"/>
      <c r="F421" s="77"/>
    </row>
    <row r="422" spans="1:6">
      <c r="A422" s="77"/>
      <c r="B422" s="77"/>
      <c r="C422" s="77"/>
      <c r="D422" s="77"/>
      <c r="E422" s="77"/>
      <c r="F422" s="77"/>
    </row>
    <row r="423" spans="1:6">
      <c r="A423" s="77"/>
      <c r="B423" s="77"/>
      <c r="C423" s="77"/>
      <c r="D423" s="77"/>
      <c r="E423" s="77"/>
      <c r="F423" s="77"/>
    </row>
    <row r="424" spans="1:6">
      <c r="A424" s="77"/>
      <c r="B424" s="77"/>
      <c r="C424" s="77"/>
      <c r="D424" s="77"/>
      <c r="E424" s="77"/>
      <c r="F424" s="77"/>
    </row>
    <row r="425" spans="1:6">
      <c r="A425" s="77"/>
      <c r="B425" s="77"/>
      <c r="C425" s="77"/>
      <c r="D425" s="77"/>
      <c r="E425" s="77"/>
      <c r="F425" s="77"/>
    </row>
    <row r="426" spans="1:6">
      <c r="A426" s="77"/>
      <c r="B426" s="77"/>
      <c r="C426" s="77"/>
      <c r="D426" s="77"/>
      <c r="E426" s="77"/>
      <c r="F426" s="77"/>
    </row>
    <row r="427" spans="1:6">
      <c r="A427" s="77"/>
      <c r="B427" s="77"/>
      <c r="C427" s="77"/>
      <c r="D427" s="77"/>
      <c r="E427" s="77"/>
      <c r="F427" s="77"/>
    </row>
    <row r="428" spans="1:6">
      <c r="A428" s="77"/>
      <c r="B428" s="77"/>
      <c r="C428" s="77"/>
      <c r="D428" s="77"/>
      <c r="E428" s="77"/>
      <c r="F428" s="77"/>
    </row>
    <row r="429" spans="1:6">
      <c r="A429" s="77"/>
      <c r="B429" s="77"/>
      <c r="C429" s="77"/>
      <c r="D429" s="77"/>
      <c r="E429" s="77"/>
      <c r="F429" s="77"/>
    </row>
    <row r="430" spans="1:6">
      <c r="A430" s="77"/>
      <c r="B430" s="77"/>
      <c r="C430" s="77"/>
      <c r="D430" s="77"/>
      <c r="E430" s="77"/>
      <c r="F430" s="77"/>
    </row>
    <row r="431" spans="1:6">
      <c r="A431" s="77"/>
      <c r="B431" s="77"/>
      <c r="C431" s="77"/>
      <c r="D431" s="77"/>
      <c r="E431" s="77"/>
      <c r="F431" s="77"/>
    </row>
    <row r="432" spans="1:6">
      <c r="A432" s="77"/>
      <c r="B432" s="77"/>
      <c r="C432" s="77"/>
      <c r="D432" s="77"/>
      <c r="E432" s="77"/>
      <c r="F432" s="77"/>
    </row>
    <row r="433" spans="1:6">
      <c r="A433" s="77"/>
      <c r="B433" s="77"/>
      <c r="C433" s="77"/>
      <c r="D433" s="77"/>
      <c r="E433" s="77"/>
      <c r="F433" s="77"/>
    </row>
    <row r="434" spans="1:6">
      <c r="A434" s="77"/>
      <c r="B434" s="77"/>
      <c r="C434" s="77"/>
      <c r="D434" s="77"/>
      <c r="E434" s="77"/>
      <c r="F434" s="77"/>
    </row>
    <row r="435" spans="1:6">
      <c r="A435" s="77"/>
      <c r="B435" s="77"/>
      <c r="C435" s="77"/>
      <c r="D435" s="77"/>
      <c r="E435" s="77"/>
      <c r="F435" s="77"/>
    </row>
    <row r="436" spans="1:6">
      <c r="A436" s="77"/>
      <c r="B436" s="77"/>
      <c r="C436" s="77"/>
      <c r="D436" s="77"/>
      <c r="E436" s="77"/>
      <c r="F436" s="77"/>
    </row>
    <row r="437" spans="1:6">
      <c r="A437" s="77"/>
      <c r="B437" s="77"/>
      <c r="C437" s="77"/>
      <c r="D437" s="77"/>
      <c r="E437" s="77"/>
      <c r="F437" s="77"/>
    </row>
    <row r="438" spans="1:6">
      <c r="A438" s="77"/>
      <c r="B438" s="77"/>
      <c r="C438" s="77"/>
      <c r="D438" s="77"/>
      <c r="E438" s="77"/>
      <c r="F438" s="77"/>
    </row>
    <row r="439" spans="1:6">
      <c r="A439" s="77"/>
      <c r="B439" s="77"/>
      <c r="C439" s="77"/>
      <c r="D439" s="77"/>
      <c r="E439" s="77"/>
      <c r="F439" s="77"/>
    </row>
    <row r="440" spans="1:6">
      <c r="A440" s="77"/>
      <c r="B440" s="77"/>
      <c r="C440" s="77"/>
      <c r="D440" s="77"/>
      <c r="E440" s="77"/>
      <c r="F440" s="77"/>
    </row>
    <row r="441" spans="1:6">
      <c r="A441" s="77"/>
      <c r="B441" s="77"/>
      <c r="C441" s="77"/>
      <c r="D441" s="77"/>
      <c r="E441" s="77"/>
      <c r="F441" s="77"/>
    </row>
    <row r="442" spans="1:6">
      <c r="A442" s="77"/>
      <c r="B442" s="77"/>
      <c r="C442" s="77"/>
      <c r="D442" s="77"/>
      <c r="E442" s="77"/>
      <c r="F442" s="77"/>
    </row>
    <row r="443" spans="1:6">
      <c r="A443" s="77"/>
      <c r="B443" s="77"/>
      <c r="C443" s="77"/>
      <c r="D443" s="77"/>
      <c r="E443" s="77"/>
      <c r="F443" s="77"/>
    </row>
    <row r="444" spans="1:6">
      <c r="A444" s="77"/>
      <c r="B444" s="77"/>
      <c r="C444" s="77"/>
      <c r="D444" s="77"/>
      <c r="E444" s="77"/>
      <c r="F444" s="77"/>
    </row>
    <row r="445" spans="1:6">
      <c r="A445" s="77"/>
      <c r="B445" s="77"/>
      <c r="C445" s="77"/>
      <c r="D445" s="77"/>
      <c r="E445" s="77"/>
      <c r="F445" s="77"/>
    </row>
    <row r="446" spans="1:6">
      <c r="A446" s="77"/>
      <c r="B446" s="77"/>
      <c r="C446" s="77"/>
      <c r="D446" s="77"/>
      <c r="E446" s="77"/>
      <c r="F446" s="77"/>
    </row>
    <row r="447" spans="1:6">
      <c r="A447" s="77"/>
      <c r="B447" s="77"/>
      <c r="C447" s="77"/>
      <c r="D447" s="77"/>
      <c r="E447" s="77"/>
      <c r="F447" s="77"/>
    </row>
    <row r="448" spans="1:6">
      <c r="A448" s="77"/>
      <c r="B448" s="77"/>
      <c r="C448" s="77"/>
      <c r="D448" s="77"/>
      <c r="E448" s="77"/>
      <c r="F448" s="77"/>
    </row>
    <row r="449" spans="1:6">
      <c r="A449" s="77"/>
      <c r="B449" s="77"/>
      <c r="C449" s="77"/>
      <c r="D449" s="77"/>
      <c r="E449" s="77"/>
      <c r="F449" s="77"/>
    </row>
    <row r="450" spans="1:6">
      <c r="A450" s="77"/>
      <c r="B450" s="77"/>
      <c r="C450" s="77"/>
      <c r="D450" s="77"/>
      <c r="E450" s="77"/>
      <c r="F450" s="77"/>
    </row>
    <row r="451" spans="1:6">
      <c r="A451" s="77"/>
      <c r="B451" s="77"/>
      <c r="C451" s="77"/>
      <c r="D451" s="77"/>
      <c r="E451" s="77"/>
      <c r="F451" s="77"/>
    </row>
    <row r="452" spans="1:6">
      <c r="A452" s="77"/>
      <c r="B452" s="77"/>
      <c r="C452" s="77"/>
      <c r="D452" s="77"/>
      <c r="E452" s="77"/>
      <c r="F452" s="77"/>
    </row>
    <row r="453" spans="1:6">
      <c r="A453" s="77"/>
      <c r="B453" s="77"/>
      <c r="C453" s="77"/>
      <c r="D453" s="77"/>
      <c r="E453" s="77"/>
      <c r="F453" s="77"/>
    </row>
    <row r="454" spans="1:6">
      <c r="A454" s="77"/>
      <c r="B454" s="77"/>
      <c r="C454" s="77"/>
      <c r="D454" s="77"/>
      <c r="E454" s="77"/>
      <c r="F454" s="77"/>
    </row>
    <row r="455" spans="1:6">
      <c r="A455" s="77"/>
      <c r="B455" s="77"/>
      <c r="C455" s="77"/>
      <c r="D455" s="77"/>
      <c r="E455" s="77"/>
      <c r="F455" s="77"/>
    </row>
    <row r="456" spans="1:6">
      <c r="A456" s="77"/>
      <c r="B456" s="77"/>
      <c r="C456" s="77"/>
      <c r="D456" s="77"/>
      <c r="E456" s="77"/>
      <c r="F456" s="77"/>
    </row>
    <row r="457" spans="1:6">
      <c r="A457" s="77"/>
      <c r="B457" s="77"/>
      <c r="C457" s="77"/>
      <c r="D457" s="77"/>
      <c r="E457" s="77"/>
      <c r="F457" s="77"/>
    </row>
    <row r="458" spans="1:6">
      <c r="A458" s="77"/>
      <c r="B458" s="77"/>
      <c r="C458" s="77"/>
      <c r="D458" s="77"/>
      <c r="E458" s="77"/>
      <c r="F458" s="77"/>
    </row>
    <row r="459" spans="1:6">
      <c r="A459" s="77"/>
      <c r="B459" s="77"/>
      <c r="C459" s="77"/>
      <c r="D459" s="77"/>
      <c r="E459" s="77"/>
      <c r="F459" s="77"/>
    </row>
    <row r="460" spans="1:6">
      <c r="A460" s="77"/>
      <c r="B460" s="77"/>
      <c r="C460" s="77"/>
      <c r="D460" s="77"/>
      <c r="E460" s="77"/>
      <c r="F460" s="77"/>
    </row>
    <row r="461" spans="1:6">
      <c r="A461" s="77"/>
      <c r="B461" s="77"/>
      <c r="C461" s="77"/>
      <c r="D461" s="77"/>
      <c r="E461" s="77"/>
      <c r="F461" s="77"/>
    </row>
    <row r="462" spans="1:6">
      <c r="A462" s="77"/>
      <c r="B462" s="77"/>
      <c r="C462" s="77"/>
      <c r="D462" s="77"/>
      <c r="E462" s="77"/>
      <c r="F462" s="77"/>
    </row>
    <row r="463" spans="1:6">
      <c r="A463" s="77"/>
      <c r="B463" s="77"/>
      <c r="C463" s="77"/>
      <c r="D463" s="77"/>
      <c r="E463" s="77"/>
      <c r="F463" s="77"/>
    </row>
    <row r="464" spans="1:6">
      <c r="A464" s="77"/>
      <c r="B464" s="77"/>
      <c r="C464" s="77"/>
      <c r="D464" s="77"/>
      <c r="E464" s="77"/>
      <c r="F464" s="77"/>
    </row>
    <row r="465" spans="1:6">
      <c r="A465" s="77"/>
      <c r="B465" s="77"/>
      <c r="C465" s="77"/>
      <c r="D465" s="77"/>
      <c r="E465" s="77"/>
      <c r="F465" s="77"/>
    </row>
    <row r="466" spans="1:6">
      <c r="A466" s="77"/>
      <c r="B466" s="77"/>
      <c r="C466" s="77"/>
      <c r="D466" s="77"/>
      <c r="E466" s="77"/>
      <c r="F466" s="77"/>
    </row>
    <row r="467" spans="1:6">
      <c r="A467" s="77"/>
      <c r="B467" s="77"/>
      <c r="C467" s="77"/>
      <c r="D467" s="77"/>
      <c r="E467" s="77"/>
      <c r="F467" s="77"/>
    </row>
    <row r="468" spans="1:6">
      <c r="A468" s="77"/>
      <c r="B468" s="77"/>
      <c r="C468" s="77"/>
      <c r="D468" s="77"/>
      <c r="E468" s="77"/>
      <c r="F468" s="77"/>
    </row>
    <row r="469" spans="1:6">
      <c r="A469" s="77"/>
      <c r="B469" s="77"/>
      <c r="C469" s="77"/>
      <c r="D469" s="77"/>
      <c r="E469" s="77"/>
      <c r="F469" s="77"/>
    </row>
    <row r="470" spans="1:6">
      <c r="A470" s="77"/>
      <c r="B470" s="77"/>
      <c r="C470" s="77"/>
      <c r="D470" s="77"/>
      <c r="E470" s="77"/>
      <c r="F470" s="77"/>
    </row>
    <row r="471" spans="1:6">
      <c r="A471" s="77"/>
      <c r="B471" s="77"/>
      <c r="C471" s="77"/>
      <c r="D471" s="77"/>
      <c r="E471" s="77"/>
      <c r="F471" s="77"/>
    </row>
    <row r="472" spans="1:6">
      <c r="A472" s="77"/>
      <c r="B472" s="77"/>
      <c r="C472" s="77"/>
      <c r="D472" s="77"/>
      <c r="E472" s="77"/>
      <c r="F472" s="77"/>
    </row>
    <row r="473" spans="1:6">
      <c r="A473" s="77"/>
      <c r="B473" s="77"/>
      <c r="C473" s="77"/>
      <c r="D473" s="77"/>
      <c r="E473" s="77"/>
      <c r="F473" s="77"/>
    </row>
    <row r="474" spans="1:6">
      <c r="A474" s="77"/>
      <c r="B474" s="77"/>
      <c r="C474" s="77"/>
      <c r="D474" s="77"/>
      <c r="E474" s="77"/>
      <c r="F474" s="77"/>
    </row>
    <row r="475" spans="1:6">
      <c r="A475" s="77"/>
      <c r="B475" s="77"/>
      <c r="C475" s="77"/>
      <c r="D475" s="77"/>
      <c r="E475" s="77"/>
      <c r="F475" s="77"/>
    </row>
    <row r="476" spans="1:6">
      <c r="A476" s="77"/>
      <c r="B476" s="77"/>
      <c r="C476" s="77"/>
      <c r="D476" s="77"/>
      <c r="E476" s="77"/>
      <c r="F476" s="77"/>
    </row>
    <row r="477" spans="1:6">
      <c r="A477" s="77"/>
      <c r="B477" s="77"/>
      <c r="C477" s="77"/>
      <c r="D477" s="77"/>
      <c r="E477" s="77"/>
      <c r="F477" s="77"/>
    </row>
    <row r="478" spans="1:6">
      <c r="A478" s="77"/>
      <c r="B478" s="77"/>
      <c r="C478" s="77"/>
      <c r="D478" s="77"/>
      <c r="E478" s="77"/>
      <c r="F478" s="77"/>
    </row>
    <row r="479" spans="1:6">
      <c r="A479" s="77"/>
      <c r="B479" s="77"/>
      <c r="C479" s="77"/>
      <c r="D479" s="77"/>
      <c r="E479" s="77"/>
      <c r="F479" s="77"/>
    </row>
    <row r="480" spans="1:6">
      <c r="A480" s="77"/>
      <c r="B480" s="77"/>
      <c r="C480" s="77"/>
      <c r="D480" s="77"/>
      <c r="E480" s="77"/>
      <c r="F480" s="77"/>
    </row>
    <row r="481" spans="1:6">
      <c r="A481" s="77"/>
      <c r="B481" s="77"/>
      <c r="C481" s="77"/>
      <c r="D481" s="77"/>
      <c r="E481" s="77"/>
      <c r="F481" s="77"/>
    </row>
    <row r="482" spans="1:6">
      <c r="A482" s="77"/>
      <c r="B482" s="77"/>
      <c r="C482" s="77"/>
      <c r="D482" s="77"/>
      <c r="E482" s="77"/>
      <c r="F482" s="77"/>
    </row>
    <row r="483" spans="1:6">
      <c r="A483" s="77"/>
      <c r="B483" s="77"/>
      <c r="C483" s="77"/>
      <c r="D483" s="77"/>
      <c r="E483" s="77"/>
      <c r="F483" s="77"/>
    </row>
    <row r="484" spans="1:6">
      <c r="A484" s="77"/>
      <c r="B484" s="77"/>
      <c r="C484" s="77"/>
      <c r="D484" s="77"/>
      <c r="E484" s="77"/>
      <c r="F484" s="77"/>
    </row>
    <row r="485" spans="1:6">
      <c r="A485" s="77"/>
      <c r="B485" s="77"/>
      <c r="C485" s="77"/>
      <c r="D485" s="77"/>
      <c r="E485" s="77"/>
      <c r="F485" s="77"/>
    </row>
    <row r="486" spans="1:6">
      <c r="A486" s="77"/>
      <c r="B486" s="77"/>
      <c r="C486" s="77"/>
      <c r="D486" s="77"/>
      <c r="E486" s="77"/>
      <c r="F486" s="77"/>
    </row>
    <row r="487" spans="1:6">
      <c r="A487" s="77"/>
      <c r="B487" s="77"/>
      <c r="C487" s="77"/>
      <c r="D487" s="77"/>
      <c r="E487" s="77"/>
      <c r="F487" s="77"/>
    </row>
    <row r="488" spans="1:6">
      <c r="A488" s="77"/>
      <c r="B488" s="77"/>
      <c r="C488" s="77"/>
      <c r="D488" s="77"/>
      <c r="E488" s="77"/>
      <c r="F488" s="77"/>
    </row>
    <row r="489" spans="1:6">
      <c r="A489" s="77"/>
      <c r="B489" s="77"/>
      <c r="C489" s="77"/>
      <c r="D489" s="77"/>
      <c r="E489" s="77"/>
      <c r="F489" s="77"/>
    </row>
    <row r="490" spans="1:6">
      <c r="A490" s="77"/>
      <c r="B490" s="77"/>
      <c r="C490" s="77"/>
      <c r="D490" s="77"/>
      <c r="E490" s="77"/>
      <c r="F490" s="77"/>
    </row>
    <row r="491" spans="1:6">
      <c r="A491" s="77"/>
      <c r="B491" s="77"/>
      <c r="C491" s="77"/>
      <c r="D491" s="77"/>
      <c r="E491" s="77"/>
      <c r="F491" s="77"/>
    </row>
    <row r="492" spans="1:6">
      <c r="A492" s="77"/>
      <c r="B492" s="77"/>
      <c r="C492" s="77"/>
      <c r="D492" s="77"/>
      <c r="E492" s="77"/>
      <c r="F492" s="77"/>
    </row>
    <row r="493" spans="1:6">
      <c r="A493" s="77"/>
      <c r="B493" s="77"/>
      <c r="C493" s="77"/>
      <c r="D493" s="77"/>
      <c r="E493" s="77"/>
      <c r="F493" s="77"/>
    </row>
    <row r="494" spans="1:6">
      <c r="A494" s="77"/>
      <c r="B494" s="77"/>
      <c r="C494" s="77"/>
      <c r="D494" s="77"/>
      <c r="E494" s="77"/>
      <c r="F494" s="77"/>
    </row>
    <row r="495" spans="1:6">
      <c r="A495" s="77"/>
      <c r="B495" s="77"/>
      <c r="C495" s="77"/>
      <c r="D495" s="77"/>
      <c r="E495" s="77"/>
      <c r="F495" s="77"/>
    </row>
    <row r="496" spans="1:6">
      <c r="A496" s="77"/>
      <c r="B496" s="77"/>
      <c r="C496" s="77"/>
      <c r="D496" s="77"/>
      <c r="E496" s="77"/>
      <c r="F496" s="77"/>
    </row>
    <row r="497" spans="1:6">
      <c r="A497" s="77"/>
      <c r="B497" s="77"/>
      <c r="C497" s="77"/>
      <c r="D497" s="77"/>
      <c r="E497" s="77"/>
      <c r="F497" s="77"/>
    </row>
    <row r="498" spans="1:6">
      <c r="A498" s="77"/>
      <c r="B498" s="77"/>
      <c r="C498" s="77"/>
      <c r="D498" s="77"/>
      <c r="E498" s="77"/>
      <c r="F498" s="77"/>
    </row>
    <row r="499" spans="1:6">
      <c r="A499" s="77"/>
      <c r="B499" s="77"/>
      <c r="C499" s="77"/>
      <c r="D499" s="77"/>
      <c r="E499" s="77"/>
      <c r="F499" s="77"/>
    </row>
    <row r="500" spans="1:6">
      <c r="A500" s="77"/>
      <c r="B500" s="77"/>
      <c r="C500" s="77"/>
      <c r="D500" s="77"/>
      <c r="E500" s="77"/>
      <c r="F500" s="77"/>
    </row>
    <row r="501" spans="1:6">
      <c r="A501" s="77"/>
      <c r="B501" s="77"/>
      <c r="C501" s="77"/>
      <c r="D501" s="77"/>
      <c r="E501" s="77"/>
      <c r="F501" s="77"/>
    </row>
    <row r="502" spans="1:6">
      <c r="A502" s="77"/>
      <c r="B502" s="77"/>
      <c r="C502" s="77"/>
      <c r="D502" s="77"/>
      <c r="E502" s="77"/>
      <c r="F502" s="77"/>
    </row>
    <row r="503" spans="1:6">
      <c r="A503" s="77"/>
      <c r="B503" s="77"/>
      <c r="C503" s="77"/>
      <c r="D503" s="77"/>
      <c r="E503" s="77"/>
      <c r="F503" s="77"/>
    </row>
    <row r="504" spans="1:6">
      <c r="A504" s="77"/>
      <c r="B504" s="77"/>
      <c r="C504" s="77"/>
      <c r="D504" s="77"/>
      <c r="E504" s="77"/>
      <c r="F504" s="77"/>
    </row>
    <row r="505" spans="1:6">
      <c r="A505" s="77"/>
      <c r="B505" s="77"/>
      <c r="C505" s="77"/>
      <c r="D505" s="77"/>
      <c r="E505" s="77"/>
      <c r="F505" s="77"/>
    </row>
    <row r="506" spans="1:6">
      <c r="A506" s="77"/>
      <c r="B506" s="77"/>
      <c r="C506" s="77"/>
      <c r="D506" s="77"/>
      <c r="E506" s="77"/>
      <c r="F506" s="77"/>
    </row>
    <row r="507" spans="1:6">
      <c r="A507" s="77"/>
      <c r="B507" s="77"/>
      <c r="C507" s="77"/>
      <c r="D507" s="77"/>
      <c r="E507" s="77"/>
      <c r="F507" s="77"/>
    </row>
    <row r="508" spans="1:6">
      <c r="A508" s="77"/>
      <c r="B508" s="77"/>
      <c r="C508" s="77"/>
      <c r="D508" s="77"/>
      <c r="E508" s="77"/>
      <c r="F508" s="77"/>
    </row>
    <row r="509" spans="1:6">
      <c r="A509" s="77"/>
      <c r="B509" s="77"/>
      <c r="C509" s="77"/>
      <c r="D509" s="77"/>
      <c r="E509" s="77"/>
      <c r="F509" s="77"/>
    </row>
    <row r="510" spans="1:6">
      <c r="A510" s="77"/>
      <c r="B510" s="77"/>
      <c r="C510" s="77"/>
      <c r="D510" s="77"/>
      <c r="E510" s="77"/>
      <c r="F510" s="77"/>
    </row>
    <row r="511" spans="1:6">
      <c r="A511" s="77"/>
      <c r="B511" s="77"/>
      <c r="C511" s="77"/>
      <c r="D511" s="77"/>
      <c r="E511" s="77"/>
      <c r="F511" s="77"/>
    </row>
    <row r="512" spans="1:6">
      <c r="A512" s="77"/>
      <c r="B512" s="77"/>
      <c r="C512" s="77"/>
      <c r="D512" s="77"/>
      <c r="E512" s="77"/>
      <c r="F512" s="77"/>
    </row>
    <row r="513" spans="1:6">
      <c r="A513" s="77"/>
      <c r="B513" s="77"/>
      <c r="C513" s="77"/>
      <c r="D513" s="77"/>
      <c r="E513" s="77"/>
      <c r="F513" s="77"/>
    </row>
    <row r="514" spans="1:6">
      <c r="A514" s="77"/>
      <c r="B514" s="77"/>
      <c r="C514" s="77"/>
      <c r="D514" s="77"/>
      <c r="E514" s="77"/>
      <c r="F514" s="77"/>
    </row>
    <row r="515" spans="1:6">
      <c r="A515" s="77"/>
      <c r="B515" s="77"/>
      <c r="C515" s="77"/>
      <c r="D515" s="77"/>
      <c r="E515" s="77"/>
      <c r="F515" s="77"/>
    </row>
    <row r="516" spans="1:6">
      <c r="A516" s="77"/>
      <c r="B516" s="77"/>
      <c r="C516" s="77"/>
      <c r="D516" s="77"/>
      <c r="E516" s="77"/>
      <c r="F516" s="77"/>
    </row>
    <row r="517" spans="1:6">
      <c r="A517" s="77"/>
      <c r="B517" s="77"/>
      <c r="C517" s="77"/>
      <c r="D517" s="77"/>
      <c r="E517" s="77"/>
      <c r="F517" s="77"/>
    </row>
    <row r="518" spans="1:6">
      <c r="A518" s="77"/>
      <c r="B518" s="77"/>
      <c r="C518" s="77"/>
      <c r="D518" s="77"/>
      <c r="E518" s="77"/>
      <c r="F518" s="77"/>
    </row>
    <row r="519" spans="1:6">
      <c r="A519" s="77"/>
      <c r="B519" s="77"/>
      <c r="C519" s="77"/>
      <c r="D519" s="77"/>
      <c r="E519" s="77"/>
      <c r="F519" s="77"/>
    </row>
    <row r="520" spans="1:6">
      <c r="A520" s="77"/>
      <c r="B520" s="77"/>
      <c r="C520" s="77"/>
      <c r="D520" s="77"/>
      <c r="E520" s="77"/>
      <c r="F520" s="77"/>
    </row>
    <row r="521" spans="1:6">
      <c r="A521" s="77"/>
      <c r="B521" s="77"/>
      <c r="C521" s="77"/>
      <c r="D521" s="77"/>
      <c r="E521" s="77"/>
      <c r="F521" s="77"/>
    </row>
    <row r="522" spans="1:6">
      <c r="A522" s="77"/>
      <c r="B522" s="77"/>
      <c r="C522" s="77"/>
      <c r="D522" s="77"/>
      <c r="E522" s="77"/>
      <c r="F522" s="77"/>
    </row>
    <row r="523" spans="1:6">
      <c r="A523" s="77"/>
      <c r="B523" s="77"/>
      <c r="C523" s="77"/>
      <c r="D523" s="77"/>
      <c r="E523" s="77"/>
      <c r="F523" s="77"/>
    </row>
    <row r="524" spans="1:6">
      <c r="A524" s="77"/>
      <c r="B524" s="77"/>
      <c r="C524" s="77"/>
      <c r="D524" s="77"/>
      <c r="E524" s="77"/>
      <c r="F524" s="77"/>
    </row>
    <row r="525" spans="1:6">
      <c r="A525" s="77"/>
      <c r="B525" s="77"/>
      <c r="C525" s="77"/>
      <c r="D525" s="77"/>
      <c r="E525" s="77"/>
      <c r="F525" s="77"/>
    </row>
    <row r="526" spans="1:6">
      <c r="A526" s="77"/>
      <c r="B526" s="77"/>
      <c r="C526" s="77"/>
      <c r="D526" s="77"/>
      <c r="E526" s="77"/>
      <c r="F526" s="77"/>
    </row>
    <row r="527" spans="1:6">
      <c r="A527" s="77"/>
      <c r="B527" s="77"/>
      <c r="C527" s="77"/>
      <c r="D527" s="77"/>
      <c r="E527" s="77"/>
      <c r="F527" s="77"/>
    </row>
    <row r="528" spans="1:6">
      <c r="A528" s="77"/>
      <c r="B528" s="77"/>
      <c r="C528" s="77"/>
      <c r="D528" s="77"/>
      <c r="E528" s="77"/>
      <c r="F528" s="77"/>
    </row>
    <row r="529" spans="1:6">
      <c r="A529" s="77"/>
      <c r="B529" s="77"/>
      <c r="C529" s="77"/>
      <c r="D529" s="77"/>
      <c r="E529" s="77"/>
      <c r="F529" s="77"/>
    </row>
    <row r="530" spans="1:6">
      <c r="A530" s="77"/>
      <c r="B530" s="77"/>
      <c r="C530" s="77"/>
      <c r="D530" s="77"/>
      <c r="E530" s="77"/>
      <c r="F530" s="77"/>
    </row>
    <row r="531" spans="1:6">
      <c r="A531" s="77"/>
      <c r="B531" s="77"/>
      <c r="C531" s="77"/>
      <c r="D531" s="77"/>
      <c r="E531" s="77"/>
      <c r="F531" s="77"/>
    </row>
    <row r="532" spans="1:6">
      <c r="A532" s="77"/>
      <c r="B532" s="77"/>
      <c r="C532" s="77"/>
      <c r="D532" s="77"/>
      <c r="E532" s="77"/>
      <c r="F532" s="77"/>
    </row>
    <row r="533" spans="1:6">
      <c r="A533" s="77"/>
      <c r="B533" s="77"/>
      <c r="C533" s="77"/>
      <c r="D533" s="77"/>
      <c r="E533" s="77"/>
      <c r="F533" s="77"/>
    </row>
    <row r="534" spans="1:6">
      <c r="A534" s="77"/>
      <c r="B534" s="77"/>
      <c r="C534" s="77"/>
      <c r="D534" s="77"/>
      <c r="E534" s="77"/>
      <c r="F534" s="77"/>
    </row>
    <row r="535" spans="1:6">
      <c r="A535" s="77"/>
      <c r="B535" s="77"/>
      <c r="C535" s="77"/>
      <c r="D535" s="77"/>
      <c r="E535" s="77"/>
      <c r="F535" s="77"/>
    </row>
    <row r="536" spans="1:6">
      <c r="A536" s="77"/>
      <c r="B536" s="77"/>
      <c r="C536" s="77"/>
      <c r="D536" s="77"/>
      <c r="E536" s="77"/>
      <c r="F536" s="77"/>
    </row>
    <row r="537" spans="1:6">
      <c r="A537" s="77"/>
      <c r="B537" s="77"/>
      <c r="C537" s="77"/>
      <c r="D537" s="77"/>
      <c r="E537" s="77"/>
      <c r="F537" s="77"/>
    </row>
    <row r="538" spans="1:6">
      <c r="A538" s="77"/>
      <c r="B538" s="77"/>
      <c r="C538" s="77"/>
      <c r="D538" s="77"/>
      <c r="E538" s="77"/>
      <c r="F538" s="77"/>
    </row>
    <row r="539" spans="1:6">
      <c r="A539" s="77"/>
      <c r="B539" s="77"/>
      <c r="C539" s="77"/>
      <c r="D539" s="77"/>
      <c r="E539" s="77"/>
      <c r="F539" s="77"/>
    </row>
    <row r="540" spans="1:6">
      <c r="A540" s="77"/>
      <c r="B540" s="77"/>
      <c r="C540" s="77"/>
      <c r="D540" s="77"/>
      <c r="E540" s="77"/>
      <c r="F540" s="77"/>
    </row>
    <row r="541" spans="1:6">
      <c r="A541" s="77"/>
      <c r="B541" s="77"/>
      <c r="C541" s="77"/>
      <c r="D541" s="77"/>
      <c r="E541" s="77"/>
      <c r="F541" s="77"/>
    </row>
    <row r="542" spans="1:6">
      <c r="A542" s="77"/>
      <c r="B542" s="77"/>
      <c r="C542" s="77"/>
      <c r="D542" s="77"/>
      <c r="E542" s="77"/>
      <c r="F542" s="77"/>
    </row>
    <row r="543" spans="1:6">
      <c r="A543" s="77"/>
      <c r="B543" s="77"/>
      <c r="C543" s="77"/>
      <c r="D543" s="77"/>
      <c r="E543" s="77"/>
      <c r="F543" s="77"/>
    </row>
    <row r="544" spans="1:6">
      <c r="A544" s="77"/>
      <c r="B544" s="77"/>
      <c r="C544" s="77"/>
      <c r="D544" s="77"/>
      <c r="E544" s="77"/>
      <c r="F544" s="77"/>
    </row>
    <row r="545" spans="1:6">
      <c r="A545" s="77"/>
      <c r="B545" s="77"/>
      <c r="C545" s="77"/>
      <c r="D545" s="77"/>
      <c r="E545" s="77"/>
      <c r="F545" s="77"/>
    </row>
    <row r="546" spans="1:6">
      <c r="A546" s="77"/>
      <c r="B546" s="77"/>
      <c r="C546" s="77"/>
      <c r="D546" s="77"/>
      <c r="E546" s="77"/>
      <c r="F546" s="77"/>
    </row>
    <row r="547" spans="1:6">
      <c r="A547" s="77"/>
      <c r="B547" s="77"/>
      <c r="C547" s="77"/>
      <c r="D547" s="77"/>
      <c r="E547" s="77"/>
      <c r="F547" s="77"/>
    </row>
    <row r="548" spans="1:6">
      <c r="A548" s="77"/>
      <c r="B548" s="77"/>
      <c r="C548" s="77"/>
      <c r="D548" s="77"/>
      <c r="E548" s="77"/>
      <c r="F548" s="77"/>
    </row>
    <row r="549" spans="1:6">
      <c r="A549" s="77"/>
      <c r="B549" s="77"/>
      <c r="C549" s="77"/>
      <c r="D549" s="77"/>
      <c r="E549" s="77"/>
      <c r="F549" s="77"/>
    </row>
    <row r="550" spans="1:6">
      <c r="A550" s="77"/>
      <c r="B550" s="77"/>
      <c r="C550" s="77"/>
      <c r="D550" s="77"/>
      <c r="E550" s="77"/>
      <c r="F550" s="77"/>
    </row>
    <row r="551" spans="1:6">
      <c r="A551" s="77"/>
      <c r="B551" s="77"/>
      <c r="C551" s="77"/>
      <c r="D551" s="77"/>
      <c r="E551" s="77"/>
      <c r="F551" s="77"/>
    </row>
    <row r="552" spans="1:6">
      <c r="A552" s="77"/>
      <c r="B552" s="77"/>
      <c r="C552" s="77"/>
      <c r="D552" s="77"/>
      <c r="E552" s="77"/>
      <c r="F552" s="77"/>
    </row>
    <row r="553" spans="1:6">
      <c r="A553" s="77"/>
      <c r="B553" s="77"/>
      <c r="C553" s="77"/>
      <c r="D553" s="77"/>
      <c r="E553" s="77"/>
      <c r="F553" s="77"/>
    </row>
    <row r="554" spans="1:6">
      <c r="A554" s="77"/>
      <c r="B554" s="77"/>
      <c r="C554" s="77"/>
      <c r="D554" s="77"/>
      <c r="E554" s="77"/>
      <c r="F554" s="77"/>
    </row>
    <row r="555" spans="1:6">
      <c r="A555" s="77"/>
      <c r="B555" s="77"/>
      <c r="C555" s="77"/>
      <c r="D555" s="77"/>
      <c r="E555" s="77"/>
      <c r="F555" s="77"/>
    </row>
    <row r="556" spans="1:6">
      <c r="A556" s="77"/>
      <c r="B556" s="77"/>
      <c r="C556" s="77"/>
      <c r="D556" s="77"/>
      <c r="E556" s="77"/>
      <c r="F556" s="77"/>
    </row>
    <row r="557" spans="1:6">
      <c r="A557" s="77"/>
      <c r="B557" s="77"/>
      <c r="C557" s="77"/>
      <c r="D557" s="77"/>
      <c r="E557" s="77"/>
      <c r="F557" s="77"/>
    </row>
    <row r="558" spans="1:6">
      <c r="A558" s="77"/>
      <c r="B558" s="77"/>
      <c r="C558" s="77"/>
      <c r="D558" s="77"/>
      <c r="E558" s="77"/>
      <c r="F558" s="77"/>
    </row>
    <row r="559" spans="1:6">
      <c r="A559" s="77"/>
      <c r="B559" s="77"/>
      <c r="C559" s="77"/>
      <c r="D559" s="77"/>
      <c r="E559" s="77"/>
      <c r="F559" s="77"/>
    </row>
    <row r="560" spans="1:6">
      <c r="A560" s="77"/>
      <c r="B560" s="77"/>
      <c r="C560" s="77"/>
      <c r="D560" s="77"/>
      <c r="E560" s="77"/>
      <c r="F560" s="77"/>
    </row>
    <row r="561" spans="1:6">
      <c r="A561" s="77"/>
      <c r="B561" s="77"/>
      <c r="C561" s="77"/>
      <c r="D561" s="77"/>
      <c r="E561" s="77"/>
      <c r="F561" s="77"/>
    </row>
    <row r="562" spans="1:6">
      <c r="A562" s="77"/>
      <c r="B562" s="77"/>
      <c r="C562" s="77"/>
      <c r="D562" s="77"/>
      <c r="E562" s="77"/>
      <c r="F562" s="77"/>
    </row>
    <row r="563" spans="1:6">
      <c r="A563" s="77"/>
      <c r="B563" s="77"/>
      <c r="C563" s="77"/>
      <c r="D563" s="77"/>
      <c r="E563" s="77"/>
      <c r="F563" s="77"/>
    </row>
    <row r="564" spans="1:6">
      <c r="A564" s="77"/>
      <c r="B564" s="77"/>
      <c r="C564" s="77"/>
      <c r="D564" s="77"/>
      <c r="E564" s="77"/>
      <c r="F564" s="77"/>
    </row>
    <row r="565" spans="1:6">
      <c r="A565" s="77"/>
      <c r="B565" s="77"/>
      <c r="C565" s="77"/>
      <c r="D565" s="77"/>
      <c r="E565" s="77"/>
      <c r="F565" s="77"/>
    </row>
    <row r="566" spans="1:6">
      <c r="A566" s="77"/>
      <c r="B566" s="77"/>
      <c r="C566" s="77"/>
      <c r="D566" s="77"/>
      <c r="E566" s="77"/>
      <c r="F566" s="77"/>
    </row>
    <row r="567" spans="1:6">
      <c r="A567" s="77"/>
      <c r="B567" s="77"/>
      <c r="C567" s="77"/>
      <c r="D567" s="77"/>
      <c r="E567" s="77"/>
      <c r="F567" s="77"/>
    </row>
    <row r="568" spans="1:6">
      <c r="A568" s="77"/>
      <c r="B568" s="77"/>
      <c r="C568" s="77"/>
      <c r="D568" s="77"/>
      <c r="E568" s="77"/>
      <c r="F568" s="77"/>
    </row>
    <row r="569" spans="1:6">
      <c r="A569" s="77"/>
      <c r="B569" s="77"/>
      <c r="C569" s="77"/>
      <c r="D569" s="77"/>
      <c r="E569" s="77"/>
      <c r="F569" s="77"/>
    </row>
    <row r="570" spans="1:6">
      <c r="A570" s="77"/>
      <c r="B570" s="77"/>
      <c r="C570" s="77"/>
      <c r="D570" s="77"/>
      <c r="E570" s="77"/>
      <c r="F570" s="77"/>
    </row>
    <row r="571" spans="1:6">
      <c r="A571" s="77"/>
      <c r="B571" s="77"/>
      <c r="C571" s="77"/>
      <c r="D571" s="77"/>
      <c r="E571" s="77"/>
      <c r="F571" s="77"/>
    </row>
    <row r="572" spans="1:6">
      <c r="A572" s="77"/>
      <c r="B572" s="77"/>
      <c r="C572" s="77"/>
      <c r="D572" s="77"/>
      <c r="E572" s="77"/>
      <c r="F572" s="77"/>
    </row>
    <row r="573" spans="1:6">
      <c r="A573" s="77"/>
      <c r="B573" s="77"/>
      <c r="C573" s="77"/>
      <c r="D573" s="77"/>
      <c r="E573" s="77"/>
      <c r="F573" s="77"/>
    </row>
    <row r="574" spans="1:6">
      <c r="A574" s="77"/>
      <c r="B574" s="77"/>
      <c r="C574" s="77"/>
      <c r="D574" s="77"/>
      <c r="E574" s="77"/>
      <c r="F574" s="77"/>
    </row>
    <row r="575" spans="1:6">
      <c r="A575" s="77"/>
      <c r="B575" s="77"/>
      <c r="C575" s="77"/>
      <c r="D575" s="77"/>
      <c r="E575" s="77"/>
      <c r="F575" s="77"/>
    </row>
    <row r="576" spans="1:6">
      <c r="A576" s="77"/>
      <c r="B576" s="77"/>
      <c r="C576" s="77"/>
      <c r="D576" s="77"/>
      <c r="E576" s="77"/>
      <c r="F576" s="77"/>
    </row>
    <row r="577" spans="1:6">
      <c r="A577" s="77"/>
      <c r="B577" s="77"/>
      <c r="C577" s="77"/>
      <c r="D577" s="77"/>
      <c r="E577" s="77"/>
      <c r="F577" s="77"/>
    </row>
    <row r="578" spans="1:6">
      <c r="A578" s="77"/>
      <c r="B578" s="77"/>
      <c r="C578" s="77"/>
      <c r="D578" s="77"/>
      <c r="E578" s="77"/>
      <c r="F578" s="77"/>
    </row>
    <row r="579" spans="1:6">
      <c r="A579" s="77"/>
      <c r="B579" s="77"/>
      <c r="C579" s="77"/>
      <c r="D579" s="77"/>
      <c r="E579" s="77"/>
      <c r="F579" s="77"/>
    </row>
    <row r="580" spans="1:6">
      <c r="A580" s="77"/>
      <c r="B580" s="77"/>
      <c r="C580" s="77"/>
      <c r="D580" s="77"/>
      <c r="E580" s="77"/>
      <c r="F580" s="77"/>
    </row>
    <row r="581" spans="1:6">
      <c r="A581" s="77"/>
      <c r="B581" s="77"/>
      <c r="C581" s="77"/>
      <c r="D581" s="77"/>
      <c r="E581" s="77"/>
      <c r="F581" s="77"/>
    </row>
    <row r="582" spans="1:6">
      <c r="A582" s="77"/>
      <c r="B582" s="77"/>
      <c r="C582" s="77"/>
      <c r="D582" s="77"/>
      <c r="E582" s="77"/>
      <c r="F582" s="77"/>
    </row>
    <row r="583" spans="1:6">
      <c r="A583" s="77"/>
      <c r="B583" s="77"/>
      <c r="C583" s="77"/>
      <c r="D583" s="77"/>
      <c r="E583" s="77"/>
      <c r="F583" s="77"/>
    </row>
    <row r="584" spans="1:6">
      <c r="A584" s="77"/>
      <c r="B584" s="77"/>
      <c r="C584" s="77"/>
      <c r="D584" s="77"/>
      <c r="E584" s="77"/>
      <c r="F584" s="77"/>
    </row>
    <row r="585" spans="1:6">
      <c r="A585" s="77"/>
      <c r="B585" s="77"/>
      <c r="C585" s="77"/>
      <c r="D585" s="77"/>
      <c r="E585" s="77"/>
      <c r="F585" s="77"/>
    </row>
    <row r="586" spans="1:6">
      <c r="A586" s="77"/>
      <c r="B586" s="77"/>
      <c r="C586" s="77"/>
      <c r="D586" s="77"/>
      <c r="E586" s="77"/>
      <c r="F586" s="77"/>
    </row>
    <row r="587" spans="1:6">
      <c r="A587" s="77"/>
      <c r="B587" s="77"/>
      <c r="C587" s="77"/>
      <c r="D587" s="77"/>
      <c r="E587" s="77"/>
      <c r="F587" s="77"/>
    </row>
    <row r="588" spans="1:6">
      <c r="A588" s="77"/>
      <c r="B588" s="77"/>
      <c r="C588" s="77"/>
      <c r="D588" s="77"/>
      <c r="E588" s="77"/>
      <c r="F588" s="77"/>
    </row>
    <row r="589" spans="1:6">
      <c r="A589" s="77"/>
      <c r="B589" s="77"/>
      <c r="C589" s="77"/>
      <c r="D589" s="77"/>
      <c r="E589" s="77"/>
      <c r="F589" s="77"/>
    </row>
    <row r="590" spans="1:6">
      <c r="A590" s="77"/>
      <c r="B590" s="77"/>
      <c r="C590" s="77"/>
      <c r="D590" s="77"/>
      <c r="E590" s="77"/>
      <c r="F590" s="77"/>
    </row>
    <row r="591" spans="1:6">
      <c r="A591" s="77"/>
      <c r="B591" s="77"/>
      <c r="C591" s="77"/>
      <c r="D591" s="77"/>
      <c r="E591" s="77"/>
      <c r="F591" s="77"/>
    </row>
    <row r="592" spans="1:6">
      <c r="A592" s="77"/>
      <c r="B592" s="77"/>
      <c r="C592" s="77"/>
      <c r="D592" s="77"/>
      <c r="E592" s="77"/>
      <c r="F592" s="77"/>
    </row>
    <row r="593" spans="1:6">
      <c r="A593" s="77"/>
      <c r="B593" s="77"/>
      <c r="C593" s="77"/>
      <c r="D593" s="77"/>
      <c r="E593" s="77"/>
      <c r="F593" s="77"/>
    </row>
    <row r="594" spans="1:6">
      <c r="A594" s="77"/>
      <c r="B594" s="77"/>
      <c r="C594" s="77"/>
      <c r="D594" s="77"/>
      <c r="E594" s="77"/>
      <c r="F594" s="77"/>
    </row>
    <row r="595" spans="1:6">
      <c r="A595" s="77"/>
      <c r="B595" s="77"/>
      <c r="C595" s="77"/>
      <c r="D595" s="77"/>
      <c r="E595" s="77"/>
      <c r="F595" s="77"/>
    </row>
    <row r="596" spans="1:6">
      <c r="A596" s="77"/>
      <c r="B596" s="77"/>
      <c r="C596" s="77"/>
      <c r="D596" s="77"/>
      <c r="E596" s="77"/>
      <c r="F596" s="77"/>
    </row>
    <row r="597" spans="1:6">
      <c r="A597" s="77"/>
      <c r="B597" s="77"/>
      <c r="C597" s="77"/>
      <c r="D597" s="77"/>
      <c r="E597" s="77"/>
      <c r="F597" s="77"/>
    </row>
    <row r="598" spans="1:6">
      <c r="A598" s="77"/>
      <c r="B598" s="77"/>
      <c r="C598" s="77"/>
      <c r="D598" s="77"/>
      <c r="E598" s="77"/>
      <c r="F598" s="77"/>
    </row>
    <row r="599" spans="1:6">
      <c r="A599" s="77"/>
      <c r="B599" s="77"/>
      <c r="C599" s="77"/>
      <c r="D599" s="77"/>
      <c r="E599" s="77"/>
      <c r="F599" s="77"/>
    </row>
    <row r="600" spans="1:6">
      <c r="A600" s="77"/>
      <c r="B600" s="77"/>
      <c r="C600" s="77"/>
      <c r="D600" s="77"/>
      <c r="E600" s="77"/>
      <c r="F600" s="77"/>
    </row>
    <row r="601" spans="1:6">
      <c r="A601" s="77"/>
      <c r="B601" s="77"/>
      <c r="C601" s="77"/>
      <c r="D601" s="77"/>
      <c r="E601" s="77"/>
      <c r="F601" s="77"/>
    </row>
    <row r="602" spans="1:6">
      <c r="A602" s="77"/>
      <c r="B602" s="77"/>
      <c r="C602" s="77"/>
      <c r="D602" s="77"/>
      <c r="E602" s="77"/>
      <c r="F602" s="77"/>
    </row>
    <row r="603" spans="1:6">
      <c r="A603" s="77"/>
      <c r="B603" s="77"/>
      <c r="C603" s="77"/>
      <c r="D603" s="77"/>
      <c r="E603" s="77"/>
      <c r="F603" s="77"/>
    </row>
    <row r="604" spans="1:6">
      <c r="A604" s="77"/>
      <c r="B604" s="77"/>
      <c r="C604" s="77"/>
      <c r="D604" s="77"/>
      <c r="E604" s="77"/>
      <c r="F604" s="77"/>
    </row>
    <row r="605" spans="1:6">
      <c r="A605" s="77"/>
      <c r="B605" s="77"/>
      <c r="C605" s="77"/>
      <c r="D605" s="77"/>
      <c r="E605" s="77"/>
      <c r="F605" s="77"/>
    </row>
    <row r="606" spans="1:6">
      <c r="A606" s="77"/>
      <c r="B606" s="77"/>
      <c r="C606" s="77"/>
      <c r="D606" s="77"/>
      <c r="E606" s="77"/>
      <c r="F606" s="77"/>
    </row>
    <row r="607" spans="1:6">
      <c r="A607" s="77"/>
      <c r="B607" s="77"/>
      <c r="C607" s="77"/>
      <c r="D607" s="77"/>
      <c r="E607" s="77"/>
      <c r="F607" s="77"/>
    </row>
    <row r="608" spans="1:6">
      <c r="A608" s="77"/>
      <c r="B608" s="77"/>
      <c r="C608" s="77"/>
      <c r="D608" s="77"/>
      <c r="E608" s="77"/>
      <c r="F608" s="77"/>
    </row>
    <row r="609" spans="1:6">
      <c r="A609" s="77"/>
      <c r="B609" s="77"/>
      <c r="C609" s="77"/>
      <c r="D609" s="77"/>
      <c r="E609" s="77"/>
      <c r="F609" s="77"/>
    </row>
    <row r="610" spans="1:6">
      <c r="A610" s="77"/>
      <c r="B610" s="77"/>
      <c r="C610" s="77"/>
      <c r="D610" s="77"/>
      <c r="E610" s="77"/>
      <c r="F610" s="77"/>
    </row>
    <row r="611" spans="1:6">
      <c r="A611" s="77"/>
      <c r="B611" s="77"/>
      <c r="C611" s="77"/>
      <c r="D611" s="77"/>
      <c r="E611" s="77"/>
      <c r="F611" s="77"/>
    </row>
    <row r="612" spans="1:6">
      <c r="A612" s="77"/>
      <c r="B612" s="77"/>
      <c r="C612" s="77"/>
      <c r="D612" s="77"/>
      <c r="E612" s="77"/>
      <c r="F612" s="77"/>
    </row>
    <row r="613" spans="1:6">
      <c r="A613" s="77"/>
      <c r="B613" s="77"/>
      <c r="C613" s="77"/>
      <c r="D613" s="77"/>
      <c r="E613" s="77"/>
      <c r="F613" s="77"/>
    </row>
    <row r="614" spans="1:6">
      <c r="A614" s="77"/>
      <c r="B614" s="77"/>
      <c r="C614" s="77"/>
      <c r="D614" s="77"/>
      <c r="E614" s="77"/>
      <c r="F614" s="77"/>
    </row>
    <row r="615" spans="1:6">
      <c r="A615" s="77"/>
      <c r="B615" s="77"/>
      <c r="C615" s="77"/>
      <c r="D615" s="77"/>
      <c r="E615" s="77"/>
      <c r="F615" s="77"/>
    </row>
    <row r="616" spans="1:6">
      <c r="A616" s="77"/>
      <c r="B616" s="77"/>
      <c r="C616" s="77"/>
      <c r="D616" s="77"/>
      <c r="E616" s="77"/>
      <c r="F616" s="77"/>
    </row>
    <row r="617" spans="1:6">
      <c r="A617" s="77"/>
      <c r="B617" s="77"/>
      <c r="C617" s="77"/>
      <c r="D617" s="77"/>
      <c r="E617" s="77"/>
      <c r="F617" s="77"/>
    </row>
    <row r="618" spans="1:6">
      <c r="A618" s="77"/>
      <c r="B618" s="77"/>
      <c r="C618" s="77"/>
      <c r="D618" s="77"/>
      <c r="E618" s="77"/>
      <c r="F618" s="77"/>
    </row>
    <row r="619" spans="1:6">
      <c r="A619" s="77"/>
      <c r="B619" s="77"/>
      <c r="C619" s="77"/>
      <c r="D619" s="77"/>
      <c r="E619" s="77"/>
      <c r="F619" s="77"/>
    </row>
    <row r="620" spans="1:6">
      <c r="A620" s="77"/>
      <c r="B620" s="77"/>
      <c r="C620" s="77"/>
      <c r="D620" s="77"/>
      <c r="E620" s="77"/>
      <c r="F620" s="77"/>
    </row>
    <row r="621" spans="1:6">
      <c r="A621" s="77"/>
      <c r="B621" s="77"/>
      <c r="C621" s="77"/>
      <c r="D621" s="77"/>
      <c r="E621" s="77"/>
      <c r="F621" s="77"/>
    </row>
    <row r="622" spans="1:6">
      <c r="A622" s="77"/>
      <c r="B622" s="77"/>
      <c r="C622" s="77"/>
      <c r="D622" s="77"/>
      <c r="E622" s="77"/>
      <c r="F622" s="77"/>
    </row>
    <row r="623" spans="1:6">
      <c r="A623" s="77"/>
      <c r="B623" s="77"/>
      <c r="C623" s="77"/>
      <c r="D623" s="77"/>
      <c r="E623" s="77"/>
      <c r="F623" s="77"/>
    </row>
    <row r="624" spans="1:6">
      <c r="A624" s="77"/>
      <c r="B624" s="77"/>
      <c r="C624" s="77"/>
      <c r="D624" s="77"/>
      <c r="E624" s="77"/>
      <c r="F624" s="77"/>
    </row>
    <row r="625" spans="1:6">
      <c r="A625" s="77"/>
      <c r="B625" s="77"/>
      <c r="C625" s="77"/>
      <c r="D625" s="77"/>
      <c r="E625" s="77"/>
      <c r="F625" s="77"/>
    </row>
    <row r="626" spans="1:6">
      <c r="A626" s="77"/>
      <c r="B626" s="77"/>
      <c r="C626" s="77"/>
      <c r="D626" s="77"/>
      <c r="E626" s="77"/>
      <c r="F626" s="77"/>
    </row>
    <row r="627" spans="1:6">
      <c r="A627" s="77"/>
      <c r="B627" s="77"/>
      <c r="C627" s="77"/>
      <c r="D627" s="77"/>
      <c r="E627" s="77"/>
      <c r="F627" s="77"/>
    </row>
    <row r="628" spans="1:6">
      <c r="A628" s="77"/>
      <c r="B628" s="77"/>
      <c r="C628" s="77"/>
      <c r="D628" s="77"/>
      <c r="E628" s="77"/>
      <c r="F628" s="77"/>
    </row>
    <row r="629" spans="1:6">
      <c r="A629" s="77"/>
      <c r="B629" s="77"/>
      <c r="C629" s="77"/>
      <c r="D629" s="77"/>
      <c r="E629" s="77"/>
      <c r="F629" s="77"/>
    </row>
    <row r="630" spans="1:6">
      <c r="A630" s="77"/>
      <c r="B630" s="77"/>
      <c r="C630" s="77"/>
      <c r="D630" s="77"/>
      <c r="E630" s="77"/>
      <c r="F630" s="77"/>
    </row>
    <row r="631" spans="1:6">
      <c r="A631" s="77"/>
      <c r="B631" s="77"/>
      <c r="C631" s="77"/>
      <c r="D631" s="77"/>
      <c r="E631" s="77"/>
      <c r="F631" s="77"/>
    </row>
    <row r="632" spans="1:6">
      <c r="A632" s="77"/>
      <c r="B632" s="77"/>
      <c r="C632" s="77"/>
      <c r="D632" s="77"/>
      <c r="E632" s="77"/>
      <c r="F632" s="77"/>
    </row>
    <row r="633" spans="1:6">
      <c r="A633" s="77"/>
      <c r="B633" s="77"/>
      <c r="C633" s="77"/>
      <c r="D633" s="77"/>
      <c r="E633" s="77"/>
      <c r="F633" s="77"/>
    </row>
    <row r="634" spans="1:6">
      <c r="A634" s="77"/>
      <c r="B634" s="77"/>
      <c r="C634" s="77"/>
      <c r="D634" s="77"/>
      <c r="E634" s="77"/>
      <c r="F634" s="77"/>
    </row>
    <row r="635" spans="1:6">
      <c r="A635" s="77"/>
      <c r="B635" s="77"/>
      <c r="C635" s="77"/>
      <c r="D635" s="77"/>
      <c r="E635" s="77"/>
      <c r="F635" s="77"/>
    </row>
    <row r="636" spans="1:6">
      <c r="A636" s="77"/>
      <c r="B636" s="77"/>
      <c r="C636" s="77"/>
      <c r="D636" s="77"/>
      <c r="E636" s="77"/>
      <c r="F636" s="77"/>
    </row>
    <row r="637" spans="1:6">
      <c r="A637" s="77"/>
      <c r="B637" s="77"/>
      <c r="C637" s="77"/>
      <c r="D637" s="77"/>
      <c r="E637" s="77"/>
      <c r="F637" s="77"/>
    </row>
    <row r="638" spans="1:6">
      <c r="A638" s="77"/>
      <c r="B638" s="77"/>
      <c r="C638" s="77"/>
      <c r="D638" s="77"/>
      <c r="E638" s="77"/>
      <c r="F638" s="77"/>
    </row>
    <row r="639" spans="1:6">
      <c r="A639" s="77"/>
      <c r="B639" s="77"/>
      <c r="C639" s="77"/>
      <c r="D639" s="77"/>
      <c r="E639" s="77"/>
      <c r="F639" s="77"/>
    </row>
    <row r="640" spans="1:6">
      <c r="A640" s="77"/>
      <c r="B640" s="77"/>
      <c r="C640" s="77"/>
      <c r="D640" s="77"/>
      <c r="E640" s="77"/>
      <c r="F640" s="77"/>
    </row>
    <row r="641" spans="1:6">
      <c r="A641" s="77"/>
      <c r="B641" s="77"/>
      <c r="C641" s="77"/>
      <c r="D641" s="77"/>
      <c r="E641" s="77"/>
      <c r="F641" s="77"/>
    </row>
    <row r="642" spans="1:6">
      <c r="A642" s="77"/>
      <c r="B642" s="77"/>
      <c r="C642" s="77"/>
      <c r="D642" s="77"/>
      <c r="E642" s="77"/>
      <c r="F642" s="77"/>
    </row>
    <row r="643" spans="1:6">
      <c r="A643" s="77"/>
      <c r="B643" s="77"/>
      <c r="C643" s="77"/>
      <c r="D643" s="77"/>
      <c r="E643" s="77"/>
      <c r="F643" s="77"/>
    </row>
    <row r="644" spans="1:6">
      <c r="A644" s="77"/>
      <c r="B644" s="77"/>
      <c r="C644" s="77"/>
      <c r="D644" s="77"/>
      <c r="E644" s="77"/>
      <c r="F644" s="77"/>
    </row>
    <row r="645" spans="1:6">
      <c r="A645" s="77"/>
      <c r="B645" s="77"/>
      <c r="C645" s="77"/>
      <c r="D645" s="77"/>
      <c r="E645" s="77"/>
      <c r="F645" s="77"/>
    </row>
    <row r="646" spans="1:6">
      <c r="A646" s="77"/>
      <c r="B646" s="77"/>
      <c r="C646" s="77"/>
      <c r="D646" s="77"/>
      <c r="E646" s="77"/>
      <c r="F646" s="77"/>
    </row>
    <row r="647" spans="1:6">
      <c r="A647" s="77"/>
      <c r="B647" s="77"/>
      <c r="C647" s="77"/>
      <c r="D647" s="77"/>
      <c r="E647" s="77"/>
      <c r="F647" s="77"/>
    </row>
    <row r="648" spans="1:6">
      <c r="A648" s="77"/>
      <c r="B648" s="77"/>
      <c r="C648" s="77"/>
      <c r="D648" s="77"/>
      <c r="E648" s="77"/>
      <c r="F648" s="77"/>
    </row>
    <row r="649" spans="1:6">
      <c r="A649" s="77"/>
      <c r="B649" s="77"/>
      <c r="C649" s="77"/>
      <c r="D649" s="77"/>
      <c r="E649" s="77"/>
      <c r="F649" s="77"/>
    </row>
    <row r="650" spans="1:6">
      <c r="A650" s="77"/>
      <c r="B650" s="77"/>
      <c r="C650" s="77"/>
      <c r="D650" s="77"/>
      <c r="E650" s="77"/>
      <c r="F650" s="77"/>
    </row>
    <row r="651" spans="1:6">
      <c r="A651" s="77"/>
      <c r="B651" s="77"/>
      <c r="C651" s="77"/>
      <c r="D651" s="77"/>
      <c r="E651" s="77"/>
      <c r="F651" s="77"/>
    </row>
    <row r="652" spans="1:6">
      <c r="A652" s="77"/>
      <c r="B652" s="77"/>
      <c r="C652" s="77"/>
      <c r="D652" s="77"/>
      <c r="E652" s="77"/>
      <c r="F652" s="77"/>
    </row>
    <row r="653" spans="1:6">
      <c r="A653" s="77"/>
      <c r="B653" s="77"/>
      <c r="C653" s="77"/>
      <c r="D653" s="77"/>
      <c r="E653" s="77"/>
      <c r="F653" s="77"/>
    </row>
    <row r="654" spans="1:6">
      <c r="A654" s="77"/>
      <c r="B654" s="77"/>
      <c r="C654" s="77"/>
      <c r="D654" s="77"/>
      <c r="E654" s="77"/>
      <c r="F654" s="77"/>
    </row>
    <row r="655" spans="1:6">
      <c r="A655" s="77"/>
      <c r="B655" s="77"/>
      <c r="C655" s="77"/>
      <c r="D655" s="77"/>
      <c r="E655" s="77"/>
      <c r="F655" s="77"/>
    </row>
    <row r="656" spans="1:6">
      <c r="A656" s="77"/>
      <c r="B656" s="77"/>
      <c r="C656" s="77"/>
      <c r="D656" s="77"/>
      <c r="E656" s="77"/>
      <c r="F656" s="77"/>
    </row>
    <row r="657" spans="1:6">
      <c r="A657" s="77"/>
      <c r="B657" s="77"/>
      <c r="C657" s="77"/>
      <c r="D657" s="77"/>
      <c r="E657" s="77"/>
      <c r="F657" s="77"/>
    </row>
    <row r="658" spans="1:6">
      <c r="A658" s="77"/>
      <c r="B658" s="77"/>
      <c r="C658" s="77"/>
      <c r="D658" s="77"/>
      <c r="E658" s="77"/>
      <c r="F658" s="77"/>
    </row>
    <row r="659" spans="1:6">
      <c r="A659" s="77"/>
      <c r="B659" s="77"/>
      <c r="C659" s="77"/>
      <c r="D659" s="77"/>
      <c r="E659" s="77"/>
      <c r="F659" s="77"/>
    </row>
    <row r="660" spans="1:6">
      <c r="A660" s="77"/>
      <c r="B660" s="77"/>
      <c r="C660" s="77"/>
      <c r="D660" s="77"/>
      <c r="E660" s="77"/>
      <c r="F660" s="77"/>
    </row>
    <row r="661" spans="1:6">
      <c r="A661" s="77"/>
      <c r="B661" s="77"/>
      <c r="C661" s="77"/>
      <c r="D661" s="77"/>
      <c r="E661" s="77"/>
      <c r="F661" s="77"/>
    </row>
    <row r="662" spans="1:6">
      <c r="A662" s="77"/>
      <c r="B662" s="77"/>
      <c r="C662" s="77"/>
      <c r="D662" s="77"/>
      <c r="E662" s="77"/>
      <c r="F662" s="77"/>
    </row>
    <row r="663" spans="1:6">
      <c r="A663" s="77"/>
      <c r="B663" s="77"/>
      <c r="C663" s="77"/>
      <c r="D663" s="77"/>
      <c r="E663" s="77"/>
      <c r="F663" s="77"/>
    </row>
    <row r="664" spans="1:6">
      <c r="A664" s="77"/>
      <c r="B664" s="77"/>
      <c r="C664" s="77"/>
      <c r="D664" s="77"/>
      <c r="E664" s="77"/>
      <c r="F664" s="77"/>
    </row>
    <row r="665" spans="1:6">
      <c r="A665" s="77"/>
      <c r="B665" s="77"/>
      <c r="C665" s="77"/>
      <c r="D665" s="77"/>
      <c r="E665" s="77"/>
      <c r="F665" s="77"/>
    </row>
    <row r="666" spans="1:6">
      <c r="A666" s="77"/>
      <c r="B666" s="77"/>
      <c r="C666" s="77"/>
      <c r="D666" s="77"/>
      <c r="E666" s="77"/>
      <c r="F666" s="77"/>
    </row>
    <row r="667" spans="1:6">
      <c r="A667" s="77"/>
      <c r="B667" s="77"/>
      <c r="C667" s="77"/>
      <c r="D667" s="77"/>
      <c r="E667" s="77"/>
      <c r="F667" s="77"/>
    </row>
    <row r="668" spans="1:6">
      <c r="A668" s="77"/>
      <c r="B668" s="77"/>
      <c r="C668" s="77"/>
      <c r="D668" s="77"/>
      <c r="E668" s="77"/>
      <c r="F668" s="77"/>
    </row>
    <row r="669" spans="1:6">
      <c r="A669" s="77"/>
      <c r="B669" s="77"/>
      <c r="C669" s="77"/>
      <c r="D669" s="77"/>
      <c r="E669" s="77"/>
      <c r="F669" s="77"/>
    </row>
    <row r="670" spans="1:6">
      <c r="A670" s="77"/>
      <c r="B670" s="77"/>
      <c r="C670" s="77"/>
      <c r="D670" s="77"/>
      <c r="E670" s="77"/>
      <c r="F670" s="77"/>
    </row>
    <row r="671" spans="1:6">
      <c r="A671" s="77"/>
      <c r="B671" s="77"/>
      <c r="C671" s="77"/>
      <c r="D671" s="77"/>
      <c r="E671" s="77"/>
      <c r="F671" s="77"/>
    </row>
    <row r="672" spans="1:6">
      <c r="A672" s="77"/>
      <c r="B672" s="77"/>
      <c r="C672" s="77"/>
      <c r="D672" s="77"/>
      <c r="E672" s="77"/>
      <c r="F672" s="77"/>
    </row>
    <row r="673" spans="1:6">
      <c r="A673" s="77"/>
      <c r="B673" s="77"/>
      <c r="C673" s="77"/>
      <c r="D673" s="77"/>
      <c r="E673" s="77"/>
      <c r="F673" s="77"/>
    </row>
    <row r="674" spans="1:6">
      <c r="A674" s="77"/>
      <c r="B674" s="77"/>
      <c r="C674" s="77"/>
      <c r="D674" s="77"/>
      <c r="E674" s="77"/>
      <c r="F674" s="77"/>
    </row>
    <row r="675" spans="1:6">
      <c r="A675" s="77"/>
      <c r="B675" s="77"/>
      <c r="C675" s="77"/>
      <c r="D675" s="77"/>
      <c r="E675" s="77"/>
      <c r="F675" s="77"/>
    </row>
    <row r="676" spans="1:6">
      <c r="A676" s="77"/>
      <c r="B676" s="77"/>
      <c r="C676" s="77"/>
      <c r="D676" s="77"/>
      <c r="E676" s="77"/>
      <c r="F676" s="77"/>
    </row>
    <row r="677" spans="1:6">
      <c r="A677" s="77"/>
      <c r="B677" s="77"/>
      <c r="C677" s="77"/>
      <c r="D677" s="77"/>
      <c r="E677" s="77"/>
      <c r="F677" s="77"/>
    </row>
    <row r="678" spans="1:6">
      <c r="A678" s="77"/>
      <c r="B678" s="77"/>
      <c r="C678" s="77"/>
      <c r="D678" s="77"/>
      <c r="E678" s="77"/>
      <c r="F678" s="77"/>
    </row>
    <row r="679" spans="1:6">
      <c r="A679" s="77"/>
      <c r="B679" s="77"/>
      <c r="C679" s="77"/>
      <c r="D679" s="77"/>
      <c r="E679" s="77"/>
      <c r="F679" s="77"/>
    </row>
    <row r="680" spans="1:6">
      <c r="A680" s="77"/>
      <c r="B680" s="77"/>
      <c r="C680" s="77"/>
      <c r="D680" s="77"/>
      <c r="E680" s="77"/>
      <c r="F680" s="77"/>
    </row>
    <row r="681" spans="1:6">
      <c r="A681" s="77"/>
      <c r="B681" s="77"/>
      <c r="C681" s="77"/>
      <c r="D681" s="77"/>
      <c r="E681" s="77"/>
      <c r="F681" s="77"/>
    </row>
    <row r="682" spans="1:6">
      <c r="A682" s="77"/>
      <c r="B682" s="77"/>
      <c r="C682" s="77"/>
      <c r="D682" s="77"/>
      <c r="E682" s="77"/>
      <c r="F682" s="77"/>
    </row>
    <row r="683" spans="1:6">
      <c r="A683" s="77"/>
      <c r="B683" s="77"/>
      <c r="C683" s="77"/>
      <c r="D683" s="77"/>
      <c r="E683" s="77"/>
      <c r="F683" s="77"/>
    </row>
    <row r="684" spans="1:6">
      <c r="A684" s="77"/>
      <c r="B684" s="77"/>
      <c r="C684" s="77"/>
      <c r="D684" s="77"/>
      <c r="E684" s="77"/>
      <c r="F684" s="77"/>
    </row>
    <row r="685" spans="1:6">
      <c r="A685" s="77"/>
      <c r="B685" s="77"/>
      <c r="C685" s="77"/>
      <c r="D685" s="77"/>
      <c r="E685" s="77"/>
      <c r="F685" s="77"/>
    </row>
    <row r="686" spans="1:6">
      <c r="A686" s="77"/>
      <c r="B686" s="77"/>
      <c r="C686" s="77"/>
      <c r="D686" s="77"/>
      <c r="E686" s="77"/>
      <c r="F686" s="77"/>
    </row>
    <row r="687" spans="1:6">
      <c r="A687" s="77"/>
      <c r="B687" s="77"/>
      <c r="C687" s="77"/>
      <c r="D687" s="77"/>
      <c r="E687" s="77"/>
      <c r="F687" s="77"/>
    </row>
    <row r="688" spans="1:6">
      <c r="A688" s="77"/>
      <c r="B688" s="77"/>
      <c r="C688" s="77"/>
      <c r="D688" s="77"/>
      <c r="E688" s="77"/>
      <c r="F688" s="77"/>
    </row>
    <row r="689" spans="1:6">
      <c r="A689" s="77"/>
      <c r="B689" s="77"/>
      <c r="C689" s="77"/>
      <c r="D689" s="77"/>
      <c r="E689" s="77"/>
      <c r="F689" s="77"/>
    </row>
    <row r="690" spans="1:6">
      <c r="A690" s="77"/>
      <c r="B690" s="77"/>
      <c r="C690" s="77"/>
      <c r="D690" s="77"/>
      <c r="E690" s="77"/>
      <c r="F690" s="77"/>
    </row>
    <row r="691" spans="1:6">
      <c r="A691" s="77"/>
      <c r="B691" s="77"/>
      <c r="C691" s="77"/>
      <c r="D691" s="77"/>
      <c r="E691" s="77"/>
      <c r="F691" s="77"/>
    </row>
    <row r="692" spans="1:6">
      <c r="A692" s="77"/>
      <c r="B692" s="77"/>
      <c r="C692" s="77"/>
      <c r="D692" s="77"/>
      <c r="E692" s="77"/>
      <c r="F692" s="77"/>
    </row>
    <row r="693" spans="1:6">
      <c r="A693" s="77"/>
      <c r="B693" s="77"/>
      <c r="C693" s="77"/>
      <c r="D693" s="77"/>
      <c r="E693" s="77"/>
      <c r="F693" s="77"/>
    </row>
    <row r="694" spans="1:6">
      <c r="A694" s="77"/>
      <c r="B694" s="77"/>
      <c r="C694" s="77"/>
      <c r="D694" s="77"/>
      <c r="E694" s="77"/>
      <c r="F694" s="77"/>
    </row>
    <row r="695" spans="1:6">
      <c r="A695" s="77"/>
      <c r="B695" s="77"/>
      <c r="C695" s="77"/>
      <c r="D695" s="77"/>
      <c r="E695" s="77"/>
      <c r="F695" s="77"/>
    </row>
    <row r="696" spans="1:6">
      <c r="A696" s="77"/>
      <c r="B696" s="77"/>
      <c r="C696" s="77"/>
      <c r="D696" s="77"/>
      <c r="E696" s="77"/>
      <c r="F696" s="77"/>
    </row>
    <row r="697" spans="1:6">
      <c r="A697" s="77"/>
      <c r="B697" s="77"/>
      <c r="C697" s="77"/>
      <c r="D697" s="77"/>
      <c r="E697" s="77"/>
      <c r="F697" s="77"/>
    </row>
    <row r="698" spans="1:6">
      <c r="A698" s="77"/>
      <c r="B698" s="77"/>
      <c r="C698" s="77"/>
      <c r="D698" s="77"/>
      <c r="E698" s="77"/>
      <c r="F698" s="77"/>
    </row>
    <row r="699" spans="1:6">
      <c r="A699" s="77"/>
      <c r="B699" s="77"/>
      <c r="C699" s="77"/>
      <c r="D699" s="77"/>
      <c r="E699" s="77"/>
      <c r="F699" s="77"/>
    </row>
    <row r="700" spans="1:6">
      <c r="A700" s="77"/>
      <c r="B700" s="77"/>
      <c r="C700" s="77"/>
      <c r="D700" s="77"/>
      <c r="E700" s="77"/>
      <c r="F700" s="77"/>
    </row>
    <row r="701" spans="1:6">
      <c r="A701" s="77"/>
      <c r="B701" s="77"/>
      <c r="C701" s="77"/>
      <c r="D701" s="77"/>
      <c r="E701" s="77"/>
      <c r="F701" s="77"/>
    </row>
    <row r="702" spans="1:6">
      <c r="A702" s="77"/>
      <c r="B702" s="77"/>
      <c r="C702" s="77"/>
      <c r="D702" s="77"/>
      <c r="E702" s="77"/>
      <c r="F702" s="77"/>
    </row>
    <row r="703" spans="1:6">
      <c r="A703" s="77"/>
      <c r="B703" s="77"/>
      <c r="C703" s="77"/>
      <c r="D703" s="77"/>
      <c r="E703" s="77"/>
      <c r="F703" s="77"/>
    </row>
    <row r="704" spans="1:6">
      <c r="A704" s="77"/>
      <c r="B704" s="77"/>
      <c r="C704" s="77"/>
      <c r="D704" s="77"/>
      <c r="E704" s="77"/>
      <c r="F704" s="77"/>
    </row>
    <row r="705" spans="1:6">
      <c r="A705" s="77"/>
      <c r="B705" s="77"/>
      <c r="C705" s="77"/>
      <c r="D705" s="77"/>
      <c r="E705" s="77"/>
      <c r="F705" s="77"/>
    </row>
    <row r="706" spans="1:6">
      <c r="A706" s="77"/>
      <c r="B706" s="77"/>
      <c r="C706" s="77"/>
      <c r="D706" s="77"/>
      <c r="E706" s="77"/>
      <c r="F706" s="77"/>
    </row>
    <row r="707" spans="1:6">
      <c r="A707" s="77"/>
      <c r="B707" s="77"/>
      <c r="C707" s="77"/>
      <c r="D707" s="77"/>
      <c r="E707" s="77"/>
      <c r="F707" s="77"/>
    </row>
    <row r="708" spans="1:6">
      <c r="A708" s="77"/>
      <c r="B708" s="77"/>
      <c r="C708" s="77"/>
      <c r="D708" s="77"/>
      <c r="E708" s="77"/>
      <c r="F708" s="77"/>
    </row>
    <row r="709" spans="1:6">
      <c r="A709" s="77"/>
      <c r="B709" s="77"/>
      <c r="C709" s="77"/>
      <c r="D709" s="77"/>
      <c r="E709" s="77"/>
      <c r="F709" s="77"/>
    </row>
    <row r="710" spans="1:6">
      <c r="A710" s="77"/>
      <c r="B710" s="77"/>
      <c r="C710" s="77"/>
      <c r="D710" s="77"/>
      <c r="E710" s="77"/>
      <c r="F710" s="77"/>
    </row>
    <row r="711" spans="1:6">
      <c r="A711" s="77"/>
      <c r="B711" s="77"/>
      <c r="C711" s="77"/>
      <c r="D711" s="77"/>
      <c r="E711" s="77"/>
      <c r="F711" s="77"/>
    </row>
    <row r="712" spans="1:6">
      <c r="A712" s="77"/>
      <c r="B712" s="77"/>
      <c r="C712" s="77"/>
      <c r="D712" s="77"/>
      <c r="E712" s="77"/>
      <c r="F712" s="77"/>
    </row>
    <row r="713" spans="1:6">
      <c r="A713" s="77"/>
      <c r="B713" s="77"/>
      <c r="C713" s="77"/>
      <c r="D713" s="77"/>
      <c r="E713" s="77"/>
      <c r="F713" s="77"/>
    </row>
    <row r="714" spans="1:6">
      <c r="A714" s="77"/>
      <c r="B714" s="77"/>
      <c r="C714" s="77"/>
      <c r="D714" s="77"/>
      <c r="E714" s="77"/>
      <c r="F714" s="77"/>
    </row>
    <row r="715" spans="1:6">
      <c r="A715" s="77"/>
      <c r="B715" s="77"/>
      <c r="C715" s="77"/>
      <c r="D715" s="77"/>
      <c r="E715" s="77"/>
      <c r="F715" s="77"/>
    </row>
    <row r="716" spans="1:6">
      <c r="A716" s="77"/>
      <c r="B716" s="77"/>
      <c r="C716" s="77"/>
      <c r="D716" s="77"/>
      <c r="E716" s="77"/>
      <c r="F716" s="77"/>
    </row>
    <row r="717" spans="1:6">
      <c r="A717" s="77"/>
      <c r="B717" s="77"/>
      <c r="C717" s="77"/>
      <c r="D717" s="77"/>
      <c r="E717" s="77"/>
      <c r="F717" s="77"/>
    </row>
    <row r="718" spans="1:6">
      <c r="A718" s="77"/>
      <c r="B718" s="77"/>
      <c r="C718" s="77"/>
      <c r="D718" s="77"/>
      <c r="E718" s="77"/>
      <c r="F718" s="77"/>
    </row>
    <row r="719" spans="1:6">
      <c r="A719" s="77"/>
      <c r="B719" s="77"/>
      <c r="C719" s="77"/>
      <c r="D719" s="77"/>
      <c r="E719" s="77"/>
      <c r="F719" s="77"/>
    </row>
    <row r="720" spans="1:6">
      <c r="A720" s="77"/>
      <c r="B720" s="77"/>
      <c r="C720" s="77"/>
      <c r="D720" s="77"/>
      <c r="E720" s="77"/>
      <c r="F720" s="77"/>
    </row>
    <row r="721" spans="1:6">
      <c r="A721" s="77"/>
      <c r="B721" s="77"/>
      <c r="C721" s="77"/>
      <c r="D721" s="77"/>
      <c r="E721" s="77"/>
      <c r="F721" s="77"/>
    </row>
    <row r="722" spans="1:6">
      <c r="A722" s="77"/>
      <c r="B722" s="77"/>
      <c r="C722" s="77"/>
      <c r="D722" s="77"/>
      <c r="E722" s="77"/>
      <c r="F722" s="77"/>
    </row>
    <row r="723" spans="1:6">
      <c r="A723" s="77"/>
      <c r="B723" s="77"/>
      <c r="C723" s="77"/>
      <c r="D723" s="77"/>
      <c r="E723" s="77"/>
      <c r="F723" s="77"/>
    </row>
    <row r="724" spans="1:6">
      <c r="A724" s="77"/>
      <c r="B724" s="77"/>
      <c r="C724" s="77"/>
      <c r="D724" s="77"/>
      <c r="E724" s="77"/>
      <c r="F724" s="77"/>
    </row>
    <row r="725" spans="1:6">
      <c r="A725" s="77"/>
      <c r="B725" s="77"/>
      <c r="C725" s="77"/>
      <c r="D725" s="77"/>
      <c r="E725" s="77"/>
      <c r="F725" s="77"/>
    </row>
    <row r="726" spans="1:6">
      <c r="A726" s="77"/>
      <c r="B726" s="77"/>
      <c r="C726" s="77"/>
      <c r="D726" s="77"/>
      <c r="E726" s="77"/>
      <c r="F726" s="77"/>
    </row>
    <row r="727" spans="1:6">
      <c r="A727" s="77"/>
      <c r="B727" s="77"/>
      <c r="C727" s="77"/>
      <c r="D727" s="77"/>
      <c r="E727" s="77"/>
      <c r="F727" s="77"/>
    </row>
    <row r="728" spans="1:6">
      <c r="A728" s="77"/>
      <c r="B728" s="77"/>
      <c r="C728" s="77"/>
      <c r="D728" s="77"/>
      <c r="E728" s="77"/>
      <c r="F728" s="77"/>
    </row>
    <row r="729" spans="1:6">
      <c r="A729" s="77"/>
      <c r="B729" s="77"/>
      <c r="C729" s="77"/>
      <c r="D729" s="77"/>
      <c r="E729" s="77"/>
      <c r="F729" s="77"/>
    </row>
    <row r="730" spans="1:6">
      <c r="A730" s="77"/>
      <c r="B730" s="77"/>
      <c r="C730" s="77"/>
      <c r="D730" s="77"/>
      <c r="E730" s="77"/>
      <c r="F730" s="77"/>
    </row>
    <row r="731" spans="1:6">
      <c r="A731" s="77"/>
      <c r="B731" s="77"/>
      <c r="C731" s="77"/>
      <c r="D731" s="77"/>
      <c r="E731" s="77"/>
      <c r="F731" s="77"/>
    </row>
    <row r="732" spans="1:6">
      <c r="A732" s="77"/>
      <c r="B732" s="77"/>
      <c r="C732" s="77"/>
      <c r="D732" s="77"/>
      <c r="E732" s="77"/>
      <c r="F732" s="77"/>
    </row>
    <row r="733" spans="1:6">
      <c r="A733" s="77"/>
      <c r="B733" s="77"/>
      <c r="C733" s="77"/>
      <c r="D733" s="77"/>
      <c r="E733" s="77"/>
      <c r="F733" s="77"/>
    </row>
    <row r="734" spans="1:6">
      <c r="A734" s="77"/>
      <c r="B734" s="77"/>
      <c r="C734" s="77"/>
      <c r="D734" s="77"/>
      <c r="E734" s="77"/>
      <c r="F734" s="77"/>
    </row>
    <row r="735" spans="1:6">
      <c r="A735" s="77"/>
      <c r="B735" s="77"/>
      <c r="C735" s="77"/>
      <c r="D735" s="77"/>
      <c r="E735" s="77"/>
      <c r="F735" s="77"/>
    </row>
    <row r="736" spans="1:6">
      <c r="A736" s="77"/>
      <c r="B736" s="77"/>
      <c r="C736" s="77"/>
      <c r="D736" s="77"/>
      <c r="E736" s="77"/>
      <c r="F736" s="77"/>
    </row>
    <row r="737" spans="1:6">
      <c r="A737" s="77"/>
      <c r="B737" s="77"/>
      <c r="C737" s="77"/>
      <c r="D737" s="77"/>
      <c r="E737" s="77"/>
      <c r="F737" s="77"/>
    </row>
    <row r="738" spans="1:6">
      <c r="A738" s="77"/>
      <c r="B738" s="77"/>
      <c r="C738" s="77"/>
      <c r="D738" s="77"/>
      <c r="E738" s="77"/>
      <c r="F738" s="77"/>
    </row>
    <row r="739" spans="1:6">
      <c r="A739" s="77"/>
      <c r="B739" s="77"/>
      <c r="C739" s="77"/>
      <c r="D739" s="77"/>
      <c r="E739" s="77"/>
      <c r="F739" s="77"/>
    </row>
    <row r="740" spans="1:6">
      <c r="A740" s="77"/>
      <c r="B740" s="77"/>
      <c r="C740" s="77"/>
      <c r="D740" s="77"/>
      <c r="E740" s="77"/>
      <c r="F740" s="77"/>
    </row>
    <row r="741" spans="1:6">
      <c r="A741" s="77"/>
      <c r="B741" s="77"/>
      <c r="C741" s="77"/>
      <c r="D741" s="77"/>
      <c r="E741" s="77"/>
      <c r="F741" s="77"/>
    </row>
    <row r="742" spans="1:6">
      <c r="A742" s="77"/>
      <c r="B742" s="77"/>
      <c r="C742" s="77"/>
      <c r="D742" s="77"/>
      <c r="E742" s="77"/>
      <c r="F742" s="77"/>
    </row>
    <row r="743" spans="1:6">
      <c r="A743" s="77"/>
      <c r="B743" s="77"/>
      <c r="C743" s="77"/>
      <c r="D743" s="77"/>
      <c r="E743" s="77"/>
      <c r="F743" s="77"/>
    </row>
    <row r="744" spans="1:6">
      <c r="A744" s="77"/>
      <c r="B744" s="77"/>
      <c r="C744" s="77"/>
      <c r="D744" s="77"/>
      <c r="E744" s="77"/>
      <c r="F744" s="77"/>
    </row>
    <row r="745" spans="1:6">
      <c r="A745" s="77"/>
      <c r="B745" s="77"/>
      <c r="C745" s="77"/>
      <c r="D745" s="77"/>
      <c r="E745" s="77"/>
      <c r="F745" s="77"/>
    </row>
    <row r="746" spans="1:6">
      <c r="A746" s="77"/>
      <c r="B746" s="77"/>
      <c r="C746" s="77"/>
      <c r="D746" s="77"/>
      <c r="E746" s="77"/>
      <c r="F746" s="77"/>
    </row>
    <row r="747" spans="1:6">
      <c r="A747" s="77"/>
      <c r="B747" s="77"/>
      <c r="C747" s="77"/>
      <c r="D747" s="77"/>
      <c r="E747" s="77"/>
      <c r="F747" s="77"/>
    </row>
    <row r="748" spans="1:6">
      <c r="A748" s="77"/>
      <c r="B748" s="77"/>
      <c r="C748" s="77"/>
      <c r="D748" s="77"/>
      <c r="E748" s="77"/>
      <c r="F748" s="77"/>
    </row>
    <row r="749" spans="1:6">
      <c r="A749" s="77"/>
      <c r="B749" s="77"/>
      <c r="C749" s="77"/>
      <c r="D749" s="77"/>
      <c r="E749" s="77"/>
      <c r="F749" s="77"/>
    </row>
    <row r="750" spans="1:6">
      <c r="A750" s="77"/>
      <c r="B750" s="77"/>
      <c r="C750" s="77"/>
      <c r="D750" s="77"/>
      <c r="E750" s="77"/>
      <c r="F750" s="77"/>
    </row>
    <row r="751" spans="1:6">
      <c r="A751" s="77"/>
      <c r="B751" s="77"/>
      <c r="C751" s="77"/>
      <c r="D751" s="77"/>
      <c r="E751" s="77"/>
      <c r="F751" s="77"/>
    </row>
    <row r="752" spans="1:6">
      <c r="A752" s="77"/>
      <c r="B752" s="77"/>
      <c r="C752" s="77"/>
      <c r="D752" s="77"/>
      <c r="E752" s="77"/>
      <c r="F752" s="77"/>
    </row>
    <row r="753" spans="1:6">
      <c r="A753" s="77"/>
      <c r="B753" s="77"/>
      <c r="C753" s="77"/>
      <c r="D753" s="77"/>
      <c r="E753" s="77"/>
      <c r="F753" s="77"/>
    </row>
    <row r="754" spans="1:6">
      <c r="A754" s="77"/>
      <c r="B754" s="77"/>
      <c r="C754" s="77"/>
      <c r="D754" s="77"/>
      <c r="E754" s="77"/>
      <c r="F754" s="77"/>
    </row>
    <row r="755" spans="1:6">
      <c r="A755" s="77"/>
      <c r="B755" s="77"/>
      <c r="C755" s="77"/>
      <c r="D755" s="77"/>
      <c r="E755" s="77"/>
      <c r="F755" s="77"/>
    </row>
    <row r="756" spans="1:6">
      <c r="A756" s="77"/>
      <c r="B756" s="77"/>
      <c r="C756" s="77"/>
      <c r="D756" s="77"/>
      <c r="E756" s="77"/>
      <c r="F756" s="77"/>
    </row>
    <row r="757" spans="1:6">
      <c r="A757" s="77"/>
      <c r="B757" s="77"/>
      <c r="C757" s="77"/>
      <c r="D757" s="77"/>
      <c r="E757" s="77"/>
      <c r="F757" s="77"/>
    </row>
    <row r="758" spans="1:6">
      <c r="A758" s="77"/>
      <c r="B758" s="77"/>
      <c r="C758" s="77"/>
      <c r="D758" s="77"/>
      <c r="E758" s="77"/>
      <c r="F758" s="77"/>
    </row>
    <row r="759" spans="1:6">
      <c r="A759" s="77"/>
      <c r="B759" s="77"/>
      <c r="C759" s="77"/>
      <c r="D759" s="77"/>
      <c r="E759" s="77"/>
      <c r="F759" s="77"/>
    </row>
    <row r="760" spans="1:6">
      <c r="A760" s="77"/>
      <c r="B760" s="77"/>
      <c r="C760" s="77"/>
      <c r="D760" s="77"/>
      <c r="E760" s="77"/>
      <c r="F760" s="77"/>
    </row>
    <row r="761" spans="1:6">
      <c r="A761" s="77"/>
      <c r="B761" s="77"/>
      <c r="C761" s="77"/>
      <c r="D761" s="77"/>
      <c r="E761" s="77"/>
      <c r="F761" s="77"/>
    </row>
    <row r="762" spans="1:6">
      <c r="A762" s="77"/>
      <c r="B762" s="77"/>
      <c r="C762" s="77"/>
      <c r="D762" s="77"/>
      <c r="E762" s="77"/>
      <c r="F762" s="77"/>
    </row>
    <row r="763" spans="1:6">
      <c r="A763" s="77"/>
      <c r="B763" s="77"/>
      <c r="C763" s="77"/>
      <c r="D763" s="77"/>
      <c r="E763" s="77"/>
      <c r="F763" s="77"/>
    </row>
    <row r="764" spans="1:6">
      <c r="A764" s="77"/>
      <c r="B764" s="77"/>
      <c r="C764" s="77"/>
      <c r="D764" s="77"/>
      <c r="E764" s="77"/>
      <c r="F764" s="77"/>
    </row>
    <row r="765" spans="1:6">
      <c r="A765" s="77"/>
      <c r="B765" s="77"/>
      <c r="C765" s="77"/>
      <c r="D765" s="77"/>
      <c r="E765" s="77"/>
      <c r="F765" s="77"/>
    </row>
    <row r="766" spans="1:6">
      <c r="A766" s="77"/>
      <c r="B766" s="77"/>
      <c r="C766" s="77"/>
      <c r="D766" s="77"/>
      <c r="E766" s="77"/>
      <c r="F766" s="77"/>
    </row>
    <row r="767" spans="1:6">
      <c r="A767" s="77"/>
      <c r="B767" s="77"/>
      <c r="C767" s="77"/>
      <c r="D767" s="77"/>
      <c r="E767" s="77"/>
      <c r="F767" s="77"/>
    </row>
    <row r="768" spans="1:6">
      <c r="A768" s="77"/>
      <c r="B768" s="77"/>
      <c r="C768" s="77"/>
      <c r="D768" s="77"/>
      <c r="E768" s="77"/>
      <c r="F768" s="77"/>
    </row>
    <row r="769" spans="1:6">
      <c r="A769" s="77"/>
      <c r="B769" s="77"/>
      <c r="C769" s="77"/>
      <c r="D769" s="77"/>
      <c r="E769" s="77"/>
      <c r="F769" s="77"/>
    </row>
    <row r="770" spans="1:6">
      <c r="A770" s="77"/>
      <c r="B770" s="77"/>
      <c r="C770" s="77"/>
      <c r="D770" s="77"/>
      <c r="E770" s="77"/>
      <c r="F770" s="77"/>
    </row>
    <row r="771" spans="1:6">
      <c r="A771" s="77"/>
      <c r="B771" s="77"/>
      <c r="C771" s="77"/>
      <c r="D771" s="77"/>
      <c r="E771" s="77"/>
      <c r="F771" s="77"/>
    </row>
    <row r="772" spans="1:6">
      <c r="A772" s="77"/>
      <c r="B772" s="77"/>
      <c r="C772" s="77"/>
      <c r="D772" s="77"/>
      <c r="E772" s="77"/>
      <c r="F772" s="77"/>
    </row>
    <row r="773" spans="1:6">
      <c r="A773" s="77"/>
      <c r="B773" s="77"/>
      <c r="C773" s="77"/>
      <c r="D773" s="77"/>
      <c r="E773" s="77"/>
      <c r="F773" s="77"/>
    </row>
    <row r="774" spans="1:6">
      <c r="A774" s="77"/>
      <c r="B774" s="77"/>
      <c r="C774" s="77"/>
      <c r="D774" s="77"/>
      <c r="E774" s="77"/>
      <c r="F774" s="77"/>
    </row>
    <row r="775" spans="1:6">
      <c r="A775" s="77"/>
      <c r="B775" s="77"/>
      <c r="C775" s="77"/>
      <c r="D775" s="77"/>
      <c r="E775" s="77"/>
      <c r="F775" s="77"/>
    </row>
    <row r="776" spans="1:6">
      <c r="A776" s="77"/>
      <c r="B776" s="77"/>
      <c r="C776" s="77"/>
      <c r="D776" s="77"/>
      <c r="E776" s="77"/>
      <c r="F776" s="77"/>
    </row>
    <row r="777" spans="1:6">
      <c r="A777" s="77"/>
      <c r="B777" s="77"/>
      <c r="C777" s="77"/>
      <c r="D777" s="77"/>
      <c r="E777" s="77"/>
      <c r="F777" s="77"/>
    </row>
    <row r="778" spans="1:6">
      <c r="A778" s="77"/>
      <c r="B778" s="77"/>
      <c r="C778" s="77"/>
      <c r="D778" s="77"/>
      <c r="E778" s="77"/>
      <c r="F778" s="77"/>
    </row>
    <row r="779" spans="1:6">
      <c r="A779" s="77"/>
      <c r="B779" s="77"/>
      <c r="C779" s="77"/>
      <c r="D779" s="77"/>
      <c r="E779" s="77"/>
      <c r="F779" s="77"/>
    </row>
    <row r="780" spans="1:6">
      <c r="A780" s="77"/>
      <c r="B780" s="77"/>
      <c r="C780" s="77"/>
      <c r="D780" s="77"/>
      <c r="E780" s="77"/>
      <c r="F780" s="77"/>
    </row>
    <row r="781" spans="1:6">
      <c r="A781" s="77"/>
      <c r="B781" s="77"/>
      <c r="C781" s="77"/>
      <c r="D781" s="77"/>
      <c r="E781" s="77"/>
      <c r="F781" s="77"/>
    </row>
    <row r="782" spans="1:6">
      <c r="A782" s="77"/>
      <c r="B782" s="77"/>
      <c r="C782" s="77"/>
      <c r="D782" s="77"/>
      <c r="E782" s="77"/>
      <c r="F782" s="77"/>
    </row>
    <row r="783" spans="1:6">
      <c r="A783" s="77"/>
      <c r="B783" s="77"/>
      <c r="C783" s="77"/>
      <c r="D783" s="77"/>
      <c r="E783" s="77"/>
      <c r="F783" s="77"/>
    </row>
    <row r="784" spans="1:6">
      <c r="A784" s="77"/>
      <c r="B784" s="77"/>
      <c r="C784" s="77"/>
      <c r="D784" s="77"/>
      <c r="E784" s="77"/>
      <c r="F784" s="77"/>
    </row>
    <row r="785" spans="1:6">
      <c r="A785" s="77"/>
      <c r="B785" s="77"/>
      <c r="C785" s="77"/>
      <c r="D785" s="77"/>
      <c r="E785" s="77"/>
      <c r="F785" s="77"/>
    </row>
    <row r="786" spans="1:6">
      <c r="A786" s="77"/>
      <c r="B786" s="77"/>
      <c r="C786" s="77"/>
      <c r="D786" s="77"/>
      <c r="E786" s="77"/>
      <c r="F786" s="77"/>
    </row>
    <row r="787" spans="1:6">
      <c r="A787" s="77"/>
      <c r="B787" s="77"/>
      <c r="C787" s="77"/>
      <c r="D787" s="77"/>
      <c r="E787" s="77"/>
      <c r="F787" s="77"/>
    </row>
    <row r="788" spans="1:6">
      <c r="A788" s="77"/>
      <c r="B788" s="77"/>
      <c r="C788" s="77"/>
      <c r="D788" s="77"/>
      <c r="E788" s="77"/>
      <c r="F788" s="77"/>
    </row>
    <row r="789" spans="1:6">
      <c r="A789" s="77"/>
      <c r="B789" s="77"/>
      <c r="C789" s="77"/>
      <c r="D789" s="77"/>
      <c r="E789" s="77"/>
      <c r="F789" s="77"/>
    </row>
    <row r="790" spans="1:6">
      <c r="A790" s="77"/>
      <c r="B790" s="77"/>
      <c r="C790" s="77"/>
      <c r="D790" s="77"/>
      <c r="E790" s="77"/>
      <c r="F790" s="77"/>
    </row>
    <row r="791" spans="1:6">
      <c r="A791" s="77"/>
      <c r="B791" s="77"/>
      <c r="C791" s="77"/>
      <c r="D791" s="77"/>
      <c r="E791" s="77"/>
      <c r="F791" s="77"/>
    </row>
    <row r="792" spans="1:6">
      <c r="A792" s="77"/>
      <c r="B792" s="77"/>
      <c r="C792" s="77"/>
      <c r="D792" s="77"/>
      <c r="E792" s="77"/>
      <c r="F792" s="77"/>
    </row>
    <row r="793" spans="1:6">
      <c r="A793" s="77"/>
      <c r="B793" s="77"/>
      <c r="C793" s="77"/>
      <c r="D793" s="77"/>
      <c r="E793" s="77"/>
      <c r="F793" s="77"/>
    </row>
    <row r="794" spans="1:6">
      <c r="A794" s="77"/>
      <c r="B794" s="77"/>
      <c r="C794" s="77"/>
      <c r="D794" s="77"/>
      <c r="E794" s="77"/>
      <c r="F794" s="77"/>
    </row>
    <row r="795" spans="1:6">
      <c r="A795" s="77"/>
      <c r="B795" s="77"/>
      <c r="C795" s="77"/>
      <c r="D795" s="77"/>
      <c r="E795" s="77"/>
      <c r="F795" s="77"/>
    </row>
    <row r="796" spans="1:6">
      <c r="A796" s="77"/>
      <c r="B796" s="77"/>
      <c r="C796" s="77"/>
      <c r="D796" s="77"/>
      <c r="E796" s="77"/>
      <c r="F796" s="77"/>
    </row>
    <row r="797" spans="1:6">
      <c r="A797" s="77"/>
      <c r="B797" s="77"/>
      <c r="C797" s="77"/>
      <c r="D797" s="77"/>
      <c r="E797" s="77"/>
      <c r="F797" s="77"/>
    </row>
    <row r="798" spans="1:6">
      <c r="A798" s="77"/>
      <c r="B798" s="77"/>
      <c r="C798" s="77"/>
      <c r="D798" s="77"/>
      <c r="E798" s="77"/>
      <c r="F798" s="77"/>
    </row>
    <row r="799" spans="1:6">
      <c r="A799" s="77"/>
      <c r="B799" s="77"/>
      <c r="C799" s="77"/>
      <c r="D799" s="77"/>
      <c r="E799" s="77"/>
      <c r="F799" s="77"/>
    </row>
    <row r="800" spans="1:6">
      <c r="A800" s="77"/>
      <c r="B800" s="77"/>
      <c r="C800" s="77"/>
      <c r="D800" s="77"/>
      <c r="E800" s="77"/>
      <c r="F800" s="77"/>
    </row>
    <row r="801" spans="1:6">
      <c r="A801" s="77"/>
      <c r="B801" s="77"/>
      <c r="C801" s="77"/>
      <c r="D801" s="77"/>
      <c r="E801" s="77"/>
      <c r="F801" s="77"/>
    </row>
    <row r="802" spans="1:6">
      <c r="A802" s="77"/>
      <c r="B802" s="77"/>
      <c r="C802" s="77"/>
      <c r="D802" s="77"/>
      <c r="E802" s="77"/>
      <c r="F802" s="77"/>
    </row>
    <row r="803" spans="1:6">
      <c r="A803" s="77"/>
      <c r="B803" s="77"/>
      <c r="C803" s="77"/>
      <c r="D803" s="77"/>
      <c r="E803" s="77"/>
      <c r="F803" s="77"/>
    </row>
    <row r="804" spans="1:6">
      <c r="A804" s="77"/>
      <c r="B804" s="77"/>
      <c r="C804" s="77"/>
      <c r="D804" s="77"/>
      <c r="E804" s="77"/>
      <c r="F804" s="77"/>
    </row>
    <row r="805" spans="1:6">
      <c r="A805" s="77"/>
      <c r="B805" s="77"/>
      <c r="C805" s="77"/>
      <c r="D805" s="77"/>
      <c r="E805" s="77"/>
      <c r="F805" s="77"/>
    </row>
    <row r="806" spans="1:6">
      <c r="A806" s="77"/>
      <c r="B806" s="77"/>
      <c r="C806" s="77"/>
      <c r="D806" s="77"/>
      <c r="E806" s="77"/>
      <c r="F806" s="77"/>
    </row>
    <row r="807" spans="1:6">
      <c r="A807" s="77"/>
      <c r="B807" s="77"/>
      <c r="C807" s="77"/>
      <c r="D807" s="77"/>
      <c r="E807" s="77"/>
      <c r="F807" s="77"/>
    </row>
    <row r="808" spans="1:6">
      <c r="A808" s="77"/>
      <c r="B808" s="77"/>
      <c r="C808" s="77"/>
      <c r="D808" s="77"/>
      <c r="E808" s="77"/>
      <c r="F808" s="77"/>
    </row>
    <row r="809" spans="1:6">
      <c r="A809" s="77"/>
      <c r="B809" s="77"/>
      <c r="C809" s="77"/>
      <c r="D809" s="77"/>
      <c r="E809" s="77"/>
      <c r="F809" s="77"/>
    </row>
    <row r="810" spans="1:6">
      <c r="A810" s="77"/>
      <c r="B810" s="77"/>
      <c r="C810" s="77"/>
      <c r="D810" s="77"/>
      <c r="E810" s="77"/>
      <c r="F810" s="77"/>
    </row>
    <row r="811" spans="1:6">
      <c r="A811" s="77"/>
      <c r="B811" s="77"/>
      <c r="C811" s="77"/>
      <c r="D811" s="77"/>
      <c r="E811" s="77"/>
      <c r="F811" s="77"/>
    </row>
    <row r="812" spans="1:6">
      <c r="A812" s="77"/>
      <c r="B812" s="77"/>
      <c r="C812" s="77"/>
      <c r="D812" s="77"/>
      <c r="E812" s="77"/>
      <c r="F812" s="77"/>
    </row>
    <row r="813" spans="1:6">
      <c r="A813" s="77"/>
      <c r="B813" s="77"/>
      <c r="C813" s="77"/>
      <c r="D813" s="77"/>
      <c r="E813" s="77"/>
      <c r="F813" s="77"/>
    </row>
    <row r="814" spans="1:6">
      <c r="A814" s="77"/>
      <c r="B814" s="77"/>
      <c r="C814" s="77"/>
      <c r="D814" s="77"/>
      <c r="E814" s="77"/>
      <c r="F814" s="77"/>
    </row>
    <row r="815" spans="1:6">
      <c r="A815" s="77"/>
      <c r="B815" s="77"/>
      <c r="C815" s="77"/>
      <c r="D815" s="77"/>
      <c r="E815" s="77"/>
      <c r="F815" s="77"/>
    </row>
    <row r="816" spans="1:6">
      <c r="A816" s="77"/>
      <c r="B816" s="77"/>
      <c r="C816" s="77"/>
      <c r="D816" s="77"/>
      <c r="E816" s="77"/>
      <c r="F816" s="77"/>
    </row>
    <row r="817" spans="1:6">
      <c r="A817" s="77"/>
      <c r="B817" s="77"/>
      <c r="C817" s="77"/>
      <c r="D817" s="77"/>
      <c r="E817" s="77"/>
      <c r="F817" s="77"/>
    </row>
    <row r="818" spans="1:6">
      <c r="A818" s="77"/>
      <c r="B818" s="77"/>
      <c r="C818" s="77"/>
      <c r="D818" s="77"/>
      <c r="E818" s="77"/>
      <c r="F818" s="77"/>
    </row>
    <row r="819" spans="1:6">
      <c r="A819" s="77"/>
      <c r="B819" s="77"/>
      <c r="C819" s="77"/>
      <c r="D819" s="77"/>
      <c r="E819" s="77"/>
      <c r="F819" s="77"/>
    </row>
    <row r="820" spans="1:6">
      <c r="A820" s="77"/>
      <c r="B820" s="77"/>
      <c r="C820" s="77"/>
      <c r="D820" s="77"/>
      <c r="E820" s="77"/>
      <c r="F820" s="77"/>
    </row>
    <row r="821" spans="1:6">
      <c r="A821" s="77"/>
      <c r="B821" s="77"/>
      <c r="C821" s="77"/>
      <c r="D821" s="77"/>
      <c r="E821" s="77"/>
      <c r="F821" s="77"/>
    </row>
    <row r="822" spans="1:6">
      <c r="A822" s="77"/>
      <c r="B822" s="77"/>
      <c r="C822" s="77"/>
      <c r="D822" s="77"/>
      <c r="E822" s="77"/>
      <c r="F822" s="77"/>
    </row>
    <row r="823" spans="1:6">
      <c r="A823" s="77"/>
      <c r="B823" s="77"/>
      <c r="C823" s="77"/>
      <c r="D823" s="77"/>
      <c r="E823" s="77"/>
      <c r="F823" s="77"/>
    </row>
    <row r="824" spans="1:6">
      <c r="A824" s="77"/>
      <c r="B824" s="77"/>
      <c r="C824" s="77"/>
      <c r="D824" s="77"/>
      <c r="E824" s="77"/>
      <c r="F824" s="77"/>
    </row>
    <row r="825" spans="1:6">
      <c r="A825" s="77"/>
      <c r="B825" s="77"/>
      <c r="C825" s="77"/>
      <c r="D825" s="77"/>
      <c r="E825" s="77"/>
      <c r="F825" s="77"/>
    </row>
    <row r="826" spans="1:6">
      <c r="A826" s="77"/>
      <c r="B826" s="77"/>
      <c r="C826" s="77"/>
      <c r="D826" s="77"/>
      <c r="E826" s="77"/>
      <c r="F826" s="77"/>
    </row>
    <row r="827" spans="1:6">
      <c r="A827" s="77"/>
      <c r="B827" s="77"/>
      <c r="C827" s="77"/>
      <c r="D827" s="77"/>
      <c r="E827" s="77"/>
      <c r="F827" s="77"/>
    </row>
    <row r="828" spans="1:6">
      <c r="A828" s="77"/>
      <c r="B828" s="77"/>
      <c r="C828" s="77"/>
      <c r="D828" s="77"/>
      <c r="E828" s="77"/>
      <c r="F828" s="77"/>
    </row>
    <row r="829" spans="1:6">
      <c r="A829" s="77"/>
      <c r="B829" s="77"/>
      <c r="C829" s="77"/>
      <c r="D829" s="77"/>
      <c r="E829" s="77"/>
      <c r="F829" s="77"/>
    </row>
    <row r="830" spans="1:6">
      <c r="A830" s="77"/>
      <c r="B830" s="77"/>
      <c r="C830" s="77"/>
      <c r="D830" s="77"/>
      <c r="E830" s="77"/>
      <c r="F830" s="77"/>
    </row>
    <row r="831" spans="1:6">
      <c r="A831" s="77"/>
      <c r="B831" s="77"/>
      <c r="C831" s="77"/>
      <c r="D831" s="77"/>
      <c r="E831" s="77"/>
      <c r="F831" s="77"/>
    </row>
    <row r="832" spans="1:6">
      <c r="A832" s="77"/>
      <c r="B832" s="77"/>
      <c r="C832" s="77"/>
      <c r="D832" s="77"/>
      <c r="E832" s="77"/>
      <c r="F832" s="77"/>
    </row>
    <row r="833" spans="1:6">
      <c r="A833" s="77"/>
      <c r="B833" s="77"/>
      <c r="C833" s="77"/>
      <c r="D833" s="77"/>
      <c r="E833" s="77"/>
      <c r="F833" s="77"/>
    </row>
    <row r="834" spans="1:6">
      <c r="A834" s="77"/>
      <c r="B834" s="77"/>
      <c r="C834" s="77"/>
      <c r="D834" s="77"/>
      <c r="E834" s="77"/>
      <c r="F834" s="77"/>
    </row>
    <row r="835" spans="1:6">
      <c r="A835" s="77"/>
      <c r="B835" s="77"/>
      <c r="C835" s="77"/>
      <c r="D835" s="77"/>
      <c r="E835" s="77"/>
      <c r="F835" s="77"/>
    </row>
    <row r="836" spans="1:6">
      <c r="A836" s="77"/>
      <c r="B836" s="77"/>
      <c r="C836" s="77"/>
      <c r="D836" s="77"/>
      <c r="E836" s="77"/>
      <c r="F836" s="77"/>
    </row>
    <row r="837" spans="1:6">
      <c r="A837" s="77"/>
      <c r="B837" s="77"/>
      <c r="C837" s="77"/>
      <c r="D837" s="77"/>
      <c r="E837" s="77"/>
      <c r="F837" s="77"/>
    </row>
    <row r="838" spans="1:6">
      <c r="A838" s="77"/>
      <c r="B838" s="77"/>
      <c r="C838" s="77"/>
      <c r="D838" s="77"/>
      <c r="E838" s="77"/>
      <c r="F838" s="77"/>
    </row>
    <row r="839" spans="1:6">
      <c r="A839" s="77"/>
      <c r="B839" s="77"/>
      <c r="C839" s="77"/>
      <c r="D839" s="77"/>
      <c r="E839" s="77"/>
      <c r="F839" s="77"/>
    </row>
    <row r="840" spans="1:6">
      <c r="A840" s="77"/>
      <c r="B840" s="77"/>
      <c r="C840" s="77"/>
      <c r="D840" s="77"/>
      <c r="E840" s="77"/>
      <c r="F840" s="77"/>
    </row>
    <row r="841" spans="1:6">
      <c r="A841" s="77"/>
      <c r="B841" s="77"/>
      <c r="C841" s="77"/>
      <c r="D841" s="77"/>
      <c r="E841" s="77"/>
      <c r="F841" s="77"/>
    </row>
    <row r="842" spans="1:6">
      <c r="A842" s="77"/>
      <c r="B842" s="77"/>
      <c r="C842" s="77"/>
      <c r="D842" s="77"/>
      <c r="E842" s="77"/>
      <c r="F842" s="77"/>
    </row>
    <row r="843" spans="1:6">
      <c r="A843" s="77"/>
      <c r="B843" s="77"/>
      <c r="C843" s="77"/>
      <c r="D843" s="77"/>
      <c r="E843" s="77"/>
      <c r="F843" s="77"/>
    </row>
    <row r="844" spans="1:6">
      <c r="A844" s="77"/>
      <c r="B844" s="77"/>
      <c r="C844" s="77"/>
      <c r="D844" s="77"/>
      <c r="E844" s="77"/>
      <c r="F844" s="77"/>
    </row>
    <row r="845" spans="1:6">
      <c r="A845" s="77"/>
      <c r="B845" s="77"/>
      <c r="C845" s="77"/>
      <c r="D845" s="77"/>
      <c r="E845" s="77"/>
      <c r="F845" s="77"/>
    </row>
    <row r="846" spans="1:6">
      <c r="A846" s="77"/>
      <c r="B846" s="77"/>
      <c r="C846" s="77"/>
      <c r="D846" s="77"/>
      <c r="E846" s="77"/>
      <c r="F846" s="77"/>
    </row>
    <row r="847" spans="1:6">
      <c r="A847" s="77"/>
      <c r="B847" s="77"/>
      <c r="C847" s="77"/>
      <c r="D847" s="77"/>
      <c r="E847" s="77"/>
      <c r="F847" s="77"/>
    </row>
    <row r="848" spans="1:6">
      <c r="A848" s="77"/>
      <c r="B848" s="77"/>
      <c r="C848" s="77"/>
      <c r="D848" s="77"/>
      <c r="E848" s="77"/>
      <c r="F848" s="77"/>
    </row>
    <row r="849" spans="1:6">
      <c r="A849" s="77"/>
      <c r="B849" s="77"/>
      <c r="C849" s="77"/>
      <c r="D849" s="77"/>
      <c r="E849" s="77"/>
      <c r="F849" s="77"/>
    </row>
    <row r="850" spans="1:6">
      <c r="A850" s="77"/>
      <c r="B850" s="77"/>
      <c r="C850" s="77"/>
      <c r="D850" s="77"/>
      <c r="E850" s="77"/>
      <c r="F850" s="77"/>
    </row>
    <row r="851" spans="1:6">
      <c r="A851" s="77"/>
      <c r="B851" s="77"/>
      <c r="C851" s="77"/>
      <c r="D851" s="77"/>
      <c r="E851" s="77"/>
      <c r="F851" s="77"/>
    </row>
    <row r="852" spans="1:6">
      <c r="A852" s="77"/>
      <c r="B852" s="77"/>
      <c r="C852" s="77"/>
      <c r="D852" s="77"/>
      <c r="E852" s="77"/>
      <c r="F852" s="77"/>
    </row>
    <row r="853" spans="1:6">
      <c r="A853" s="77"/>
      <c r="B853" s="77"/>
      <c r="C853" s="77"/>
      <c r="D853" s="77"/>
      <c r="E853" s="77"/>
      <c r="F853" s="77"/>
    </row>
    <row r="854" spans="1:6">
      <c r="A854" s="77"/>
      <c r="B854" s="77"/>
      <c r="C854" s="77"/>
      <c r="D854" s="77"/>
      <c r="E854" s="77"/>
      <c r="F854" s="77"/>
    </row>
    <row r="855" spans="1:6">
      <c r="A855" s="77"/>
      <c r="B855" s="77"/>
      <c r="C855" s="77"/>
      <c r="D855" s="77"/>
      <c r="E855" s="77"/>
      <c r="F855" s="77"/>
    </row>
    <row r="856" spans="1:6">
      <c r="A856" s="77"/>
      <c r="B856" s="77"/>
      <c r="C856" s="77"/>
      <c r="D856" s="77"/>
      <c r="E856" s="77"/>
      <c r="F856" s="77"/>
    </row>
    <row r="857" spans="1:6">
      <c r="A857" s="77"/>
      <c r="B857" s="77"/>
      <c r="C857" s="77"/>
      <c r="D857" s="77"/>
      <c r="E857" s="77"/>
      <c r="F857" s="77"/>
    </row>
    <row r="858" spans="1:6">
      <c r="A858" s="77"/>
      <c r="B858" s="77"/>
      <c r="C858" s="77"/>
      <c r="D858" s="77"/>
      <c r="E858" s="77"/>
      <c r="F858" s="77"/>
    </row>
    <row r="859" spans="1:6">
      <c r="A859" s="77"/>
      <c r="B859" s="77"/>
      <c r="C859" s="77"/>
      <c r="D859" s="77"/>
      <c r="E859" s="77"/>
      <c r="F859" s="77"/>
    </row>
    <row r="860" spans="1:6">
      <c r="A860" s="77"/>
      <c r="B860" s="77"/>
      <c r="C860" s="77"/>
      <c r="D860" s="77"/>
      <c r="E860" s="77"/>
      <c r="F860" s="77"/>
    </row>
    <row r="861" spans="1:6">
      <c r="A861" s="77"/>
      <c r="B861" s="77"/>
      <c r="C861" s="77"/>
      <c r="D861" s="77"/>
      <c r="E861" s="77"/>
      <c r="F861" s="77"/>
    </row>
    <row r="862" spans="1:6">
      <c r="A862" s="77"/>
      <c r="B862" s="77"/>
      <c r="C862" s="77"/>
      <c r="D862" s="77"/>
      <c r="E862" s="77"/>
      <c r="F862" s="77"/>
    </row>
    <row r="863" spans="1:6">
      <c r="A863" s="77"/>
      <c r="B863" s="77"/>
      <c r="C863" s="77"/>
      <c r="D863" s="77"/>
      <c r="E863" s="77"/>
      <c r="F863" s="77"/>
    </row>
    <row r="864" spans="1:6">
      <c r="A864" s="77"/>
      <c r="B864" s="77"/>
      <c r="C864" s="77"/>
      <c r="D864" s="77"/>
      <c r="E864" s="77"/>
      <c r="F864" s="77"/>
    </row>
    <row r="865" spans="1:6">
      <c r="A865" s="77"/>
      <c r="B865" s="77"/>
      <c r="C865" s="77"/>
      <c r="D865" s="77"/>
      <c r="E865" s="77"/>
      <c r="F865" s="77"/>
    </row>
    <row r="866" spans="1:6">
      <c r="A866" s="77"/>
      <c r="B866" s="77"/>
      <c r="C866" s="77"/>
      <c r="D866" s="77"/>
      <c r="E866" s="77"/>
      <c r="F866" s="77"/>
    </row>
    <row r="867" spans="1:6">
      <c r="A867" s="77"/>
      <c r="B867" s="77"/>
      <c r="C867" s="77"/>
      <c r="D867" s="77"/>
      <c r="E867" s="77"/>
      <c r="F867" s="77"/>
    </row>
    <row r="868" spans="1:6">
      <c r="A868" s="77"/>
      <c r="B868" s="77"/>
      <c r="C868" s="77"/>
      <c r="D868" s="77"/>
      <c r="E868" s="77"/>
      <c r="F868" s="77"/>
    </row>
    <row r="869" spans="1:6">
      <c r="A869" s="77"/>
      <c r="B869" s="77"/>
      <c r="C869" s="77"/>
      <c r="D869" s="77"/>
      <c r="E869" s="77"/>
      <c r="F869" s="77"/>
    </row>
    <row r="870" spans="1:6">
      <c r="A870" s="77"/>
      <c r="B870" s="77"/>
      <c r="C870" s="77"/>
      <c r="D870" s="77"/>
      <c r="E870" s="77"/>
      <c r="F870" s="77"/>
    </row>
    <row r="871" spans="1:6">
      <c r="A871" s="77"/>
      <c r="B871" s="77"/>
      <c r="C871" s="77"/>
      <c r="D871" s="77"/>
      <c r="E871" s="77"/>
      <c r="F871" s="77"/>
    </row>
    <row r="872" spans="1:6">
      <c r="A872" s="77"/>
      <c r="B872" s="77"/>
      <c r="C872" s="77"/>
      <c r="D872" s="77"/>
      <c r="E872" s="77"/>
      <c r="F872" s="77"/>
    </row>
    <row r="873" spans="1:6">
      <c r="A873" s="77"/>
      <c r="B873" s="77"/>
      <c r="C873" s="77"/>
      <c r="D873" s="77"/>
      <c r="E873" s="77"/>
      <c r="F873" s="77"/>
    </row>
    <row r="874" spans="1:6">
      <c r="A874" s="77"/>
      <c r="B874" s="77"/>
      <c r="C874" s="77"/>
      <c r="D874" s="77"/>
      <c r="E874" s="77"/>
      <c r="F874" s="77"/>
    </row>
    <row r="875" spans="1:6">
      <c r="A875" s="77"/>
      <c r="B875" s="77"/>
      <c r="C875" s="77"/>
      <c r="D875" s="77"/>
      <c r="E875" s="77"/>
      <c r="F875" s="77"/>
    </row>
    <row r="876" spans="1:6">
      <c r="A876" s="77"/>
      <c r="B876" s="77"/>
      <c r="C876" s="77"/>
      <c r="D876" s="77"/>
      <c r="E876" s="77"/>
      <c r="F876" s="77"/>
    </row>
  </sheetData>
  <sheetProtection algorithmName="SHA-512" hashValue="MkkzAuoiLxbGV+9dCzOmrydHJVLtAQTl/4rMYwgJ25+LD4Vl/sDmmqK6kD4EYOchTc16tt2w1rZJ2uop3AsWUg==" saltValue="eTohZsoWluNYgZa5dRd0xg==" spinCount="100000" sheet="1" objects="1" scenarios="1"/>
  <mergeCells count="15">
    <mergeCell ref="A187:F187"/>
    <mergeCell ref="A287:C287"/>
    <mergeCell ref="A289:F289"/>
    <mergeCell ref="A84:F84"/>
    <mergeCell ref="A98:F98"/>
    <mergeCell ref="A120:F120"/>
    <mergeCell ref="A139:F139"/>
    <mergeCell ref="A159:F159"/>
    <mergeCell ref="A174:F174"/>
    <mergeCell ref="A1:A2"/>
    <mergeCell ref="A3:F3"/>
    <mergeCell ref="A11:F11"/>
    <mergeCell ref="A32:F32"/>
    <mergeCell ref="A67:C67"/>
    <mergeCell ref="A70:F70"/>
  </mergeCells>
  <conditionalFormatting sqref="C4">
    <cfRule type="containsText" dxfId="75" priority="76" stopIfTrue="1" operator="containsText" text="Please">
      <formula>NOT(ISERROR(SEARCH("Please",C4)))</formula>
    </cfRule>
  </conditionalFormatting>
  <conditionalFormatting sqref="B118:B134 B15:B97">
    <cfRule type="containsText" dxfId="74" priority="74" stopIfTrue="1" operator="containsText" text="Does not apply to selected family">
      <formula>NOT(ISERROR(SEARCH("Does not apply to selected family",B15)))</formula>
    </cfRule>
    <cfRule type="containsText" dxfId="73" priority="75" stopIfTrue="1" operator="containsText" text="Insufficient">
      <formula>NOT(ISERROR(SEARCH("Insufficient",B15)))</formula>
    </cfRule>
  </conditionalFormatting>
  <conditionalFormatting sqref="B185:B224 B139:B171 B173:B180 B226:B286">
    <cfRule type="containsText" dxfId="72" priority="6" stopIfTrue="1" operator="containsText" text="Does not apply to selected family">
      <formula>NOT(ISERROR(SEARCH("Does not apply to selected family",B139)))</formula>
    </cfRule>
    <cfRule type="containsText" dxfId="71" priority="69" stopIfTrue="1" operator="containsText" text="Insufficient">
      <formula>NOT(ISERROR(SEARCH("Insufficient",B139)))</formula>
    </cfRule>
  </conditionalFormatting>
  <conditionalFormatting sqref="D185:D224 D1:D32 D118:D171 D173:D180 D226:D286 D34:D97">
    <cfRule type="containsText" dxfId="70" priority="71" stopIfTrue="1" operator="containsText" text="N/A">
      <formula>NOT(ISERROR(SEARCH("N/A",D1)))</formula>
    </cfRule>
    <cfRule type="containsText" dxfId="69" priority="72" stopIfTrue="1" operator="containsText" text="Problem">
      <formula>NOT(ISERROR(SEARCH("Problem",D1)))</formula>
    </cfRule>
    <cfRule type="containsText" dxfId="68" priority="73" stopIfTrue="1" operator="containsText" text="OK">
      <formula>NOT(ISERROR(SEARCH("OK",D1)))</formula>
    </cfRule>
  </conditionalFormatting>
  <conditionalFormatting sqref="C5:C9">
    <cfRule type="containsText" dxfId="67" priority="68" stopIfTrue="1" operator="containsText" text="Please">
      <formula>NOT(ISERROR(SEARCH("Please",C5)))</formula>
    </cfRule>
  </conditionalFormatting>
  <conditionalFormatting sqref="B287">
    <cfRule type="containsText" dxfId="66" priority="66" stopIfTrue="1" operator="containsText" text="Does not apply to selected family">
      <formula>NOT(ISERROR(SEARCH("Does not apply to selected family",B287)))</formula>
    </cfRule>
    <cfRule type="containsText" dxfId="65" priority="67" stopIfTrue="1" operator="containsText" text="Insufficient">
      <formula>NOT(ISERROR(SEARCH("Insufficient",B287)))</formula>
    </cfRule>
  </conditionalFormatting>
  <conditionalFormatting sqref="B181:B184">
    <cfRule type="containsText" dxfId="64" priority="61" stopIfTrue="1" operator="containsText" text="Does not apply to selected family">
      <formula>NOT(ISERROR(SEARCH("Does not apply to selected family",B181)))</formula>
    </cfRule>
    <cfRule type="containsText" dxfId="63" priority="62" stopIfTrue="1" operator="containsText" text="Insufficient">
      <formula>NOT(ISERROR(SEARCH("Insufficient",B181)))</formula>
    </cfRule>
  </conditionalFormatting>
  <conditionalFormatting sqref="D181:D184">
    <cfRule type="containsText" dxfId="62" priority="63" stopIfTrue="1" operator="containsText" text="N/A">
      <formula>NOT(ISERROR(SEARCH("N/A",D181)))</formula>
    </cfRule>
    <cfRule type="containsText" dxfId="61" priority="64" stopIfTrue="1" operator="containsText" text="Problem">
      <formula>NOT(ISERROR(SEARCH("Problem",D181)))</formula>
    </cfRule>
    <cfRule type="containsText" dxfId="60" priority="65" stopIfTrue="1" operator="containsText" text="OK">
      <formula>NOT(ISERROR(SEARCH("OK",D181)))</formula>
    </cfRule>
  </conditionalFormatting>
  <conditionalFormatting sqref="B98:B109">
    <cfRule type="containsText" dxfId="59" priority="59" stopIfTrue="1" operator="containsText" text="Does not apply to selected family">
      <formula>NOT(ISERROR(SEARCH("Does not apply to selected family",B98)))</formula>
    </cfRule>
    <cfRule type="containsText" dxfId="58" priority="60" stopIfTrue="1" operator="containsText" text="Insufficient">
      <formula>NOT(ISERROR(SEARCH("Insufficient",B98)))</formula>
    </cfRule>
  </conditionalFormatting>
  <conditionalFormatting sqref="D98:D109">
    <cfRule type="containsText" dxfId="57" priority="56" stopIfTrue="1" operator="containsText" text="N/A">
      <formula>NOT(ISERROR(SEARCH("N/A",D98)))</formula>
    </cfRule>
    <cfRule type="containsText" dxfId="56" priority="57" stopIfTrue="1" operator="containsText" text="Problem">
      <formula>NOT(ISERROR(SEARCH("Problem",D98)))</formula>
    </cfRule>
    <cfRule type="containsText" dxfId="55" priority="58" stopIfTrue="1" operator="containsText" text="OK">
      <formula>NOT(ISERROR(SEARCH("OK",D98)))</formula>
    </cfRule>
  </conditionalFormatting>
  <conditionalFormatting sqref="B110">
    <cfRule type="containsText" dxfId="54" priority="54" stopIfTrue="1" operator="containsText" text="Does not apply to selected family">
      <formula>NOT(ISERROR(SEARCH("Does not apply to selected family",B110)))</formula>
    </cfRule>
    <cfRule type="containsText" dxfId="53" priority="55" stopIfTrue="1" operator="containsText" text="Insufficient">
      <formula>NOT(ISERROR(SEARCH("Insufficient",B110)))</formula>
    </cfRule>
  </conditionalFormatting>
  <conditionalFormatting sqref="D110">
    <cfRule type="containsText" dxfId="52" priority="51" stopIfTrue="1" operator="containsText" text="N/A">
      <formula>NOT(ISERROR(SEARCH("N/A",D110)))</formula>
    </cfRule>
    <cfRule type="containsText" dxfId="51" priority="52" stopIfTrue="1" operator="containsText" text="Problem">
      <formula>NOT(ISERROR(SEARCH("Problem",D110)))</formula>
    </cfRule>
    <cfRule type="containsText" dxfId="50" priority="53" stopIfTrue="1" operator="containsText" text="OK">
      <formula>NOT(ISERROR(SEARCH("OK",D110)))</formula>
    </cfRule>
  </conditionalFormatting>
  <conditionalFormatting sqref="B111">
    <cfRule type="containsText" dxfId="49" priority="49" stopIfTrue="1" operator="containsText" text="Does not apply to selected family">
      <formula>NOT(ISERROR(SEARCH("Does not apply to selected family",B111)))</formula>
    </cfRule>
    <cfRule type="containsText" dxfId="48" priority="50" stopIfTrue="1" operator="containsText" text="Insufficient">
      <formula>NOT(ISERROR(SEARCH("Insufficient",B111)))</formula>
    </cfRule>
  </conditionalFormatting>
  <conditionalFormatting sqref="D111">
    <cfRule type="containsText" dxfId="47" priority="46" stopIfTrue="1" operator="containsText" text="N/A">
      <formula>NOT(ISERROR(SEARCH("N/A",D111)))</formula>
    </cfRule>
    <cfRule type="containsText" dxfId="46" priority="47" stopIfTrue="1" operator="containsText" text="Problem">
      <formula>NOT(ISERROR(SEARCH("Problem",D111)))</formula>
    </cfRule>
    <cfRule type="containsText" dxfId="45" priority="48" stopIfTrue="1" operator="containsText" text="OK">
      <formula>NOT(ISERROR(SEARCH("OK",D111)))</formula>
    </cfRule>
  </conditionalFormatting>
  <conditionalFormatting sqref="B112">
    <cfRule type="containsText" dxfId="44" priority="44" stopIfTrue="1" operator="containsText" text="Does not apply to selected family">
      <formula>NOT(ISERROR(SEARCH("Does not apply to selected family",B112)))</formula>
    </cfRule>
    <cfRule type="containsText" dxfId="43" priority="45" stopIfTrue="1" operator="containsText" text="Insufficient">
      <formula>NOT(ISERROR(SEARCH("Insufficient",B112)))</formula>
    </cfRule>
  </conditionalFormatting>
  <conditionalFormatting sqref="D112">
    <cfRule type="containsText" dxfId="42" priority="41" stopIfTrue="1" operator="containsText" text="N/A">
      <formula>NOT(ISERROR(SEARCH("N/A",D112)))</formula>
    </cfRule>
    <cfRule type="containsText" dxfId="41" priority="42" stopIfTrue="1" operator="containsText" text="Problem">
      <formula>NOT(ISERROR(SEARCH("Problem",D112)))</formula>
    </cfRule>
    <cfRule type="containsText" dxfId="40" priority="43" stopIfTrue="1" operator="containsText" text="OK">
      <formula>NOT(ISERROR(SEARCH("OK",D112)))</formula>
    </cfRule>
  </conditionalFormatting>
  <conditionalFormatting sqref="B113">
    <cfRule type="containsText" dxfId="39" priority="39" stopIfTrue="1" operator="containsText" text="Does not apply to selected family">
      <formula>NOT(ISERROR(SEARCH("Does not apply to selected family",B113)))</formula>
    </cfRule>
    <cfRule type="containsText" dxfId="38" priority="40" stopIfTrue="1" operator="containsText" text="Insufficient">
      <formula>NOT(ISERROR(SEARCH("Insufficient",B113)))</formula>
    </cfRule>
  </conditionalFormatting>
  <conditionalFormatting sqref="D113">
    <cfRule type="containsText" dxfId="37" priority="36" stopIfTrue="1" operator="containsText" text="N/A">
      <formula>NOT(ISERROR(SEARCH("N/A",D113)))</formula>
    </cfRule>
    <cfRule type="containsText" dxfId="36" priority="37" stopIfTrue="1" operator="containsText" text="Problem">
      <formula>NOT(ISERROR(SEARCH("Problem",D113)))</formula>
    </cfRule>
    <cfRule type="containsText" dxfId="35" priority="38" stopIfTrue="1" operator="containsText" text="OK">
      <formula>NOT(ISERROR(SEARCH("OK",D113)))</formula>
    </cfRule>
  </conditionalFormatting>
  <conditionalFormatting sqref="B114">
    <cfRule type="containsText" dxfId="34" priority="34" stopIfTrue="1" operator="containsText" text="Does not apply to selected family">
      <formula>NOT(ISERROR(SEARCH("Does not apply to selected family",B114)))</formula>
    </cfRule>
    <cfRule type="containsText" dxfId="33" priority="35" stopIfTrue="1" operator="containsText" text="Insufficient">
      <formula>NOT(ISERROR(SEARCH("Insufficient",B114)))</formula>
    </cfRule>
  </conditionalFormatting>
  <conditionalFormatting sqref="D114">
    <cfRule type="containsText" dxfId="32" priority="31" stopIfTrue="1" operator="containsText" text="N/A">
      <formula>NOT(ISERROR(SEARCH("N/A",D114)))</formula>
    </cfRule>
    <cfRule type="containsText" dxfId="31" priority="32" stopIfTrue="1" operator="containsText" text="Problem">
      <formula>NOT(ISERROR(SEARCH("Problem",D114)))</formula>
    </cfRule>
    <cfRule type="containsText" dxfId="30" priority="33" stopIfTrue="1" operator="containsText" text="OK">
      <formula>NOT(ISERROR(SEARCH("OK",D114)))</formula>
    </cfRule>
  </conditionalFormatting>
  <conditionalFormatting sqref="B115">
    <cfRule type="containsText" dxfId="29" priority="29" stopIfTrue="1" operator="containsText" text="Does not apply to selected family">
      <formula>NOT(ISERROR(SEARCH("Does not apply to selected family",B115)))</formula>
    </cfRule>
    <cfRule type="containsText" dxfId="28" priority="30" stopIfTrue="1" operator="containsText" text="Insufficient">
      <formula>NOT(ISERROR(SEARCH("Insufficient",B115)))</formula>
    </cfRule>
  </conditionalFormatting>
  <conditionalFormatting sqref="D115">
    <cfRule type="containsText" dxfId="27" priority="26" stopIfTrue="1" operator="containsText" text="N/A">
      <formula>NOT(ISERROR(SEARCH("N/A",D115)))</formula>
    </cfRule>
    <cfRule type="containsText" dxfId="26" priority="27" stopIfTrue="1" operator="containsText" text="Problem">
      <formula>NOT(ISERROR(SEARCH("Problem",D115)))</formula>
    </cfRule>
    <cfRule type="containsText" dxfId="25" priority="28" stopIfTrue="1" operator="containsText" text="OK">
      <formula>NOT(ISERROR(SEARCH("OK",D115)))</formula>
    </cfRule>
  </conditionalFormatting>
  <conditionalFormatting sqref="B116">
    <cfRule type="containsText" dxfId="24" priority="24" stopIfTrue="1" operator="containsText" text="Does not apply to selected family">
      <formula>NOT(ISERROR(SEARCH("Does not apply to selected family",B116)))</formula>
    </cfRule>
    <cfRule type="containsText" dxfId="23" priority="25" stopIfTrue="1" operator="containsText" text="Insufficient">
      <formula>NOT(ISERROR(SEARCH("Insufficient",B116)))</formula>
    </cfRule>
  </conditionalFormatting>
  <conditionalFormatting sqref="D116">
    <cfRule type="containsText" dxfId="22" priority="21" stopIfTrue="1" operator="containsText" text="N/A">
      <formula>NOT(ISERROR(SEARCH("N/A",D116)))</formula>
    </cfRule>
    <cfRule type="containsText" dxfId="21" priority="22" stopIfTrue="1" operator="containsText" text="Problem">
      <formula>NOT(ISERROR(SEARCH("Problem",D116)))</formula>
    </cfRule>
    <cfRule type="containsText" dxfId="20" priority="23" stopIfTrue="1" operator="containsText" text="OK">
      <formula>NOT(ISERROR(SEARCH("OK",D116)))</formula>
    </cfRule>
  </conditionalFormatting>
  <conditionalFormatting sqref="B117">
    <cfRule type="containsText" dxfId="19" priority="19" stopIfTrue="1" operator="containsText" text="Does not apply to selected family">
      <formula>NOT(ISERROR(SEARCH("Does not apply to selected family",B117)))</formula>
    </cfRule>
    <cfRule type="containsText" dxfId="18" priority="20" stopIfTrue="1" operator="containsText" text="Insufficient">
      <formula>NOT(ISERROR(SEARCH("Insufficient",B117)))</formula>
    </cfRule>
  </conditionalFormatting>
  <conditionalFormatting sqref="D117">
    <cfRule type="containsText" dxfId="17" priority="16" stopIfTrue="1" operator="containsText" text="N/A">
      <formula>NOT(ISERROR(SEARCH("N/A",D117)))</formula>
    </cfRule>
    <cfRule type="containsText" dxfId="16" priority="17" stopIfTrue="1" operator="containsText" text="Problem">
      <formula>NOT(ISERROR(SEARCH("Problem",D117)))</formula>
    </cfRule>
    <cfRule type="containsText" dxfId="15" priority="18" stopIfTrue="1" operator="containsText" text="OK">
      <formula>NOT(ISERROR(SEARCH("OK",D117)))</formula>
    </cfRule>
  </conditionalFormatting>
  <conditionalFormatting sqref="C33">
    <cfRule type="containsText" dxfId="14" priority="14" stopIfTrue="1" operator="containsText" text="Does not apply to selected family">
      <formula>NOT(ISERROR(SEARCH("Does not apply to selected family",C33)))</formula>
    </cfRule>
    <cfRule type="containsText" dxfId="13" priority="15" stopIfTrue="1" operator="containsText" text="Insufficient">
      <formula>NOT(ISERROR(SEARCH("Insufficient",C33)))</formula>
    </cfRule>
  </conditionalFormatting>
  <conditionalFormatting sqref="D33">
    <cfRule type="containsText" dxfId="12" priority="12" stopIfTrue="1" operator="containsText" text="Does not apply to selected family">
      <formula>NOT(ISERROR(SEARCH("Does not apply to selected family",D33)))</formula>
    </cfRule>
    <cfRule type="containsText" dxfId="11" priority="13" stopIfTrue="1" operator="containsText" text="Insufficient">
      <formula>NOT(ISERROR(SEARCH("Insufficient",D33)))</formula>
    </cfRule>
  </conditionalFormatting>
  <conditionalFormatting sqref="B172">
    <cfRule type="containsText" dxfId="10" priority="7" stopIfTrue="1" operator="containsText" text="Does not apply to selected family">
      <formula>NOT(ISERROR(SEARCH("Does not apply to selected family",B172)))</formula>
    </cfRule>
    <cfRule type="containsText" dxfId="9" priority="8" stopIfTrue="1" operator="containsText" text="Insufficient">
      <formula>NOT(ISERROR(SEARCH("Insufficient",B172)))</formula>
    </cfRule>
  </conditionalFormatting>
  <conditionalFormatting sqref="D172">
    <cfRule type="containsText" dxfId="8" priority="9" stopIfTrue="1" operator="containsText" text="N/A">
      <formula>NOT(ISERROR(SEARCH("N/A",D172)))</formula>
    </cfRule>
    <cfRule type="containsText" dxfId="7" priority="10" stopIfTrue="1" operator="containsText" text="Problem">
      <formula>NOT(ISERROR(SEARCH("Problem",D172)))</formula>
    </cfRule>
    <cfRule type="containsText" dxfId="6" priority="11" stopIfTrue="1" operator="containsText" text="OK">
      <formula>NOT(ISERROR(SEARCH("OK",D172)))</formula>
    </cfRule>
  </conditionalFormatting>
  <conditionalFormatting sqref="B233:B286">
    <cfRule type="cellIs" dxfId="5" priority="70" operator="notEqual">
      <formula>"MIO pin not used"</formula>
    </cfRule>
  </conditionalFormatting>
  <conditionalFormatting sqref="B225">
    <cfRule type="containsText" dxfId="4" priority="1" stopIfTrue="1" operator="containsText" text="Does not apply to selected family">
      <formula>NOT(ISERROR(SEARCH("Does not apply to selected family",B225)))</formula>
    </cfRule>
    <cfRule type="containsText" dxfId="3" priority="2" stopIfTrue="1" operator="containsText" text="Insufficient">
      <formula>NOT(ISERROR(SEARCH("Insufficient",B225)))</formula>
    </cfRule>
  </conditionalFormatting>
  <conditionalFormatting sqref="D225">
    <cfRule type="containsText" dxfId="2" priority="3" stopIfTrue="1" operator="containsText" text="N/A">
      <formula>NOT(ISERROR(SEARCH("N/A",D225)))</formula>
    </cfRule>
    <cfRule type="containsText" dxfId="1" priority="4" stopIfTrue="1" operator="containsText" text="Problem">
      <formula>NOT(ISERROR(SEARCH("Problem",D225)))</formula>
    </cfRule>
    <cfRule type="containsText" dxfId="0" priority="5" stopIfTrue="1" operator="containsText" text="OK">
      <formula>NOT(ISERROR(SEARCH("OK",D225)))</formula>
    </cfRule>
  </conditionalFormatting>
  <dataValidations count="47">
    <dataValidation type="list" allowBlank="1" showInputMessage="1" showErrorMessage="1" sqref="B225">
      <formula1>MIOQSPIFEEDBACKCLK</formula1>
    </dataValidation>
    <dataValidation type="list" allowBlank="1" showInputMessage="1" showErrorMessage="1" sqref="B230">
      <formula1>MIONAND16</formula1>
    </dataValidation>
    <dataValidation type="list" allowBlank="1" showInputMessage="1" showErrorMessage="1" sqref="B229">
      <formula1>MIONAND8</formula1>
    </dataValidation>
    <dataValidation type="list" allowBlank="1" showInputMessage="1" showErrorMessage="1" sqref="B228">
      <formula1>MIONORSRAM</formula1>
    </dataValidation>
    <dataValidation type="list" allowBlank="1" showInputMessage="1" showErrorMessage="1" sqref="B227">
      <formula1>MIOUSB1</formula1>
    </dataValidation>
    <dataValidation type="list" allowBlank="1" showInputMessage="1" showErrorMessage="1" sqref="B226">
      <formula1>MIOUSB0</formula1>
    </dataValidation>
    <dataValidation type="list" allowBlank="1" showInputMessage="1" showErrorMessage="1" sqref="B224">
      <formula1>MIOQSPICS</formula1>
    </dataValidation>
    <dataValidation type="list" allowBlank="1" showInputMessage="1" showErrorMessage="1" sqref="B223">
      <formula1>MIOQSPI14BIT</formula1>
    </dataValidation>
    <dataValidation type="list" allowBlank="1" showInputMessage="1" showErrorMessage="1" sqref="B222">
      <formula1>MIOQSPI12BIT</formula1>
    </dataValidation>
    <dataValidation type="list" allowBlank="1" showInputMessage="1" showErrorMessage="1" sqref="B221">
      <formula1>MIOQSPI11BIT</formula1>
    </dataValidation>
    <dataValidation type="list" allowBlank="1" showInputMessage="1" showErrorMessage="1" sqref="B220">
      <formula1>MIOQSPI04BIT</formula1>
    </dataValidation>
    <dataValidation type="list" allowBlank="1" showInputMessage="1" showErrorMessage="1" sqref="B219">
      <formula1>MIOQSPI02BIT</formula1>
    </dataValidation>
    <dataValidation type="list" allowBlank="1" showInputMessage="1" showErrorMessage="1" sqref="B218">
      <formula1>MIOQSPI01BIT</formula1>
    </dataValidation>
    <dataValidation type="list" allowBlank="1" showInputMessage="1" showErrorMessage="1" sqref="B217">
      <formula1>MIOETHERNETMDIO</formula1>
    </dataValidation>
    <dataValidation type="list" allowBlank="1" showInputMessage="1" showErrorMessage="1" sqref="B216">
      <formula1>MIOETHERNET1</formula1>
    </dataValidation>
    <dataValidation type="list" allowBlank="1" showInputMessage="1" showErrorMessage="1" sqref="B215">
      <formula1>MIOETHERNET0</formula1>
    </dataValidation>
    <dataValidation type="list" allowBlank="1" showInputMessage="1" showErrorMessage="1" sqref="B214">
      <formula1>MIOSDIO1CD</formula1>
    </dataValidation>
    <dataValidation type="list" allowBlank="1" showInputMessage="1" showErrorMessage="1" sqref="B213">
      <formula1>MIOSDIO1WP</formula1>
    </dataValidation>
    <dataValidation type="list" allowBlank="1" showInputMessage="1" showErrorMessage="1" sqref="B212">
      <formula1>MIOSDIO0CD</formula1>
    </dataValidation>
    <dataValidation type="list" allowBlank="1" showInputMessage="1" showErrorMessage="1" sqref="B211">
      <formula1>MIOSDIO0WP</formula1>
    </dataValidation>
    <dataValidation type="list" allowBlank="1" showInputMessage="1" showErrorMessage="1" sqref="B210">
      <formula1>MIOSDIO1POWER</formula1>
    </dataValidation>
    <dataValidation type="list" allowBlank="1" showInputMessage="1" showErrorMessage="1" sqref="B209">
      <formula1>MIOSDIO0POWER</formula1>
    </dataValidation>
    <dataValidation type="list" allowBlank="1" showInputMessage="1" showErrorMessage="1" sqref="B208">
      <formula1>MIOSDIO1</formula1>
    </dataValidation>
    <dataValidation type="list" allowBlank="1" showInputMessage="1" showErrorMessage="1" sqref="B207">
      <formula1>MIOSDIO0</formula1>
    </dataValidation>
    <dataValidation type="list" allowBlank="1" showInputMessage="1" showErrorMessage="1" sqref="B206">
      <formula1>MIOTRACE</formula1>
    </dataValidation>
    <dataValidation type="list" allowBlank="1" showInputMessage="1" showErrorMessage="1" sqref="B205">
      <formula1>MIOTRACECTRL</formula1>
    </dataValidation>
    <dataValidation type="list" allowBlank="1" showInputMessage="1" showErrorMessage="1" sqref="B204">
      <formula1>MIOPJTAG</formula1>
    </dataValidation>
    <dataValidation type="list" allowBlank="1" showInputMessage="1" showErrorMessage="1" sqref="B203">
      <formula1>MIOSWDT</formula1>
    </dataValidation>
    <dataValidation type="list" allowBlank="1" showInputMessage="1" showErrorMessage="1" sqref="B202">
      <formula1>MIOTTC1</formula1>
    </dataValidation>
    <dataValidation type="list" allowBlank="1" showInputMessage="1" showErrorMessage="1" sqref="B201">
      <formula1>MIOTTC0</formula1>
    </dataValidation>
    <dataValidation type="list" allowBlank="1" showInputMessage="1" showErrorMessage="1" sqref="B200">
      <formula1>MIOUART1</formula1>
    </dataValidation>
    <dataValidation type="list" allowBlank="1" showInputMessage="1" showErrorMessage="1" sqref="B199">
      <formula1>MIOUART0</formula1>
    </dataValidation>
    <dataValidation type="list" allowBlank="1" showInputMessage="1" showErrorMessage="1" sqref="B198">
      <formula1>MIOCAN1CLK</formula1>
    </dataValidation>
    <dataValidation type="list" allowBlank="1" showInputMessage="1" showErrorMessage="1" sqref="B197">
      <formula1>MIOCAN1</formula1>
    </dataValidation>
    <dataValidation type="list" allowBlank="1" showInputMessage="1" showErrorMessage="1" sqref="B196">
      <formula1>MIOCAN0CLK</formula1>
    </dataValidation>
    <dataValidation type="list" allowBlank="1" showInputMessage="1" showErrorMessage="1" sqref="B195">
      <formula1>MIOCAN0</formula1>
    </dataValidation>
    <dataValidation type="list" allowBlank="1" showInputMessage="1" showErrorMessage="1" sqref="B194">
      <formula1>MIOSPI1</formula1>
    </dataValidation>
    <dataValidation type="list" allowBlank="1" showInputMessage="1" showErrorMessage="1" sqref="B193">
      <formula1>MIOSPI0</formula1>
    </dataValidation>
    <dataValidation type="list" allowBlank="1" showInputMessage="1" showErrorMessage="1" sqref="B192">
      <formula1>MIOIIC1</formula1>
    </dataValidation>
    <dataValidation type="list" allowBlank="1" showInputMessage="1" showErrorMessage="1" sqref="B191">
      <formula1>MIOIIC0</formula1>
    </dataValidation>
    <dataValidation type="list" allowBlank="1" showInputMessage="1" showErrorMessage="1" sqref="D88:D95 D35:D66 D143:D155 D74:D81 D233:D286 D163:D172 D178:D184 D102:D117 D15:D29 D124:D134">
      <formula1>Status</formula1>
    </dataValidation>
    <dataValidation type="list" allowBlank="1" showInputMessage="1" showErrorMessage="1" sqref="C19">
      <formula1>bank0</formula1>
    </dataValidation>
    <dataValidation type="list" allowBlank="1" showInputMessage="1" showErrorMessage="1" sqref="B4">
      <formula1>SFamily</formula1>
    </dataValidation>
    <dataValidation type="decimal" allowBlank="1" showInputMessage="1" showErrorMessage="1" sqref="B8">
      <formula1>0</formula1>
      <formula2>100</formula2>
    </dataValidation>
    <dataValidation type="list" allowBlank="1" showInputMessage="1" showErrorMessage="1" sqref="B5">
      <formula1>IF(MID(B4,1,4)="Zynq", INDIRECT(MID(B4,1,LEN(B4)-5)&amp;"7"), INDIRECT(MID(B4,1,LEN(B4)-2)&amp;"7"))</formula1>
    </dataValidation>
    <dataValidation type="list" allowBlank="1" showInputMessage="1" showErrorMessage="1" sqref="B6">
      <formula1>INDIRECT("AA"&amp;B5)</formula1>
    </dataValidation>
    <dataValidation type="list" allowBlank="1" showInputMessage="1" showErrorMessage="1" sqref="B7">
      <formula1>IF(B4 = "Zynq-7000",Config_Mode_Zynq,Config_Mode)</formula1>
    </dataValidation>
  </dataValidations>
  <hyperlinks>
    <hyperlink ref="B140" r:id="rId1"/>
    <hyperlink ref="B160" r:id="rId2"/>
    <hyperlink ref="B175" r:id="rId3"/>
    <hyperlink ref="C33" r:id="rId4"/>
  </hyperlinks>
  <pageMargins left="0.75" right="0.75" top="1" bottom="1" header="0.5" footer="0.5"/>
  <pageSetup scale="48" orientation="portrait" r:id="rId5"/>
  <headerFooter alignWithMargins="0"/>
  <colBreaks count="1" manualBreakCount="1">
    <brk id="5" max="1048575" man="1"/>
  </colBreaks>
  <drawing r:id="rId6"/>
  <legacyDrawing r:id="rId7"/>
  <mc:AlternateContent xmlns:mc="http://schemas.openxmlformats.org/markup-compatibility/2006">
    <mc:Choice Requires="x14">
      <controls>
        <mc:AlternateContent xmlns:mc="http://schemas.openxmlformats.org/markup-compatibility/2006">
          <mc:Choice Requires="x14">
            <control shapeId="97281" r:id="rId8" name="Button 1">
              <controlPr defaultSize="0" print="0" autoFill="0" autoPict="0" macro="[0]!insert_new_tab">
                <anchor moveWithCells="1" sizeWithCells="1">
                  <from>
                    <xdr:col>1</xdr:col>
                    <xdr:colOff>76200</xdr:colOff>
                    <xdr:row>0</xdr:row>
                    <xdr:rowOff>76200</xdr:rowOff>
                  </from>
                  <to>
                    <xdr:col>1</xdr:col>
                    <xdr:colOff>1952625</xdr:colOff>
                    <xdr:row>1</xdr:row>
                    <xdr:rowOff>180975</xdr:rowOff>
                  </to>
                </anchor>
              </controlPr>
            </control>
          </mc:Choice>
        </mc:AlternateContent>
        <mc:AlternateContent xmlns:mc="http://schemas.openxmlformats.org/markup-compatibility/2006">
          <mc:Choice Requires="x14">
            <control shapeId="97282" r:id="rId9" name="Button 2">
              <controlPr defaultSize="0" print="0" autoFill="0" autoPict="0" macro="[0]!remove_tab">
                <anchor moveWithCells="1" sizeWithCells="1">
                  <from>
                    <xdr:col>2</xdr:col>
                    <xdr:colOff>676275</xdr:colOff>
                    <xdr:row>0</xdr:row>
                    <xdr:rowOff>76200</xdr:rowOff>
                  </from>
                  <to>
                    <xdr:col>2</xdr:col>
                    <xdr:colOff>2543175</xdr:colOff>
                    <xdr:row>1</xdr:row>
                    <xdr:rowOff>180975</xdr:rowOff>
                  </to>
                </anchor>
              </controlPr>
            </control>
          </mc:Choice>
        </mc:AlternateContent>
        <mc:AlternateContent xmlns:mc="http://schemas.openxmlformats.org/markup-compatibility/2006">
          <mc:Choice Requires="x14">
            <control shapeId="97283" r:id="rId10" name="Button 3">
              <controlPr defaultSize="0" print="0" autoFill="0" autoPict="0" macro="[0]!reset_mio_pin_selection">
                <anchor moveWithCells="1">
                  <from>
                    <xdr:col>1</xdr:col>
                    <xdr:colOff>1457325</xdr:colOff>
                    <xdr:row>187</xdr:row>
                    <xdr:rowOff>28575</xdr:rowOff>
                  </from>
                  <to>
                    <xdr:col>1</xdr:col>
                    <xdr:colOff>2819400</xdr:colOff>
                    <xdr:row>289</xdr:row>
                    <xdr:rowOff>76200</xdr:rowOff>
                  </to>
                </anchor>
              </controlPr>
            </control>
          </mc:Choice>
        </mc:AlternateContent>
        <mc:AlternateContent xmlns:mc="http://schemas.openxmlformats.org/markup-compatibility/2006">
          <mc:Choice Requires="x14">
            <control shapeId="97284" r:id="rId11" name="Button 4">
              <controlPr defaultSize="0" print="0" autoFill="0" autoPict="0" macro="[0]!rename_tab">
                <anchor moveWithCells="1" sizeWithCells="1">
                  <from>
                    <xdr:col>1</xdr:col>
                    <xdr:colOff>2066925</xdr:colOff>
                    <xdr:row>0</xdr:row>
                    <xdr:rowOff>76200</xdr:rowOff>
                  </from>
                  <to>
                    <xdr:col>1</xdr:col>
                    <xdr:colOff>3933825</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136"/>
  <sheetViews>
    <sheetView zoomScaleNormal="100" workbookViewId="0">
      <selection activeCell="D117" sqref="D117"/>
    </sheetView>
  </sheetViews>
  <sheetFormatPr defaultColWidth="9.140625" defaultRowHeight="23.1" customHeight="1"/>
  <cols>
    <col min="1" max="1" width="2.7109375" style="62" customWidth="1"/>
    <col min="2" max="2" width="13.42578125" style="215" customWidth="1"/>
    <col min="3" max="3" width="10.7109375" style="215" customWidth="1"/>
    <col min="4" max="4" width="107.7109375" style="182" customWidth="1"/>
    <col min="5" max="16384" width="9.140625" style="62"/>
  </cols>
  <sheetData>
    <row r="1" spans="1:24" ht="12.75">
      <c r="A1" s="135"/>
      <c r="B1" s="209"/>
      <c r="C1" s="209"/>
      <c r="D1" s="181"/>
      <c r="E1" s="135"/>
      <c r="F1" s="135"/>
      <c r="G1" s="135"/>
      <c r="H1" s="135"/>
      <c r="I1" s="135"/>
      <c r="J1" s="135"/>
      <c r="K1" s="135"/>
      <c r="L1" s="135"/>
      <c r="M1" s="135"/>
      <c r="N1" s="135"/>
      <c r="O1" s="135"/>
      <c r="P1" s="135"/>
      <c r="Q1" s="135"/>
      <c r="R1" s="135"/>
      <c r="S1" s="135"/>
      <c r="T1" s="135"/>
      <c r="U1" s="135"/>
      <c r="V1" s="135"/>
      <c r="W1" s="135"/>
      <c r="X1" s="135"/>
    </row>
    <row r="2" spans="1:24" ht="25.5">
      <c r="A2" s="135"/>
      <c r="B2" s="223" t="s">
        <v>683</v>
      </c>
      <c r="C2" s="252"/>
      <c r="D2" s="224"/>
      <c r="E2" s="135"/>
      <c r="F2" s="135"/>
      <c r="G2" s="135"/>
      <c r="H2" s="135"/>
      <c r="I2" s="135"/>
      <c r="J2" s="135"/>
      <c r="K2" s="135"/>
      <c r="L2" s="135"/>
      <c r="M2" s="135"/>
      <c r="N2" s="135"/>
      <c r="O2" s="135"/>
      <c r="P2" s="135"/>
      <c r="Q2" s="135"/>
      <c r="R2" s="135"/>
      <c r="S2" s="135"/>
      <c r="T2" s="135"/>
      <c r="U2" s="135"/>
      <c r="V2" s="135"/>
      <c r="W2" s="135"/>
      <c r="X2" s="135"/>
    </row>
    <row r="3" spans="1:24" ht="12.75">
      <c r="A3" s="135"/>
      <c r="B3" s="210" t="s">
        <v>585</v>
      </c>
      <c r="C3" s="211" t="s">
        <v>510</v>
      </c>
      <c r="D3" s="187" t="s">
        <v>586</v>
      </c>
      <c r="E3" s="135"/>
      <c r="F3" s="135"/>
      <c r="G3" s="135"/>
      <c r="H3" s="135"/>
      <c r="I3" s="135"/>
      <c r="J3" s="135"/>
      <c r="K3" s="135"/>
      <c r="L3" s="135"/>
      <c r="M3" s="135"/>
      <c r="N3" s="135"/>
      <c r="O3" s="135"/>
      <c r="P3" s="135"/>
      <c r="Q3" s="135"/>
      <c r="R3" s="135"/>
      <c r="S3" s="135"/>
      <c r="T3" s="135"/>
      <c r="U3" s="135"/>
      <c r="V3" s="135"/>
      <c r="W3" s="135"/>
      <c r="X3" s="135"/>
    </row>
    <row r="4" spans="1:24" ht="12.75">
      <c r="A4" s="135"/>
      <c r="B4" s="208">
        <v>41186</v>
      </c>
      <c r="C4" s="207">
        <v>1</v>
      </c>
      <c r="D4" s="186" t="s">
        <v>673</v>
      </c>
      <c r="E4" s="135"/>
      <c r="F4" s="135"/>
      <c r="G4" s="135"/>
      <c r="H4" s="135"/>
      <c r="I4" s="135"/>
      <c r="J4" s="135"/>
      <c r="K4" s="135"/>
      <c r="L4" s="135"/>
      <c r="M4" s="135"/>
      <c r="N4" s="135"/>
      <c r="O4" s="135"/>
      <c r="P4" s="135"/>
      <c r="Q4" s="135"/>
      <c r="R4" s="135"/>
      <c r="S4" s="135"/>
      <c r="T4" s="135"/>
      <c r="U4" s="135"/>
      <c r="V4" s="135"/>
      <c r="W4" s="135"/>
      <c r="X4" s="135"/>
    </row>
    <row r="5" spans="1:24" ht="12.75">
      <c r="A5" s="135"/>
      <c r="B5" s="206">
        <v>41204</v>
      </c>
      <c r="C5" s="212">
        <v>1.1000000000000001</v>
      </c>
      <c r="D5" s="186" t="s">
        <v>674</v>
      </c>
      <c r="E5" s="135"/>
      <c r="F5" s="135"/>
      <c r="G5" s="135"/>
      <c r="H5" s="135"/>
      <c r="I5" s="135"/>
      <c r="J5" s="135"/>
      <c r="K5" s="135"/>
      <c r="L5" s="135"/>
      <c r="M5" s="135"/>
      <c r="N5" s="135"/>
      <c r="O5" s="135"/>
      <c r="P5" s="135"/>
      <c r="Q5" s="135"/>
      <c r="R5" s="135"/>
      <c r="S5" s="135"/>
      <c r="T5" s="135"/>
      <c r="U5" s="135"/>
      <c r="V5" s="135"/>
      <c r="W5" s="135"/>
      <c r="X5" s="135"/>
    </row>
    <row r="6" spans="1:24" ht="12.75">
      <c r="A6" s="135"/>
      <c r="B6" s="213"/>
      <c r="C6" s="214"/>
      <c r="D6" s="185" t="s">
        <v>675</v>
      </c>
      <c r="E6" s="135"/>
      <c r="F6" s="135"/>
      <c r="G6" s="135"/>
      <c r="H6" s="135"/>
      <c r="I6" s="135"/>
      <c r="J6" s="135"/>
      <c r="K6" s="135"/>
      <c r="L6" s="135"/>
      <c r="M6" s="135"/>
      <c r="N6" s="135"/>
      <c r="O6" s="135"/>
      <c r="P6" s="135"/>
      <c r="Q6" s="135"/>
      <c r="R6" s="135"/>
      <c r="S6" s="135"/>
      <c r="T6" s="135"/>
      <c r="U6" s="135"/>
      <c r="V6" s="135"/>
      <c r="W6" s="135"/>
      <c r="X6" s="135"/>
    </row>
    <row r="7" spans="1:24" ht="12.75">
      <c r="A7" s="135"/>
      <c r="B7" s="213"/>
      <c r="C7" s="214"/>
      <c r="D7" s="185" t="s">
        <v>676</v>
      </c>
      <c r="E7" s="135"/>
      <c r="F7" s="135"/>
      <c r="G7" s="135"/>
      <c r="H7" s="135"/>
      <c r="I7" s="135"/>
      <c r="J7" s="135"/>
      <c r="K7" s="135"/>
      <c r="L7" s="135"/>
      <c r="M7" s="135"/>
      <c r="N7" s="135"/>
      <c r="O7" s="135"/>
      <c r="P7" s="135"/>
      <c r="Q7" s="135"/>
      <c r="R7" s="135"/>
      <c r="S7" s="135"/>
      <c r="T7" s="135"/>
      <c r="U7" s="135"/>
      <c r="V7" s="135"/>
      <c r="W7" s="135"/>
      <c r="X7" s="135"/>
    </row>
    <row r="8" spans="1:24" ht="12.75">
      <c r="A8" s="135"/>
      <c r="B8" s="213"/>
      <c r="C8" s="214"/>
      <c r="D8" s="185" t="s">
        <v>677</v>
      </c>
      <c r="E8" s="135"/>
      <c r="F8" s="135"/>
      <c r="G8" s="135"/>
      <c r="H8" s="135"/>
      <c r="I8" s="135"/>
      <c r="J8" s="135"/>
      <c r="K8" s="135"/>
      <c r="L8" s="135"/>
      <c r="M8" s="135"/>
      <c r="N8" s="135"/>
      <c r="O8" s="135"/>
      <c r="P8" s="135"/>
      <c r="Q8" s="135"/>
      <c r="R8" s="135"/>
      <c r="S8" s="135"/>
      <c r="T8" s="135"/>
      <c r="U8" s="135"/>
      <c r="V8" s="135"/>
      <c r="W8" s="135"/>
      <c r="X8" s="135"/>
    </row>
    <row r="9" spans="1:24" ht="12.75">
      <c r="A9" s="135"/>
      <c r="B9" s="213"/>
      <c r="C9" s="214"/>
      <c r="D9" s="185" t="s">
        <v>678</v>
      </c>
      <c r="E9" s="135"/>
      <c r="F9" s="135"/>
      <c r="G9" s="135"/>
      <c r="H9" s="135"/>
      <c r="I9" s="135"/>
      <c r="J9" s="135"/>
      <c r="K9" s="135"/>
      <c r="L9" s="135"/>
      <c r="M9" s="135"/>
      <c r="N9" s="135"/>
      <c r="O9" s="135"/>
      <c r="P9" s="135"/>
      <c r="Q9" s="135"/>
      <c r="R9" s="135"/>
      <c r="S9" s="135"/>
      <c r="T9" s="135"/>
      <c r="U9" s="135"/>
      <c r="V9" s="135"/>
      <c r="W9" s="135"/>
      <c r="X9" s="135"/>
    </row>
    <row r="10" spans="1:24" ht="12.75">
      <c r="A10" s="135"/>
      <c r="B10" s="213"/>
      <c r="C10" s="214"/>
      <c r="D10" s="185" t="s">
        <v>679</v>
      </c>
      <c r="E10" s="135"/>
      <c r="F10" s="135"/>
      <c r="G10" s="135"/>
      <c r="H10" s="135"/>
      <c r="I10" s="135"/>
      <c r="J10" s="135"/>
      <c r="K10" s="135"/>
      <c r="L10" s="135"/>
      <c r="M10" s="135"/>
      <c r="N10" s="135"/>
      <c r="O10" s="135"/>
      <c r="P10" s="135"/>
      <c r="Q10" s="135"/>
      <c r="R10" s="135"/>
      <c r="S10" s="135"/>
      <c r="T10" s="135"/>
      <c r="U10" s="135"/>
      <c r="V10" s="135"/>
      <c r="W10" s="135"/>
      <c r="X10" s="135"/>
    </row>
    <row r="11" spans="1:24" ht="12.75">
      <c r="A11" s="135"/>
      <c r="B11" s="213"/>
      <c r="C11" s="214"/>
      <c r="D11" s="185" t="s">
        <v>680</v>
      </c>
      <c r="E11" s="135"/>
      <c r="F11" s="135"/>
      <c r="G11" s="135"/>
      <c r="H11" s="135"/>
      <c r="I11" s="135"/>
      <c r="J11" s="135"/>
      <c r="K11" s="135"/>
      <c r="L11" s="135"/>
      <c r="M11" s="135"/>
      <c r="N11" s="135"/>
      <c r="O11" s="135"/>
      <c r="P11" s="135"/>
      <c r="Q11" s="135"/>
      <c r="R11" s="135"/>
      <c r="S11" s="135"/>
      <c r="T11" s="135"/>
      <c r="U11" s="135"/>
      <c r="V11" s="135"/>
      <c r="W11" s="135"/>
      <c r="X11" s="135"/>
    </row>
    <row r="12" spans="1:24" ht="12.75">
      <c r="A12" s="135"/>
      <c r="B12" s="213"/>
      <c r="C12" s="214"/>
      <c r="D12" s="185" t="s">
        <v>681</v>
      </c>
      <c r="E12" s="135"/>
      <c r="F12" s="135"/>
      <c r="G12" s="135"/>
      <c r="H12" s="135"/>
      <c r="I12" s="135"/>
      <c r="J12" s="135"/>
      <c r="K12" s="135"/>
      <c r="L12" s="135"/>
      <c r="M12" s="135"/>
      <c r="N12" s="135"/>
      <c r="O12" s="135"/>
      <c r="P12" s="135"/>
      <c r="Q12" s="135"/>
      <c r="R12" s="135"/>
      <c r="S12" s="135"/>
      <c r="T12" s="135"/>
      <c r="U12" s="135"/>
      <c r="V12" s="135"/>
      <c r="W12" s="135"/>
      <c r="X12" s="135"/>
    </row>
    <row r="13" spans="1:24" ht="12.75">
      <c r="A13" s="135"/>
      <c r="B13" s="213"/>
      <c r="C13" s="214"/>
      <c r="D13" s="185" t="s">
        <v>682</v>
      </c>
      <c r="E13" s="135"/>
      <c r="F13" s="135"/>
      <c r="G13" s="135"/>
      <c r="H13" s="135"/>
      <c r="I13" s="135"/>
      <c r="J13" s="135"/>
      <c r="K13" s="135"/>
      <c r="L13" s="135"/>
      <c r="M13" s="135"/>
      <c r="N13" s="135"/>
      <c r="O13" s="135"/>
      <c r="P13" s="135"/>
      <c r="Q13" s="135"/>
      <c r="R13" s="135"/>
      <c r="S13" s="135"/>
      <c r="T13" s="135"/>
      <c r="U13" s="135"/>
      <c r="V13" s="135"/>
      <c r="W13" s="135"/>
      <c r="X13" s="135"/>
    </row>
    <row r="14" spans="1:24" ht="12.75">
      <c r="A14" s="135"/>
      <c r="B14" s="213"/>
      <c r="C14" s="214"/>
      <c r="D14" s="185" t="s">
        <v>787</v>
      </c>
      <c r="E14" s="135"/>
      <c r="F14" s="135"/>
      <c r="G14" s="135"/>
      <c r="H14" s="135"/>
      <c r="I14" s="135"/>
      <c r="J14" s="135"/>
      <c r="K14" s="135"/>
      <c r="L14" s="135"/>
      <c r="M14" s="135"/>
      <c r="N14" s="135"/>
      <c r="O14" s="135"/>
      <c r="P14" s="135"/>
      <c r="Q14" s="135"/>
      <c r="R14" s="135"/>
      <c r="S14" s="135"/>
      <c r="T14" s="135"/>
      <c r="U14" s="135"/>
      <c r="V14" s="135"/>
      <c r="W14" s="135"/>
      <c r="X14" s="135"/>
    </row>
    <row r="15" spans="1:24" ht="12.75">
      <c r="A15" s="135"/>
      <c r="B15" s="245">
        <v>41388</v>
      </c>
      <c r="C15" s="246">
        <v>1.2</v>
      </c>
      <c r="D15" s="186" t="s">
        <v>788</v>
      </c>
      <c r="E15" s="135"/>
      <c r="F15" s="135"/>
      <c r="G15" s="135"/>
      <c r="H15" s="135"/>
      <c r="I15" s="135"/>
      <c r="J15" s="135"/>
      <c r="K15" s="135"/>
      <c r="L15" s="135"/>
      <c r="M15" s="135"/>
      <c r="N15" s="135"/>
      <c r="O15" s="135"/>
      <c r="P15" s="135"/>
      <c r="Q15" s="135"/>
      <c r="R15" s="135"/>
      <c r="S15" s="135"/>
      <c r="T15" s="135"/>
      <c r="U15" s="135"/>
      <c r="V15" s="135"/>
      <c r="W15" s="135"/>
      <c r="X15" s="135"/>
    </row>
    <row r="16" spans="1:24" ht="12.75">
      <c r="A16" s="135"/>
      <c r="B16" s="248"/>
      <c r="C16" s="250"/>
      <c r="D16" s="185" t="s">
        <v>667</v>
      </c>
      <c r="E16" s="135"/>
      <c r="F16" s="135"/>
      <c r="G16" s="135"/>
      <c r="H16" s="135"/>
      <c r="I16" s="135"/>
      <c r="J16" s="135"/>
      <c r="K16" s="135"/>
      <c r="L16" s="135"/>
      <c r="M16" s="135"/>
      <c r="N16" s="135"/>
      <c r="O16" s="135"/>
      <c r="P16" s="135"/>
      <c r="Q16" s="135"/>
      <c r="R16" s="135"/>
      <c r="S16" s="135"/>
      <c r="T16" s="135"/>
      <c r="U16" s="135"/>
      <c r="V16" s="135"/>
      <c r="W16" s="135"/>
      <c r="X16" s="135"/>
    </row>
    <row r="17" spans="1:24" ht="12.75">
      <c r="A17" s="135"/>
      <c r="B17" s="248"/>
      <c r="C17" s="250"/>
      <c r="D17" s="185" t="s">
        <v>668</v>
      </c>
      <c r="E17" s="135"/>
      <c r="F17" s="135"/>
      <c r="G17" s="135"/>
      <c r="H17" s="135"/>
      <c r="I17" s="135"/>
      <c r="J17" s="135"/>
      <c r="K17" s="135"/>
      <c r="L17" s="135"/>
      <c r="M17" s="135"/>
      <c r="N17" s="135"/>
      <c r="O17" s="135"/>
      <c r="P17" s="135"/>
      <c r="Q17" s="135"/>
      <c r="R17" s="135"/>
      <c r="S17" s="135"/>
      <c r="T17" s="135"/>
      <c r="U17" s="135"/>
      <c r="V17" s="135"/>
      <c r="W17" s="135"/>
      <c r="X17" s="135"/>
    </row>
    <row r="18" spans="1:24" ht="12.75">
      <c r="A18" s="135"/>
      <c r="B18" s="248"/>
      <c r="C18" s="250"/>
      <c r="D18" s="185" t="s">
        <v>669</v>
      </c>
      <c r="E18" s="135"/>
      <c r="F18" s="135"/>
      <c r="G18" s="135"/>
      <c r="H18" s="135"/>
      <c r="I18" s="135"/>
      <c r="J18" s="135"/>
      <c r="K18" s="135"/>
      <c r="L18" s="135"/>
      <c r="M18" s="135"/>
      <c r="N18" s="135"/>
      <c r="O18" s="135"/>
      <c r="P18" s="135"/>
      <c r="Q18" s="135"/>
      <c r="R18" s="135"/>
      <c r="S18" s="135"/>
      <c r="T18" s="135"/>
      <c r="U18" s="135"/>
      <c r="V18" s="135"/>
      <c r="W18" s="135"/>
      <c r="X18" s="135"/>
    </row>
    <row r="19" spans="1:24" ht="12.75">
      <c r="A19" s="135"/>
      <c r="B19" s="248"/>
      <c r="C19" s="250"/>
      <c r="D19" s="185" t="s">
        <v>670</v>
      </c>
      <c r="E19" s="135"/>
      <c r="F19" s="135"/>
      <c r="G19" s="135"/>
      <c r="H19" s="135"/>
      <c r="I19" s="135"/>
      <c r="J19" s="135"/>
      <c r="K19" s="135"/>
      <c r="L19" s="135"/>
      <c r="M19" s="135"/>
      <c r="N19" s="135"/>
      <c r="O19" s="135"/>
      <c r="P19" s="135"/>
      <c r="Q19" s="135"/>
      <c r="R19" s="135"/>
      <c r="S19" s="135"/>
      <c r="T19" s="135"/>
      <c r="U19" s="135"/>
      <c r="V19" s="135"/>
      <c r="W19" s="135"/>
      <c r="X19" s="135"/>
    </row>
    <row r="20" spans="1:24" ht="12.75">
      <c r="A20" s="135"/>
      <c r="B20" s="248"/>
      <c r="C20" s="250"/>
      <c r="D20" s="185" t="s">
        <v>786</v>
      </c>
      <c r="E20" s="135"/>
      <c r="F20" s="135"/>
      <c r="G20" s="135"/>
      <c r="H20" s="135"/>
      <c r="I20" s="135"/>
      <c r="J20" s="135"/>
      <c r="K20" s="135"/>
      <c r="L20" s="135"/>
      <c r="M20" s="135"/>
      <c r="N20" s="135"/>
      <c r="O20" s="135"/>
      <c r="P20" s="135"/>
      <c r="Q20" s="135"/>
      <c r="R20" s="135"/>
      <c r="S20" s="135"/>
      <c r="T20" s="135"/>
      <c r="U20" s="135"/>
      <c r="V20" s="135"/>
      <c r="W20" s="135"/>
      <c r="X20" s="135"/>
    </row>
    <row r="21" spans="1:24" ht="12.75">
      <c r="A21" s="135"/>
      <c r="B21" s="248"/>
      <c r="C21" s="250"/>
      <c r="D21" s="185" t="s">
        <v>785</v>
      </c>
      <c r="E21" s="135"/>
      <c r="F21" s="135"/>
      <c r="G21" s="135"/>
      <c r="H21" s="135"/>
      <c r="I21" s="135"/>
      <c r="J21" s="135"/>
      <c r="K21" s="135"/>
      <c r="L21" s="135"/>
      <c r="M21" s="135"/>
      <c r="N21" s="135"/>
      <c r="O21" s="135"/>
      <c r="P21" s="135"/>
      <c r="Q21" s="135"/>
      <c r="R21" s="135"/>
      <c r="S21" s="135"/>
      <c r="T21" s="135"/>
      <c r="U21" s="135"/>
      <c r="V21" s="135"/>
      <c r="W21" s="135"/>
      <c r="X21" s="135"/>
    </row>
    <row r="22" spans="1:24" ht="12.75">
      <c r="A22" s="139"/>
      <c r="B22" s="248"/>
      <c r="C22" s="250"/>
      <c r="D22" s="185" t="s">
        <v>671</v>
      </c>
      <c r="E22" s="135"/>
      <c r="F22" s="135"/>
      <c r="G22" s="135"/>
      <c r="H22" s="135"/>
      <c r="I22" s="135"/>
      <c r="J22" s="135"/>
      <c r="K22" s="135"/>
      <c r="L22" s="135"/>
      <c r="M22" s="135"/>
      <c r="N22" s="135"/>
      <c r="O22" s="135"/>
      <c r="P22" s="135"/>
      <c r="Q22" s="135"/>
      <c r="R22" s="135"/>
      <c r="S22" s="135"/>
      <c r="T22" s="135"/>
      <c r="U22" s="135"/>
      <c r="V22" s="135"/>
      <c r="W22" s="135"/>
      <c r="X22" s="135"/>
    </row>
    <row r="23" spans="1:24" ht="12.75">
      <c r="A23" s="139"/>
      <c r="B23" s="248"/>
      <c r="C23" s="250"/>
      <c r="D23" s="185" t="s">
        <v>672</v>
      </c>
      <c r="E23" s="135"/>
      <c r="F23" s="135"/>
      <c r="G23" s="135"/>
      <c r="H23" s="135"/>
      <c r="I23" s="135"/>
      <c r="J23" s="135"/>
      <c r="K23" s="135"/>
      <c r="L23" s="135"/>
      <c r="M23" s="135"/>
      <c r="N23" s="135"/>
      <c r="O23" s="135"/>
      <c r="P23" s="135"/>
      <c r="Q23" s="135"/>
      <c r="R23" s="135"/>
      <c r="S23" s="135"/>
      <c r="T23" s="135"/>
      <c r="U23" s="135"/>
      <c r="V23" s="135"/>
      <c r="W23" s="135"/>
      <c r="X23" s="135"/>
    </row>
    <row r="24" spans="1:24" ht="12.75">
      <c r="A24" s="139"/>
      <c r="B24" s="248"/>
      <c r="C24" s="250"/>
      <c r="D24" s="185" t="s">
        <v>703</v>
      </c>
      <c r="E24" s="135"/>
      <c r="F24" s="135"/>
      <c r="G24" s="135"/>
      <c r="H24" s="135"/>
      <c r="I24" s="135"/>
      <c r="J24" s="135"/>
      <c r="K24" s="135"/>
      <c r="L24" s="135"/>
      <c r="M24" s="135"/>
      <c r="N24" s="135"/>
      <c r="O24" s="135"/>
      <c r="P24" s="135"/>
      <c r="Q24" s="135"/>
      <c r="R24" s="135"/>
      <c r="S24" s="135"/>
      <c r="T24" s="135"/>
      <c r="U24" s="135"/>
      <c r="V24" s="135"/>
      <c r="W24" s="135"/>
      <c r="X24" s="135"/>
    </row>
    <row r="25" spans="1:24" ht="12.75">
      <c r="A25" s="139"/>
      <c r="B25" s="248"/>
      <c r="C25" s="250"/>
      <c r="D25" s="185" t="s">
        <v>777</v>
      </c>
      <c r="E25" s="135"/>
      <c r="F25" s="135"/>
      <c r="G25" s="135"/>
      <c r="H25" s="135"/>
      <c r="I25" s="135"/>
      <c r="J25" s="135"/>
      <c r="K25" s="135"/>
      <c r="L25" s="135"/>
      <c r="M25" s="135"/>
      <c r="N25" s="135"/>
      <c r="O25" s="135"/>
      <c r="P25" s="135"/>
      <c r="Q25" s="135"/>
      <c r="R25" s="135"/>
      <c r="S25" s="135"/>
      <c r="T25" s="135"/>
      <c r="U25" s="135"/>
      <c r="V25" s="135"/>
      <c r="W25" s="135"/>
      <c r="X25" s="135"/>
    </row>
    <row r="26" spans="1:24" ht="12.75">
      <c r="A26" s="139"/>
      <c r="B26" s="248"/>
      <c r="C26" s="250"/>
      <c r="D26" s="185" t="s">
        <v>779</v>
      </c>
      <c r="E26" s="135"/>
      <c r="F26" s="135"/>
      <c r="G26" s="135"/>
      <c r="H26" s="135"/>
      <c r="I26" s="135"/>
      <c r="J26" s="135"/>
      <c r="K26" s="135"/>
      <c r="L26" s="135"/>
      <c r="M26" s="135"/>
      <c r="N26" s="135"/>
      <c r="O26" s="135"/>
      <c r="P26" s="135"/>
      <c r="Q26" s="135"/>
      <c r="R26" s="135"/>
      <c r="S26" s="135"/>
      <c r="T26" s="135"/>
      <c r="U26" s="135"/>
      <c r="V26" s="135"/>
      <c r="W26" s="135"/>
      <c r="X26" s="135"/>
    </row>
    <row r="27" spans="1:24" ht="12.75">
      <c r="A27" s="139"/>
      <c r="B27" s="248"/>
      <c r="C27" s="250"/>
      <c r="D27" s="185" t="s">
        <v>791</v>
      </c>
      <c r="E27" s="135"/>
      <c r="F27" s="135"/>
      <c r="G27" s="135"/>
      <c r="H27" s="135"/>
      <c r="I27" s="135"/>
      <c r="J27" s="135"/>
      <c r="K27" s="135"/>
      <c r="L27" s="135"/>
      <c r="M27" s="135"/>
      <c r="N27" s="135"/>
      <c r="O27" s="135"/>
      <c r="P27" s="135"/>
      <c r="Q27" s="135"/>
      <c r="R27" s="135"/>
      <c r="S27" s="135"/>
      <c r="T27" s="135"/>
      <c r="U27" s="135"/>
      <c r="V27" s="135"/>
      <c r="W27" s="135"/>
      <c r="X27" s="135"/>
    </row>
    <row r="28" spans="1:24" ht="12.75">
      <c r="A28" s="139"/>
      <c r="B28" s="248"/>
      <c r="C28" s="250"/>
      <c r="D28" s="185" t="s">
        <v>792</v>
      </c>
      <c r="E28" s="135"/>
      <c r="F28" s="135"/>
      <c r="G28" s="135"/>
      <c r="H28" s="135"/>
      <c r="I28" s="135"/>
      <c r="J28" s="135"/>
      <c r="K28" s="135"/>
      <c r="L28" s="135"/>
      <c r="M28" s="135"/>
      <c r="N28" s="135"/>
      <c r="O28" s="135"/>
      <c r="P28" s="135"/>
      <c r="Q28" s="135"/>
      <c r="R28" s="135"/>
      <c r="S28" s="135"/>
      <c r="T28" s="135"/>
      <c r="U28" s="135"/>
      <c r="V28" s="135"/>
      <c r="W28" s="135"/>
      <c r="X28" s="135"/>
    </row>
    <row r="29" spans="1:24" ht="12.75">
      <c r="A29" s="139"/>
      <c r="B29" s="248"/>
      <c r="C29" s="250"/>
      <c r="D29" s="185" t="s">
        <v>793</v>
      </c>
      <c r="E29" s="135"/>
      <c r="F29" s="135"/>
      <c r="G29" s="135"/>
      <c r="H29" s="135"/>
      <c r="I29" s="135"/>
      <c r="J29" s="135"/>
      <c r="K29" s="135"/>
      <c r="L29" s="135"/>
      <c r="M29" s="135"/>
      <c r="N29" s="135"/>
      <c r="O29" s="135"/>
      <c r="P29" s="135"/>
      <c r="Q29" s="135"/>
      <c r="R29" s="135"/>
      <c r="S29" s="135"/>
      <c r="T29" s="135"/>
      <c r="U29" s="135"/>
      <c r="V29" s="135"/>
      <c r="W29" s="135"/>
      <c r="X29" s="135"/>
    </row>
    <row r="30" spans="1:24" ht="12.75">
      <c r="A30" s="139"/>
      <c r="B30" s="248"/>
      <c r="C30" s="250"/>
      <c r="D30" s="185" t="s">
        <v>794</v>
      </c>
      <c r="E30" s="135"/>
      <c r="F30" s="135"/>
      <c r="G30" s="135"/>
      <c r="H30" s="135"/>
      <c r="I30" s="135"/>
      <c r="J30" s="135"/>
      <c r="K30" s="135"/>
      <c r="L30" s="135"/>
      <c r="M30" s="135"/>
      <c r="N30" s="135"/>
      <c r="O30" s="135"/>
      <c r="P30" s="135"/>
      <c r="Q30" s="135"/>
      <c r="R30" s="135"/>
      <c r="S30" s="135"/>
      <c r="T30" s="135"/>
      <c r="U30" s="135"/>
      <c r="V30" s="135"/>
      <c r="W30" s="135"/>
      <c r="X30" s="135"/>
    </row>
    <row r="31" spans="1:24" ht="12.75">
      <c r="A31" s="139"/>
      <c r="B31" s="248"/>
      <c r="C31" s="250"/>
      <c r="D31" s="185" t="s">
        <v>796</v>
      </c>
      <c r="E31" s="135"/>
      <c r="F31" s="135"/>
      <c r="G31" s="135"/>
      <c r="H31" s="135"/>
      <c r="I31" s="135"/>
      <c r="J31" s="135"/>
      <c r="K31" s="135"/>
      <c r="L31" s="135"/>
      <c r="M31" s="135"/>
      <c r="N31" s="135"/>
      <c r="O31" s="135"/>
      <c r="P31" s="135"/>
      <c r="Q31" s="135"/>
      <c r="R31" s="135"/>
      <c r="S31" s="135"/>
      <c r="T31" s="135"/>
      <c r="U31" s="135"/>
      <c r="V31" s="135"/>
      <c r="W31" s="135"/>
      <c r="X31" s="135"/>
    </row>
    <row r="32" spans="1:24" ht="12.75">
      <c r="A32" s="139"/>
      <c r="B32" s="249"/>
      <c r="C32" s="251"/>
      <c r="D32" s="185" t="s">
        <v>797</v>
      </c>
      <c r="E32" s="135"/>
      <c r="F32" s="135"/>
      <c r="G32" s="135"/>
      <c r="H32" s="135"/>
      <c r="I32" s="135"/>
      <c r="J32" s="135"/>
      <c r="K32" s="135"/>
      <c r="L32" s="135"/>
      <c r="M32" s="135"/>
      <c r="N32" s="135"/>
      <c r="O32" s="135"/>
      <c r="P32" s="135"/>
      <c r="Q32" s="135"/>
      <c r="R32" s="135"/>
      <c r="S32" s="135"/>
      <c r="T32" s="135"/>
      <c r="U32" s="135"/>
      <c r="V32" s="135"/>
      <c r="W32" s="135"/>
      <c r="X32" s="135"/>
    </row>
    <row r="33" spans="1:24" ht="12.75">
      <c r="A33" s="135"/>
      <c r="B33" s="245">
        <v>41536</v>
      </c>
      <c r="C33" s="246">
        <v>1.3</v>
      </c>
      <c r="D33" s="186" t="s">
        <v>825</v>
      </c>
      <c r="E33" s="135"/>
      <c r="F33" s="135"/>
      <c r="G33" s="135"/>
      <c r="H33" s="135"/>
      <c r="I33" s="135"/>
      <c r="J33" s="135"/>
      <c r="K33" s="135"/>
      <c r="L33" s="135"/>
      <c r="M33" s="135"/>
      <c r="N33" s="135"/>
      <c r="O33" s="135"/>
      <c r="P33" s="135"/>
      <c r="Q33" s="135"/>
      <c r="R33" s="135"/>
      <c r="S33" s="135"/>
      <c r="T33" s="135"/>
      <c r="U33" s="135"/>
      <c r="V33" s="135"/>
      <c r="W33" s="135"/>
      <c r="X33" s="135"/>
    </row>
    <row r="34" spans="1:24" ht="12.75">
      <c r="A34" s="135"/>
      <c r="B34" s="248"/>
      <c r="C34" s="250"/>
      <c r="D34" s="185" t="s">
        <v>827</v>
      </c>
      <c r="E34" s="135"/>
      <c r="F34" s="135"/>
      <c r="G34" s="135"/>
      <c r="H34" s="135"/>
      <c r="I34" s="135"/>
      <c r="J34" s="135"/>
      <c r="K34" s="135"/>
      <c r="L34" s="135"/>
      <c r="M34" s="135"/>
      <c r="N34" s="135"/>
      <c r="O34" s="135"/>
      <c r="P34" s="135"/>
      <c r="Q34" s="135"/>
      <c r="R34" s="135"/>
      <c r="S34" s="135"/>
      <c r="T34" s="135"/>
      <c r="U34" s="135"/>
      <c r="V34" s="135"/>
      <c r="W34" s="135"/>
      <c r="X34" s="135"/>
    </row>
    <row r="35" spans="1:24" ht="12.75">
      <c r="A35" s="135"/>
      <c r="B35" s="248"/>
      <c r="C35" s="250"/>
      <c r="D35" s="185" t="s">
        <v>828</v>
      </c>
      <c r="E35" s="135"/>
      <c r="F35" s="135"/>
      <c r="G35" s="135"/>
      <c r="H35" s="135"/>
      <c r="I35" s="135"/>
      <c r="J35" s="135"/>
      <c r="K35" s="135"/>
      <c r="L35" s="135"/>
      <c r="M35" s="135"/>
      <c r="N35" s="135"/>
      <c r="O35" s="135"/>
      <c r="P35" s="135"/>
      <c r="Q35" s="135"/>
      <c r="R35" s="135"/>
      <c r="S35" s="135"/>
      <c r="T35" s="135"/>
      <c r="U35" s="135"/>
      <c r="V35" s="135"/>
      <c r="W35" s="135"/>
      <c r="X35" s="135"/>
    </row>
    <row r="36" spans="1:24" ht="12.75">
      <c r="A36" s="135"/>
      <c r="B36" s="248"/>
      <c r="C36" s="250"/>
      <c r="D36" s="185" t="s">
        <v>829</v>
      </c>
      <c r="E36" s="135"/>
      <c r="F36" s="135"/>
      <c r="G36" s="135"/>
      <c r="H36" s="135"/>
      <c r="I36" s="135"/>
      <c r="J36" s="135"/>
      <c r="K36" s="135"/>
      <c r="L36" s="135"/>
      <c r="M36" s="135"/>
      <c r="N36" s="135"/>
      <c r="O36" s="135"/>
      <c r="P36" s="135"/>
      <c r="Q36" s="135"/>
      <c r="R36" s="135"/>
      <c r="S36" s="135"/>
      <c r="T36" s="135"/>
      <c r="U36" s="135"/>
      <c r="V36" s="135"/>
      <c r="W36" s="135"/>
      <c r="X36" s="135"/>
    </row>
    <row r="37" spans="1:24" ht="12.75">
      <c r="A37" s="135"/>
      <c r="B37" s="248"/>
      <c r="C37" s="250"/>
      <c r="D37" s="185" t="s">
        <v>831</v>
      </c>
      <c r="E37" s="135"/>
      <c r="F37" s="135"/>
      <c r="G37" s="135"/>
      <c r="H37" s="135"/>
      <c r="I37" s="135"/>
      <c r="J37" s="135"/>
      <c r="K37" s="135"/>
      <c r="L37" s="135"/>
      <c r="M37" s="135"/>
      <c r="N37" s="135"/>
      <c r="O37" s="135"/>
      <c r="P37" s="135"/>
      <c r="Q37" s="135"/>
      <c r="R37" s="135"/>
      <c r="S37" s="135"/>
      <c r="T37" s="135"/>
      <c r="U37" s="135"/>
      <c r="V37" s="135"/>
      <c r="W37" s="135"/>
      <c r="X37" s="135"/>
    </row>
    <row r="38" spans="1:24" ht="12.75">
      <c r="A38" s="135"/>
      <c r="B38" s="248"/>
      <c r="C38" s="250"/>
      <c r="D38" s="185" t="s">
        <v>832</v>
      </c>
      <c r="E38" s="135"/>
      <c r="F38" s="135"/>
      <c r="G38" s="135"/>
      <c r="H38" s="135"/>
      <c r="I38" s="135"/>
      <c r="J38" s="135"/>
      <c r="K38" s="135"/>
      <c r="L38" s="135"/>
      <c r="M38" s="135"/>
      <c r="N38" s="135"/>
      <c r="O38" s="135"/>
      <c r="P38" s="135"/>
      <c r="Q38" s="135"/>
      <c r="R38" s="135"/>
      <c r="S38" s="135"/>
      <c r="T38" s="135"/>
      <c r="U38" s="135"/>
      <c r="V38" s="135"/>
      <c r="W38" s="135"/>
      <c r="X38" s="135"/>
    </row>
    <row r="39" spans="1:24" ht="12.75">
      <c r="A39" s="135"/>
      <c r="B39" s="248"/>
      <c r="C39" s="250"/>
      <c r="D39" s="185" t="s">
        <v>859</v>
      </c>
      <c r="E39" s="135"/>
      <c r="F39" s="135"/>
      <c r="G39" s="135"/>
      <c r="H39" s="135"/>
      <c r="I39" s="135"/>
      <c r="J39" s="135"/>
      <c r="K39" s="135"/>
      <c r="L39" s="135"/>
      <c r="M39" s="135"/>
      <c r="N39" s="135"/>
      <c r="O39" s="135"/>
      <c r="P39" s="135"/>
      <c r="Q39" s="135"/>
      <c r="R39" s="135"/>
      <c r="S39" s="135"/>
      <c r="T39" s="135"/>
      <c r="U39" s="135"/>
      <c r="V39" s="135"/>
      <c r="W39" s="135"/>
      <c r="X39" s="135"/>
    </row>
    <row r="40" spans="1:24" ht="12.75">
      <c r="A40" s="135"/>
      <c r="B40" s="248"/>
      <c r="C40" s="250"/>
      <c r="D40" s="185" t="s">
        <v>871</v>
      </c>
      <c r="E40" s="135"/>
      <c r="F40" s="135"/>
      <c r="G40" s="135"/>
      <c r="H40" s="135"/>
      <c r="I40" s="135"/>
      <c r="J40" s="135"/>
      <c r="K40" s="135"/>
      <c r="L40" s="135"/>
      <c r="M40" s="135"/>
      <c r="N40" s="135"/>
      <c r="O40" s="135"/>
      <c r="P40" s="135"/>
      <c r="Q40" s="135"/>
      <c r="R40" s="135"/>
      <c r="S40" s="135"/>
      <c r="T40" s="135"/>
      <c r="U40" s="135"/>
      <c r="V40" s="135"/>
      <c r="W40" s="135"/>
      <c r="X40" s="135"/>
    </row>
    <row r="41" spans="1:24" ht="12.75">
      <c r="A41" s="135"/>
      <c r="B41" s="248"/>
      <c r="C41" s="250"/>
      <c r="D41" s="185" t="s">
        <v>870</v>
      </c>
      <c r="E41" s="135"/>
      <c r="F41" s="135"/>
      <c r="G41" s="135"/>
      <c r="H41" s="135"/>
      <c r="I41" s="135"/>
      <c r="J41" s="135"/>
      <c r="K41" s="135"/>
      <c r="L41" s="135"/>
      <c r="M41" s="135"/>
      <c r="N41" s="135"/>
      <c r="O41" s="135"/>
      <c r="P41" s="135"/>
      <c r="Q41" s="135"/>
      <c r="R41" s="135"/>
      <c r="S41" s="135"/>
      <c r="T41" s="135"/>
      <c r="U41" s="135"/>
      <c r="V41" s="135"/>
      <c r="W41" s="135"/>
      <c r="X41" s="135"/>
    </row>
    <row r="42" spans="1:24" ht="12.75">
      <c r="A42" s="135"/>
      <c r="B42" s="248"/>
      <c r="C42" s="250"/>
      <c r="D42" s="185" t="s">
        <v>872</v>
      </c>
      <c r="E42" s="135"/>
      <c r="F42" s="135"/>
      <c r="G42" s="135"/>
      <c r="H42" s="135"/>
      <c r="I42" s="135"/>
      <c r="J42" s="135"/>
      <c r="K42" s="135"/>
      <c r="L42" s="135"/>
      <c r="M42" s="135"/>
      <c r="N42" s="135"/>
      <c r="O42" s="135"/>
      <c r="P42" s="135"/>
      <c r="Q42" s="135"/>
      <c r="R42" s="135"/>
      <c r="S42" s="135"/>
      <c r="T42" s="135"/>
      <c r="U42" s="135"/>
      <c r="V42" s="135"/>
      <c r="W42" s="135"/>
      <c r="X42" s="135"/>
    </row>
    <row r="43" spans="1:24" ht="12.75">
      <c r="A43" s="135"/>
      <c r="B43" s="248"/>
      <c r="C43" s="250"/>
      <c r="D43" s="185" t="s">
        <v>1123</v>
      </c>
      <c r="E43" s="135"/>
      <c r="F43" s="135"/>
      <c r="G43" s="135"/>
      <c r="H43" s="135"/>
      <c r="I43" s="135"/>
      <c r="J43" s="135"/>
      <c r="K43" s="135"/>
      <c r="L43" s="135"/>
      <c r="M43" s="135"/>
      <c r="N43" s="135"/>
      <c r="O43" s="135"/>
      <c r="P43" s="135"/>
      <c r="Q43" s="135"/>
      <c r="R43" s="135"/>
      <c r="S43" s="135"/>
      <c r="T43" s="135"/>
      <c r="U43" s="135"/>
      <c r="V43" s="135"/>
      <c r="W43" s="135"/>
      <c r="X43" s="135"/>
    </row>
    <row r="44" spans="1:24" ht="12.75">
      <c r="A44" s="135"/>
      <c r="B44" s="248"/>
      <c r="C44" s="250"/>
      <c r="D44" s="185" t="s">
        <v>1124</v>
      </c>
      <c r="E44" s="135"/>
      <c r="F44" s="135"/>
      <c r="G44" s="135"/>
      <c r="H44" s="135"/>
      <c r="I44" s="135"/>
      <c r="J44" s="135"/>
      <c r="K44" s="135"/>
      <c r="L44" s="135"/>
      <c r="M44" s="135"/>
      <c r="N44" s="135"/>
      <c r="O44" s="135"/>
      <c r="P44" s="135"/>
      <c r="Q44" s="135"/>
      <c r="R44" s="135"/>
      <c r="S44" s="135"/>
      <c r="T44" s="135"/>
      <c r="U44" s="135"/>
      <c r="V44" s="135"/>
      <c r="W44" s="135"/>
      <c r="X44" s="135"/>
    </row>
    <row r="45" spans="1:24" ht="12.75">
      <c r="A45" s="135"/>
      <c r="B45" s="248"/>
      <c r="C45" s="250"/>
      <c r="D45" s="185" t="s">
        <v>1127</v>
      </c>
      <c r="E45" s="135"/>
      <c r="F45" s="135"/>
      <c r="G45" s="135"/>
      <c r="H45" s="135"/>
      <c r="I45" s="135"/>
      <c r="J45" s="135"/>
      <c r="K45" s="135"/>
      <c r="L45" s="135"/>
      <c r="M45" s="135"/>
      <c r="N45" s="135"/>
      <c r="O45" s="135"/>
      <c r="P45" s="135"/>
      <c r="Q45" s="135"/>
      <c r="R45" s="135"/>
      <c r="S45" s="135"/>
      <c r="T45" s="135"/>
      <c r="U45" s="135"/>
      <c r="V45" s="135"/>
      <c r="W45" s="135"/>
      <c r="X45" s="135"/>
    </row>
    <row r="46" spans="1:24" ht="12.75">
      <c r="A46" s="135"/>
      <c r="B46" s="248"/>
      <c r="C46" s="250"/>
      <c r="D46" s="185" t="s">
        <v>1148</v>
      </c>
      <c r="E46" s="135"/>
      <c r="F46" s="135"/>
      <c r="G46" s="135"/>
      <c r="H46" s="135"/>
      <c r="I46" s="135"/>
      <c r="J46" s="135"/>
      <c r="K46" s="135"/>
      <c r="L46" s="135"/>
      <c r="M46" s="135"/>
      <c r="N46" s="135"/>
      <c r="O46" s="135"/>
      <c r="P46" s="135"/>
      <c r="Q46" s="135"/>
      <c r="R46" s="135"/>
      <c r="S46" s="135"/>
      <c r="T46" s="135"/>
      <c r="U46" s="135"/>
      <c r="V46" s="135"/>
      <c r="W46" s="135"/>
      <c r="X46" s="135"/>
    </row>
    <row r="47" spans="1:24" ht="12.75">
      <c r="A47" s="135"/>
      <c r="B47" s="244">
        <v>41705</v>
      </c>
      <c r="C47" s="243">
        <v>1.4</v>
      </c>
      <c r="D47" s="186" t="s">
        <v>1150</v>
      </c>
      <c r="E47" s="135"/>
      <c r="F47" s="135"/>
      <c r="G47" s="135"/>
      <c r="H47" s="135"/>
      <c r="I47" s="135"/>
      <c r="J47" s="135"/>
      <c r="K47" s="135"/>
      <c r="L47" s="135"/>
      <c r="M47" s="135"/>
      <c r="N47" s="135"/>
      <c r="O47" s="135"/>
      <c r="P47" s="135"/>
      <c r="Q47" s="135"/>
      <c r="R47" s="135"/>
      <c r="S47" s="135"/>
      <c r="T47" s="135"/>
      <c r="U47" s="135"/>
      <c r="V47" s="135"/>
      <c r="W47" s="135"/>
      <c r="X47" s="135"/>
    </row>
    <row r="48" spans="1:24" ht="12.75">
      <c r="A48" s="135"/>
      <c r="B48" s="244"/>
      <c r="C48" s="243"/>
      <c r="D48" s="185" t="s">
        <v>1152</v>
      </c>
      <c r="E48" s="135"/>
      <c r="F48" s="135"/>
      <c r="G48" s="135"/>
      <c r="H48" s="135"/>
      <c r="I48" s="135"/>
      <c r="J48" s="135"/>
      <c r="K48" s="135"/>
      <c r="L48" s="135"/>
      <c r="M48" s="135"/>
      <c r="N48" s="135"/>
      <c r="O48" s="135"/>
      <c r="P48" s="135"/>
      <c r="Q48" s="135"/>
      <c r="R48" s="135"/>
      <c r="S48" s="135"/>
      <c r="T48" s="135"/>
      <c r="U48" s="135"/>
      <c r="V48" s="135"/>
      <c r="W48" s="135"/>
      <c r="X48" s="135"/>
    </row>
    <row r="49" spans="1:24" ht="12.75">
      <c r="A49" s="135"/>
      <c r="B49" s="244"/>
      <c r="C49" s="243"/>
      <c r="D49" s="185" t="s">
        <v>1153</v>
      </c>
      <c r="E49" s="135"/>
      <c r="F49" s="135"/>
      <c r="G49" s="135"/>
      <c r="H49" s="135"/>
      <c r="I49" s="135"/>
      <c r="J49" s="135"/>
      <c r="K49" s="135"/>
      <c r="L49" s="135"/>
      <c r="M49" s="135"/>
      <c r="N49" s="135"/>
      <c r="O49" s="135"/>
      <c r="P49" s="135"/>
      <c r="Q49" s="135"/>
      <c r="R49" s="135"/>
      <c r="S49" s="135"/>
      <c r="T49" s="135"/>
      <c r="U49" s="135"/>
      <c r="V49" s="135"/>
      <c r="W49" s="135"/>
      <c r="X49" s="135"/>
    </row>
    <row r="50" spans="1:24" ht="12.75">
      <c r="A50" s="135"/>
      <c r="B50" s="244"/>
      <c r="C50" s="243"/>
      <c r="D50" s="185" t="s">
        <v>1154</v>
      </c>
      <c r="E50" s="135"/>
      <c r="F50" s="135"/>
      <c r="G50" s="135"/>
      <c r="H50" s="135"/>
      <c r="I50" s="135"/>
      <c r="J50" s="135"/>
      <c r="K50" s="135"/>
      <c r="L50" s="135"/>
      <c r="M50" s="135"/>
      <c r="N50" s="135"/>
      <c r="O50" s="135"/>
      <c r="P50" s="135"/>
      <c r="Q50" s="135"/>
      <c r="R50" s="135"/>
      <c r="S50" s="135"/>
      <c r="T50" s="135"/>
      <c r="U50" s="135"/>
      <c r="V50" s="135"/>
      <c r="W50" s="135"/>
      <c r="X50" s="135"/>
    </row>
    <row r="51" spans="1:24" ht="12.75">
      <c r="A51" s="135"/>
      <c r="B51" s="244"/>
      <c r="C51" s="243"/>
      <c r="D51" s="185" t="s">
        <v>1156</v>
      </c>
      <c r="E51" s="135"/>
      <c r="F51" s="135"/>
      <c r="G51" s="135"/>
      <c r="H51" s="135"/>
      <c r="I51" s="135"/>
      <c r="J51" s="135"/>
      <c r="K51" s="135"/>
      <c r="L51" s="135"/>
      <c r="M51" s="135"/>
      <c r="N51" s="135"/>
      <c r="O51" s="135"/>
      <c r="P51" s="135"/>
      <c r="Q51" s="135"/>
      <c r="R51" s="135"/>
      <c r="S51" s="135"/>
      <c r="T51" s="135"/>
      <c r="U51" s="135"/>
      <c r="V51" s="135"/>
      <c r="W51" s="135"/>
      <c r="X51" s="135"/>
    </row>
    <row r="52" spans="1:24" ht="12.75">
      <c r="A52" s="135"/>
      <c r="B52" s="244"/>
      <c r="C52" s="243"/>
      <c r="D52" s="185" t="s">
        <v>1162</v>
      </c>
      <c r="E52" s="135"/>
      <c r="F52" s="135"/>
      <c r="G52" s="135"/>
      <c r="H52" s="135"/>
      <c r="I52" s="135"/>
      <c r="J52" s="135"/>
      <c r="K52" s="135"/>
      <c r="L52" s="135"/>
      <c r="M52" s="135"/>
      <c r="N52" s="135"/>
      <c r="O52" s="135"/>
      <c r="P52" s="135"/>
      <c r="Q52" s="135"/>
      <c r="R52" s="135"/>
      <c r="S52" s="135"/>
      <c r="T52" s="135"/>
      <c r="U52" s="135"/>
      <c r="V52" s="135"/>
      <c r="W52" s="135"/>
      <c r="X52" s="135"/>
    </row>
    <row r="53" spans="1:24" ht="12.75">
      <c r="A53" s="135"/>
      <c r="B53" s="244"/>
      <c r="C53" s="243"/>
      <c r="D53" s="185" t="s">
        <v>1165</v>
      </c>
      <c r="E53" s="135"/>
      <c r="F53" s="135"/>
      <c r="G53" s="135"/>
      <c r="H53" s="135"/>
      <c r="I53" s="135"/>
      <c r="J53" s="135"/>
      <c r="K53" s="135"/>
      <c r="L53" s="135"/>
      <c r="M53" s="135"/>
      <c r="N53" s="135"/>
      <c r="O53" s="135"/>
      <c r="P53" s="135"/>
      <c r="Q53" s="135"/>
      <c r="R53" s="135"/>
      <c r="S53" s="135"/>
      <c r="T53" s="135"/>
      <c r="U53" s="135"/>
      <c r="V53" s="135"/>
      <c r="W53" s="135"/>
      <c r="X53" s="135"/>
    </row>
    <row r="54" spans="1:24" ht="12.75">
      <c r="A54" s="135"/>
      <c r="B54" s="244"/>
      <c r="C54" s="243"/>
      <c r="D54" s="185" t="s">
        <v>1167</v>
      </c>
      <c r="E54" s="135"/>
      <c r="F54" s="135"/>
      <c r="G54" s="135"/>
      <c r="H54" s="135"/>
      <c r="I54" s="135"/>
      <c r="J54" s="135"/>
      <c r="K54" s="135"/>
      <c r="L54" s="135"/>
      <c r="M54" s="135"/>
      <c r="N54" s="135"/>
      <c r="O54" s="135"/>
      <c r="P54" s="135"/>
      <c r="Q54" s="135"/>
      <c r="R54" s="135"/>
      <c r="S54" s="135"/>
      <c r="T54" s="135"/>
      <c r="U54" s="135"/>
      <c r="V54" s="135"/>
      <c r="W54" s="135"/>
      <c r="X54" s="135"/>
    </row>
    <row r="55" spans="1:24" ht="12.75">
      <c r="A55" s="135"/>
      <c r="B55" s="244"/>
      <c r="C55" s="243"/>
      <c r="D55" s="185" t="s">
        <v>1170</v>
      </c>
      <c r="E55" s="135"/>
      <c r="F55" s="135"/>
      <c r="G55" s="135"/>
      <c r="H55" s="135"/>
      <c r="I55" s="135"/>
      <c r="J55" s="135"/>
      <c r="K55" s="135"/>
      <c r="L55" s="135"/>
      <c r="M55" s="135"/>
      <c r="N55" s="135"/>
      <c r="O55" s="135"/>
      <c r="P55" s="135"/>
      <c r="Q55" s="135"/>
      <c r="R55" s="135"/>
      <c r="S55" s="135"/>
      <c r="T55" s="135"/>
      <c r="U55" s="135"/>
      <c r="V55" s="135"/>
      <c r="W55" s="135"/>
      <c r="X55" s="135"/>
    </row>
    <row r="56" spans="1:24" ht="12.75">
      <c r="A56" s="135"/>
      <c r="B56" s="244"/>
      <c r="C56" s="243"/>
      <c r="D56" s="185" t="s">
        <v>1171</v>
      </c>
      <c r="E56" s="135"/>
      <c r="F56" s="135"/>
      <c r="G56" s="135"/>
      <c r="H56" s="135"/>
      <c r="I56" s="135"/>
      <c r="J56" s="135"/>
      <c r="K56" s="135"/>
      <c r="L56" s="135"/>
      <c r="M56" s="135"/>
      <c r="N56" s="135"/>
      <c r="O56" s="135"/>
      <c r="P56" s="135"/>
      <c r="Q56" s="135"/>
      <c r="R56" s="135"/>
      <c r="S56" s="135"/>
      <c r="T56" s="135"/>
      <c r="U56" s="135"/>
      <c r="V56" s="135"/>
      <c r="W56" s="135"/>
      <c r="X56" s="135"/>
    </row>
    <row r="57" spans="1:24" ht="12.75">
      <c r="A57" s="135"/>
      <c r="B57" s="244"/>
      <c r="C57" s="243"/>
      <c r="D57" s="185" t="s">
        <v>1174</v>
      </c>
      <c r="E57" s="135"/>
      <c r="F57" s="135"/>
      <c r="G57" s="135"/>
      <c r="H57" s="135"/>
      <c r="I57" s="135"/>
      <c r="J57" s="135"/>
      <c r="K57" s="135"/>
      <c r="L57" s="135"/>
      <c r="M57" s="135"/>
      <c r="N57" s="135"/>
      <c r="O57" s="135"/>
      <c r="P57" s="135"/>
      <c r="Q57" s="135"/>
      <c r="R57" s="135"/>
      <c r="S57" s="135"/>
      <c r="T57" s="135"/>
      <c r="U57" s="135"/>
      <c r="V57" s="135"/>
      <c r="W57" s="135"/>
      <c r="X57" s="135"/>
    </row>
    <row r="58" spans="1:24" ht="12.75">
      <c r="A58" s="135"/>
      <c r="B58" s="244"/>
      <c r="C58" s="243"/>
      <c r="D58" s="185" t="s">
        <v>1175</v>
      </c>
      <c r="E58" s="135"/>
      <c r="F58" s="135"/>
      <c r="G58" s="135"/>
      <c r="H58" s="135"/>
      <c r="I58" s="135"/>
      <c r="J58" s="135"/>
      <c r="K58" s="135"/>
      <c r="L58" s="135"/>
      <c r="M58" s="135"/>
      <c r="N58" s="135"/>
      <c r="O58" s="135"/>
      <c r="P58" s="135"/>
      <c r="Q58" s="135"/>
      <c r="R58" s="135"/>
      <c r="S58" s="135"/>
      <c r="T58" s="135"/>
      <c r="U58" s="135"/>
      <c r="V58" s="135"/>
      <c r="W58" s="135"/>
      <c r="X58" s="135"/>
    </row>
    <row r="59" spans="1:24" ht="12.75">
      <c r="A59" s="135"/>
      <c r="B59" s="244"/>
      <c r="C59" s="243"/>
      <c r="D59" s="185" t="s">
        <v>1176</v>
      </c>
      <c r="E59" s="135"/>
      <c r="F59" s="135"/>
      <c r="G59" s="135"/>
      <c r="H59" s="135"/>
      <c r="I59" s="135"/>
      <c r="J59" s="135"/>
      <c r="K59" s="135"/>
      <c r="L59" s="135"/>
      <c r="M59" s="135"/>
      <c r="N59" s="135"/>
      <c r="O59" s="135"/>
      <c r="P59" s="135"/>
      <c r="Q59" s="135"/>
      <c r="R59" s="135"/>
      <c r="S59" s="135"/>
      <c r="T59" s="135"/>
      <c r="U59" s="135"/>
      <c r="V59" s="135"/>
      <c r="W59" s="135"/>
      <c r="X59" s="135"/>
    </row>
    <row r="60" spans="1:24" ht="12.75">
      <c r="A60" s="135"/>
      <c r="B60" s="244"/>
      <c r="C60" s="243"/>
      <c r="D60" s="185" t="s">
        <v>1177</v>
      </c>
      <c r="E60" s="135"/>
      <c r="F60" s="135"/>
      <c r="G60" s="135"/>
      <c r="H60" s="135"/>
      <c r="I60" s="135"/>
      <c r="J60" s="135"/>
      <c r="K60" s="135"/>
      <c r="L60" s="135"/>
      <c r="M60" s="135"/>
      <c r="N60" s="135"/>
      <c r="O60" s="135"/>
      <c r="P60" s="135"/>
      <c r="Q60" s="135"/>
      <c r="R60" s="135"/>
      <c r="S60" s="135"/>
      <c r="T60" s="135"/>
      <c r="U60" s="135"/>
      <c r="V60" s="135"/>
      <c r="W60" s="135"/>
      <c r="X60" s="135"/>
    </row>
    <row r="61" spans="1:24" ht="12.75">
      <c r="A61" s="135"/>
      <c r="B61" s="244"/>
      <c r="C61" s="243"/>
      <c r="D61" s="185" t="s">
        <v>1179</v>
      </c>
      <c r="E61" s="135"/>
      <c r="F61" s="135"/>
      <c r="G61" s="135"/>
      <c r="H61" s="135"/>
      <c r="I61" s="135"/>
      <c r="J61" s="135"/>
      <c r="K61" s="135"/>
      <c r="L61" s="135"/>
      <c r="M61" s="135"/>
      <c r="N61" s="135"/>
      <c r="O61" s="135"/>
      <c r="P61" s="135"/>
      <c r="Q61" s="135"/>
      <c r="R61" s="135"/>
      <c r="S61" s="135"/>
      <c r="T61" s="135"/>
      <c r="U61" s="135"/>
      <c r="V61" s="135"/>
      <c r="W61" s="135"/>
      <c r="X61" s="135"/>
    </row>
    <row r="62" spans="1:24" ht="12.75">
      <c r="A62" s="135"/>
      <c r="B62" s="244"/>
      <c r="C62" s="243"/>
      <c r="D62" s="184" t="s">
        <v>1187</v>
      </c>
      <c r="E62" s="135"/>
      <c r="F62" s="135"/>
      <c r="G62" s="135"/>
      <c r="H62" s="135"/>
      <c r="I62" s="135"/>
      <c r="J62" s="135"/>
      <c r="K62" s="135"/>
      <c r="L62" s="135"/>
      <c r="M62" s="135"/>
      <c r="N62" s="135"/>
      <c r="O62" s="135"/>
      <c r="P62" s="135"/>
      <c r="Q62" s="135"/>
      <c r="R62" s="135"/>
      <c r="S62" s="135"/>
      <c r="T62" s="135"/>
      <c r="U62" s="135"/>
      <c r="V62" s="135"/>
      <c r="W62" s="135"/>
      <c r="X62" s="135"/>
    </row>
    <row r="63" spans="1:24" ht="12.75">
      <c r="A63" s="135"/>
      <c r="B63" s="208">
        <v>41723</v>
      </c>
      <c r="C63" s="207" t="s">
        <v>1188</v>
      </c>
      <c r="D63" s="186" t="s">
        <v>1189</v>
      </c>
      <c r="E63" s="135"/>
      <c r="F63" s="135"/>
      <c r="G63" s="135"/>
      <c r="H63" s="135"/>
      <c r="I63" s="135"/>
      <c r="J63" s="135"/>
      <c r="K63" s="135"/>
      <c r="L63" s="135"/>
      <c r="M63" s="135"/>
      <c r="N63" s="135"/>
      <c r="O63" s="135"/>
      <c r="P63" s="135"/>
      <c r="Q63" s="135"/>
      <c r="R63" s="135"/>
      <c r="S63" s="135"/>
      <c r="T63" s="135"/>
      <c r="U63" s="135"/>
      <c r="V63" s="135"/>
      <c r="W63" s="135"/>
      <c r="X63" s="135"/>
    </row>
    <row r="64" spans="1:24" ht="12.75">
      <c r="A64" s="135"/>
      <c r="B64" s="208">
        <v>41739</v>
      </c>
      <c r="C64" s="207" t="s">
        <v>1191</v>
      </c>
      <c r="D64" s="183" t="s">
        <v>1190</v>
      </c>
      <c r="E64" s="135"/>
      <c r="F64" s="135"/>
      <c r="G64" s="135"/>
      <c r="H64" s="135"/>
      <c r="I64" s="135"/>
      <c r="J64" s="135"/>
      <c r="K64" s="135"/>
      <c r="L64" s="135"/>
      <c r="M64" s="135"/>
      <c r="N64" s="135"/>
      <c r="O64" s="135"/>
      <c r="P64" s="135"/>
      <c r="Q64" s="135"/>
      <c r="R64" s="135"/>
      <c r="S64" s="135"/>
      <c r="T64" s="135"/>
      <c r="U64" s="135"/>
      <c r="V64" s="135"/>
      <c r="W64" s="135"/>
      <c r="X64" s="135"/>
    </row>
    <row r="65" spans="1:24" ht="12.75">
      <c r="A65" s="135"/>
      <c r="B65" s="245">
        <v>42089</v>
      </c>
      <c r="C65" s="246">
        <v>1.5</v>
      </c>
      <c r="D65" s="186" t="s">
        <v>1197</v>
      </c>
      <c r="E65" s="135"/>
      <c r="F65" s="135"/>
      <c r="G65" s="135"/>
      <c r="H65" s="135"/>
      <c r="I65" s="135"/>
      <c r="J65" s="135"/>
      <c r="K65" s="135"/>
      <c r="L65" s="135"/>
      <c r="M65" s="135"/>
      <c r="N65" s="135"/>
      <c r="O65" s="135"/>
      <c r="P65" s="135"/>
      <c r="Q65" s="135"/>
      <c r="R65" s="135"/>
      <c r="S65" s="135"/>
      <c r="T65" s="135"/>
      <c r="U65" s="135"/>
      <c r="V65" s="135"/>
      <c r="W65" s="135"/>
      <c r="X65" s="135"/>
    </row>
    <row r="66" spans="1:24" ht="12.75">
      <c r="A66" s="135"/>
      <c r="B66" s="248"/>
      <c r="C66" s="250"/>
      <c r="D66" s="185" t="s">
        <v>1198</v>
      </c>
      <c r="E66" s="135"/>
      <c r="F66" s="135"/>
      <c r="G66" s="135"/>
      <c r="H66" s="135"/>
      <c r="I66" s="135"/>
      <c r="J66" s="135"/>
      <c r="K66" s="135"/>
      <c r="L66" s="135"/>
      <c r="M66" s="135"/>
      <c r="N66" s="135"/>
      <c r="O66" s="135"/>
      <c r="P66" s="135"/>
      <c r="Q66" s="135"/>
      <c r="R66" s="135"/>
      <c r="S66" s="135"/>
      <c r="T66" s="135"/>
      <c r="U66" s="135"/>
      <c r="V66" s="135"/>
      <c r="W66" s="135"/>
      <c r="X66" s="135"/>
    </row>
    <row r="67" spans="1:24" ht="12.75">
      <c r="A67" s="135"/>
      <c r="B67" s="248"/>
      <c r="C67" s="250"/>
      <c r="D67" s="185" t="s">
        <v>1203</v>
      </c>
      <c r="E67" s="135"/>
      <c r="F67" s="135"/>
      <c r="G67" s="135"/>
      <c r="H67" s="135"/>
      <c r="I67" s="135"/>
      <c r="J67" s="135"/>
      <c r="K67" s="135"/>
      <c r="L67" s="135"/>
      <c r="M67" s="135"/>
      <c r="N67" s="135"/>
      <c r="O67" s="135"/>
      <c r="P67" s="135"/>
      <c r="Q67" s="135"/>
      <c r="R67" s="135"/>
      <c r="S67" s="135"/>
      <c r="T67" s="135"/>
      <c r="U67" s="135"/>
      <c r="V67" s="135"/>
      <c r="W67" s="135"/>
      <c r="X67" s="135"/>
    </row>
    <row r="68" spans="1:24" ht="12.75">
      <c r="A68" s="135"/>
      <c r="B68" s="248"/>
      <c r="C68" s="250"/>
      <c r="D68" s="185" t="s">
        <v>1204</v>
      </c>
      <c r="E68" s="135"/>
      <c r="F68" s="135"/>
      <c r="G68" s="135"/>
      <c r="H68" s="135"/>
      <c r="I68" s="135"/>
      <c r="J68" s="135"/>
      <c r="K68" s="135"/>
      <c r="L68" s="135"/>
      <c r="M68" s="135"/>
      <c r="N68" s="135"/>
      <c r="O68" s="135"/>
      <c r="P68" s="135"/>
      <c r="Q68" s="135"/>
      <c r="R68" s="135"/>
      <c r="S68" s="135"/>
      <c r="T68" s="135"/>
      <c r="U68" s="135"/>
      <c r="V68" s="135"/>
      <c r="W68" s="135"/>
      <c r="X68" s="135"/>
    </row>
    <row r="69" spans="1:24" ht="12.75">
      <c r="A69" s="135"/>
      <c r="B69" s="248"/>
      <c r="C69" s="250"/>
      <c r="D69" s="185" t="s">
        <v>786</v>
      </c>
      <c r="E69" s="135"/>
      <c r="F69" s="135"/>
      <c r="G69" s="135"/>
      <c r="H69" s="135"/>
      <c r="I69" s="135"/>
      <c r="J69" s="135"/>
      <c r="K69" s="135"/>
      <c r="L69" s="135"/>
      <c r="M69" s="135"/>
      <c r="N69" s="135"/>
      <c r="O69" s="135"/>
      <c r="P69" s="135"/>
      <c r="Q69" s="135"/>
      <c r="R69" s="135"/>
      <c r="S69" s="135"/>
      <c r="T69" s="135"/>
      <c r="U69" s="135"/>
      <c r="V69" s="135"/>
      <c r="W69" s="135"/>
      <c r="X69" s="135"/>
    </row>
    <row r="70" spans="1:24" ht="12.75" customHeight="1">
      <c r="A70" s="135"/>
      <c r="B70" s="248"/>
      <c r="C70" s="250"/>
      <c r="D70" s="185" t="s">
        <v>1208</v>
      </c>
      <c r="E70" s="135"/>
      <c r="F70" s="135"/>
      <c r="G70" s="135"/>
      <c r="H70" s="135"/>
      <c r="I70" s="135"/>
      <c r="J70" s="135"/>
      <c r="K70" s="135"/>
      <c r="L70" s="135"/>
      <c r="M70" s="135"/>
      <c r="N70" s="135"/>
      <c r="O70" s="135"/>
      <c r="P70" s="135"/>
      <c r="Q70" s="135"/>
      <c r="R70" s="135"/>
      <c r="S70" s="135"/>
      <c r="T70" s="135"/>
      <c r="U70" s="135"/>
      <c r="V70" s="135"/>
      <c r="W70" s="135"/>
      <c r="X70" s="135"/>
    </row>
    <row r="71" spans="1:24" ht="12.75" customHeight="1">
      <c r="A71" s="135"/>
      <c r="B71" s="248"/>
      <c r="C71" s="250"/>
      <c r="D71" s="185" t="s">
        <v>1209</v>
      </c>
      <c r="E71" s="135"/>
      <c r="F71" s="135"/>
      <c r="G71" s="135"/>
      <c r="H71" s="135"/>
      <c r="I71" s="135"/>
      <c r="J71" s="135"/>
      <c r="K71" s="135"/>
      <c r="L71" s="135"/>
      <c r="M71" s="135"/>
      <c r="N71" s="135"/>
      <c r="O71" s="135"/>
      <c r="P71" s="135"/>
      <c r="Q71" s="135"/>
      <c r="R71" s="135"/>
      <c r="S71" s="135"/>
      <c r="T71" s="135"/>
      <c r="U71" s="135"/>
      <c r="V71" s="135"/>
      <c r="W71" s="135"/>
      <c r="X71" s="135"/>
    </row>
    <row r="72" spans="1:24" ht="12.75" customHeight="1">
      <c r="A72" s="135"/>
      <c r="B72" s="248"/>
      <c r="C72" s="250"/>
      <c r="D72" s="185" t="s">
        <v>1210</v>
      </c>
      <c r="E72" s="135"/>
      <c r="F72" s="135"/>
      <c r="G72" s="135"/>
      <c r="H72" s="135"/>
      <c r="I72" s="135"/>
      <c r="J72" s="135"/>
      <c r="K72" s="135"/>
      <c r="L72" s="135"/>
      <c r="M72" s="135"/>
      <c r="N72" s="135"/>
      <c r="O72" s="135"/>
      <c r="P72" s="135"/>
      <c r="Q72" s="135"/>
      <c r="R72" s="135"/>
      <c r="S72" s="135"/>
      <c r="T72" s="135"/>
      <c r="U72" s="135"/>
      <c r="V72" s="135"/>
      <c r="W72" s="135"/>
      <c r="X72" s="135"/>
    </row>
    <row r="73" spans="1:24" ht="12.75" customHeight="1">
      <c r="A73" s="135"/>
      <c r="B73" s="248"/>
      <c r="C73" s="250"/>
      <c r="D73" s="185" t="s">
        <v>1213</v>
      </c>
      <c r="E73" s="135"/>
      <c r="F73" s="135"/>
      <c r="G73" s="135"/>
      <c r="H73" s="135"/>
      <c r="I73" s="135"/>
      <c r="J73" s="135"/>
      <c r="K73" s="135"/>
      <c r="L73" s="135"/>
      <c r="M73" s="135"/>
      <c r="N73" s="135"/>
      <c r="O73" s="135"/>
      <c r="P73" s="135"/>
      <c r="Q73" s="135"/>
      <c r="R73" s="135"/>
      <c r="S73" s="135"/>
      <c r="T73" s="135"/>
      <c r="U73" s="135"/>
      <c r="V73" s="135"/>
      <c r="W73" s="135"/>
      <c r="X73" s="135"/>
    </row>
    <row r="74" spans="1:24" ht="12.75" customHeight="1">
      <c r="A74" s="135"/>
      <c r="B74" s="248"/>
      <c r="C74" s="250"/>
      <c r="D74" s="185" t="s">
        <v>1218</v>
      </c>
      <c r="E74" s="135"/>
      <c r="F74" s="135"/>
      <c r="G74" s="135"/>
      <c r="H74" s="135"/>
      <c r="I74" s="135"/>
      <c r="J74" s="135"/>
      <c r="K74" s="135"/>
      <c r="L74" s="135"/>
      <c r="M74" s="135"/>
      <c r="N74" s="135"/>
      <c r="O74" s="135"/>
      <c r="P74" s="135"/>
      <c r="Q74" s="135"/>
      <c r="R74" s="135"/>
      <c r="S74" s="135"/>
      <c r="T74" s="135"/>
      <c r="U74" s="135"/>
      <c r="V74" s="135"/>
      <c r="W74" s="135"/>
      <c r="X74" s="135"/>
    </row>
    <row r="75" spans="1:24" ht="12.75" customHeight="1">
      <c r="A75" s="135"/>
      <c r="B75" s="248"/>
      <c r="C75" s="250"/>
      <c r="D75" s="185" t="s">
        <v>1226</v>
      </c>
      <c r="E75" s="135"/>
      <c r="F75" s="135"/>
      <c r="G75" s="135"/>
      <c r="H75" s="135"/>
      <c r="I75" s="135"/>
      <c r="J75" s="135"/>
      <c r="K75" s="135"/>
      <c r="L75" s="135"/>
      <c r="M75" s="135"/>
      <c r="N75" s="135"/>
      <c r="O75" s="135"/>
      <c r="P75" s="135"/>
      <c r="Q75" s="135"/>
      <c r="R75" s="135"/>
      <c r="S75" s="135"/>
      <c r="T75" s="135"/>
      <c r="U75" s="135"/>
      <c r="V75" s="135"/>
      <c r="W75" s="135"/>
      <c r="X75" s="135"/>
    </row>
    <row r="76" spans="1:24" ht="12.75" customHeight="1">
      <c r="A76" s="135"/>
      <c r="B76" s="248"/>
      <c r="C76" s="250"/>
      <c r="D76" s="185" t="s">
        <v>1228</v>
      </c>
      <c r="E76" s="135"/>
      <c r="F76" s="135"/>
      <c r="G76" s="135"/>
      <c r="H76" s="135"/>
      <c r="I76" s="135"/>
      <c r="J76" s="135"/>
      <c r="K76" s="135"/>
      <c r="L76" s="135"/>
      <c r="M76" s="135"/>
      <c r="N76" s="135"/>
      <c r="O76" s="135"/>
      <c r="P76" s="135"/>
      <c r="Q76" s="135"/>
      <c r="R76" s="135"/>
      <c r="S76" s="135"/>
      <c r="T76" s="135"/>
      <c r="U76" s="135"/>
      <c r="V76" s="135"/>
      <c r="W76" s="135"/>
      <c r="X76" s="135"/>
    </row>
    <row r="77" spans="1:24" ht="12.75" customHeight="1">
      <c r="A77" s="135"/>
      <c r="B77" s="248"/>
      <c r="C77" s="250"/>
      <c r="D77" s="185" t="s">
        <v>1232</v>
      </c>
      <c r="E77" s="135"/>
      <c r="F77" s="135"/>
      <c r="G77" s="135"/>
      <c r="H77" s="135"/>
      <c r="I77" s="135"/>
      <c r="J77" s="135"/>
      <c r="K77" s="135"/>
      <c r="L77" s="135"/>
      <c r="M77" s="135"/>
      <c r="N77" s="135"/>
      <c r="O77" s="135"/>
      <c r="P77" s="135"/>
      <c r="Q77" s="135"/>
      <c r="R77" s="135"/>
      <c r="S77" s="135"/>
      <c r="T77" s="135"/>
      <c r="U77" s="135"/>
      <c r="V77" s="135"/>
      <c r="W77" s="135"/>
      <c r="X77" s="135"/>
    </row>
    <row r="78" spans="1:24" ht="12.75" customHeight="1">
      <c r="A78" s="135"/>
      <c r="B78" s="248"/>
      <c r="C78" s="250"/>
      <c r="D78" s="185" t="s">
        <v>1229</v>
      </c>
      <c r="E78" s="135"/>
      <c r="F78" s="135"/>
      <c r="G78" s="135"/>
      <c r="H78" s="135"/>
      <c r="I78" s="135"/>
      <c r="J78" s="135"/>
      <c r="K78" s="135"/>
      <c r="L78" s="135"/>
      <c r="M78" s="135"/>
      <c r="N78" s="135"/>
      <c r="O78" s="135"/>
      <c r="P78" s="135"/>
      <c r="Q78" s="135"/>
      <c r="R78" s="135"/>
      <c r="S78" s="135"/>
      <c r="T78" s="135"/>
      <c r="U78" s="135"/>
      <c r="V78" s="135"/>
      <c r="W78" s="135"/>
      <c r="X78" s="135"/>
    </row>
    <row r="79" spans="1:24" ht="12.75" customHeight="1">
      <c r="A79" s="135"/>
      <c r="B79" s="248"/>
      <c r="C79" s="250"/>
      <c r="D79" s="185" t="s">
        <v>1235</v>
      </c>
      <c r="E79" s="135"/>
      <c r="F79" s="135"/>
      <c r="G79" s="135"/>
      <c r="H79" s="135"/>
      <c r="I79" s="135"/>
      <c r="J79" s="135"/>
      <c r="K79" s="135"/>
      <c r="L79" s="135"/>
      <c r="M79" s="135"/>
      <c r="N79" s="135"/>
      <c r="O79" s="135"/>
      <c r="P79" s="135"/>
      <c r="Q79" s="135"/>
      <c r="R79" s="135"/>
      <c r="S79" s="135"/>
      <c r="T79" s="135"/>
      <c r="U79" s="135"/>
      <c r="V79" s="135"/>
      <c r="W79" s="135"/>
      <c r="X79" s="135"/>
    </row>
    <row r="80" spans="1:24" ht="12.75" customHeight="1">
      <c r="A80" s="135"/>
      <c r="B80" s="248"/>
      <c r="C80" s="250"/>
      <c r="D80" s="185" t="s">
        <v>1237</v>
      </c>
      <c r="E80" s="135"/>
      <c r="F80" s="135"/>
      <c r="G80" s="135"/>
      <c r="H80" s="135"/>
      <c r="I80" s="135"/>
      <c r="J80" s="135"/>
      <c r="K80" s="135"/>
      <c r="L80" s="135"/>
      <c r="M80" s="135"/>
      <c r="N80" s="135"/>
      <c r="O80" s="135"/>
      <c r="P80" s="135"/>
      <c r="Q80" s="135"/>
      <c r="R80" s="135"/>
      <c r="S80" s="135"/>
      <c r="T80" s="135"/>
      <c r="U80" s="135"/>
      <c r="V80" s="135"/>
      <c r="W80" s="135"/>
      <c r="X80" s="135"/>
    </row>
    <row r="81" spans="1:24" ht="12.75" customHeight="1">
      <c r="A81" s="135"/>
      <c r="B81" s="248"/>
      <c r="C81" s="250"/>
      <c r="D81" s="185" t="s">
        <v>1238</v>
      </c>
      <c r="E81" s="135"/>
      <c r="F81" s="135"/>
      <c r="G81" s="135"/>
      <c r="H81" s="135"/>
      <c r="I81" s="135"/>
      <c r="J81" s="135"/>
      <c r="K81" s="135"/>
      <c r="L81" s="135"/>
      <c r="M81" s="135"/>
      <c r="N81" s="135"/>
      <c r="O81" s="135"/>
      <c r="P81" s="135"/>
      <c r="Q81" s="135"/>
      <c r="R81" s="135"/>
      <c r="S81" s="135"/>
      <c r="T81" s="135"/>
      <c r="U81" s="135"/>
      <c r="V81" s="135"/>
      <c r="W81" s="135"/>
      <c r="X81" s="135"/>
    </row>
    <row r="82" spans="1:24" ht="12.75" customHeight="1">
      <c r="A82" s="135"/>
      <c r="B82" s="248"/>
      <c r="C82" s="250"/>
      <c r="D82" s="185" t="s">
        <v>1239</v>
      </c>
      <c r="E82" s="135"/>
      <c r="F82" s="135"/>
      <c r="G82" s="135"/>
      <c r="H82" s="135"/>
      <c r="I82" s="135"/>
      <c r="J82" s="135"/>
      <c r="K82" s="135"/>
      <c r="L82" s="135"/>
      <c r="M82" s="135"/>
      <c r="N82" s="135"/>
      <c r="O82" s="135"/>
      <c r="P82" s="135"/>
      <c r="Q82" s="135"/>
      <c r="R82" s="135"/>
      <c r="S82" s="135"/>
      <c r="T82" s="135"/>
      <c r="U82" s="135"/>
      <c r="V82" s="135"/>
      <c r="W82" s="135"/>
      <c r="X82" s="135"/>
    </row>
    <row r="83" spans="1:24" ht="12.75" customHeight="1">
      <c r="A83" s="135"/>
      <c r="B83" s="248"/>
      <c r="C83" s="250"/>
      <c r="D83" s="185" t="s">
        <v>1242</v>
      </c>
      <c r="E83" s="135"/>
      <c r="F83" s="135"/>
      <c r="G83" s="135"/>
      <c r="H83" s="135"/>
      <c r="I83" s="135"/>
      <c r="J83" s="135"/>
      <c r="K83" s="135"/>
      <c r="L83" s="135"/>
      <c r="M83" s="135"/>
      <c r="N83" s="135"/>
      <c r="O83" s="135"/>
      <c r="P83" s="135"/>
      <c r="Q83" s="135"/>
      <c r="R83" s="135"/>
      <c r="S83" s="135"/>
      <c r="T83" s="135"/>
      <c r="U83" s="135"/>
      <c r="V83" s="135"/>
      <c r="W83" s="135"/>
      <c r="X83" s="135"/>
    </row>
    <row r="84" spans="1:24" ht="12.75" customHeight="1">
      <c r="A84" s="135"/>
      <c r="B84" s="248"/>
      <c r="C84" s="250"/>
      <c r="D84" s="185" t="s">
        <v>1243</v>
      </c>
      <c r="E84" s="135"/>
      <c r="F84" s="135"/>
      <c r="G84" s="135"/>
      <c r="H84" s="135"/>
      <c r="I84" s="135"/>
      <c r="J84" s="135"/>
      <c r="K84" s="135"/>
      <c r="L84" s="135"/>
      <c r="M84" s="135"/>
      <c r="N84" s="135"/>
      <c r="O84" s="135"/>
      <c r="P84" s="135"/>
      <c r="Q84" s="135"/>
      <c r="R84" s="135"/>
      <c r="S84" s="135"/>
      <c r="T84" s="135"/>
      <c r="U84" s="135"/>
      <c r="V84" s="135"/>
      <c r="W84" s="135"/>
      <c r="X84" s="135"/>
    </row>
    <row r="85" spans="1:24" ht="12.75" customHeight="1">
      <c r="A85" s="135"/>
      <c r="B85" s="248"/>
      <c r="C85" s="250"/>
      <c r="D85" s="185" t="s">
        <v>1245</v>
      </c>
      <c r="E85" s="135"/>
      <c r="F85" s="135"/>
      <c r="G85" s="135"/>
      <c r="H85" s="135"/>
      <c r="I85" s="135"/>
      <c r="J85" s="135"/>
      <c r="K85" s="135"/>
      <c r="L85" s="135"/>
      <c r="M85" s="135"/>
      <c r="N85" s="135"/>
      <c r="O85" s="135"/>
      <c r="P85" s="135"/>
      <c r="Q85" s="135"/>
      <c r="R85" s="135"/>
      <c r="S85" s="135"/>
      <c r="T85" s="135"/>
      <c r="U85" s="135"/>
      <c r="V85" s="135"/>
      <c r="W85" s="135"/>
      <c r="X85" s="135"/>
    </row>
    <row r="86" spans="1:24" ht="12.75" customHeight="1">
      <c r="A86" s="135"/>
      <c r="B86" s="248"/>
      <c r="C86" s="250"/>
      <c r="D86" s="185" t="s">
        <v>1249</v>
      </c>
      <c r="E86" s="135"/>
      <c r="F86" s="135"/>
      <c r="G86" s="135"/>
      <c r="H86" s="135"/>
      <c r="I86" s="135"/>
      <c r="J86" s="135"/>
      <c r="K86" s="135"/>
      <c r="L86" s="135"/>
      <c r="M86" s="135"/>
      <c r="N86" s="135"/>
      <c r="O86" s="135"/>
      <c r="P86" s="135"/>
      <c r="Q86" s="135"/>
      <c r="R86" s="135"/>
      <c r="S86" s="135"/>
      <c r="T86" s="135"/>
      <c r="U86" s="135"/>
      <c r="V86" s="135"/>
      <c r="W86" s="135"/>
      <c r="X86" s="135"/>
    </row>
    <row r="87" spans="1:24" ht="12.75" customHeight="1">
      <c r="A87" s="135"/>
      <c r="B87" s="248"/>
      <c r="C87" s="250"/>
      <c r="D87" s="185" t="s">
        <v>1250</v>
      </c>
      <c r="E87" s="135"/>
      <c r="F87" s="135"/>
      <c r="G87" s="135"/>
      <c r="H87" s="135"/>
      <c r="I87" s="135"/>
      <c r="J87" s="135"/>
      <c r="K87" s="135"/>
      <c r="L87" s="135"/>
      <c r="M87" s="135"/>
      <c r="N87" s="135"/>
      <c r="O87" s="135"/>
      <c r="P87" s="135"/>
      <c r="Q87" s="135"/>
      <c r="R87" s="135"/>
      <c r="S87" s="135"/>
      <c r="T87" s="135"/>
      <c r="U87" s="135"/>
      <c r="V87" s="135"/>
      <c r="W87" s="135"/>
      <c r="X87" s="135"/>
    </row>
    <row r="88" spans="1:24" ht="12.75" customHeight="1">
      <c r="A88" s="135"/>
      <c r="B88" s="248"/>
      <c r="C88" s="250"/>
      <c r="D88" s="185" t="s">
        <v>1254</v>
      </c>
      <c r="E88" s="135"/>
      <c r="F88" s="135"/>
      <c r="G88" s="135"/>
      <c r="H88" s="135"/>
      <c r="I88" s="135"/>
      <c r="J88" s="135"/>
      <c r="K88" s="135"/>
      <c r="L88" s="135"/>
      <c r="M88" s="135"/>
      <c r="N88" s="135"/>
      <c r="O88" s="135"/>
      <c r="P88" s="135"/>
      <c r="Q88" s="135"/>
      <c r="R88" s="135"/>
      <c r="S88" s="135"/>
      <c r="T88" s="135"/>
      <c r="U88" s="135"/>
      <c r="V88" s="135"/>
      <c r="W88" s="135"/>
      <c r="X88" s="135"/>
    </row>
    <row r="89" spans="1:24" ht="12.75" customHeight="1">
      <c r="A89" s="135"/>
      <c r="B89" s="248"/>
      <c r="C89" s="250"/>
      <c r="D89" s="185" t="s">
        <v>1256</v>
      </c>
      <c r="E89" s="135"/>
      <c r="F89" s="135"/>
      <c r="G89" s="135"/>
      <c r="H89" s="135"/>
      <c r="I89" s="135"/>
      <c r="J89" s="135"/>
      <c r="K89" s="135"/>
      <c r="L89" s="135"/>
      <c r="M89" s="135"/>
      <c r="N89" s="135"/>
      <c r="O89" s="135"/>
      <c r="P89" s="135"/>
      <c r="Q89" s="135"/>
      <c r="R89" s="135"/>
      <c r="S89" s="135"/>
      <c r="T89" s="135"/>
      <c r="U89" s="135"/>
      <c r="V89" s="135"/>
      <c r="W89" s="135"/>
      <c r="X89" s="135"/>
    </row>
    <row r="90" spans="1:24" ht="12.75" customHeight="1">
      <c r="A90" s="135"/>
      <c r="B90" s="248"/>
      <c r="C90" s="250"/>
      <c r="D90" s="185" t="s">
        <v>1261</v>
      </c>
      <c r="E90" s="135"/>
      <c r="F90" s="135"/>
      <c r="G90" s="135"/>
      <c r="H90" s="135"/>
      <c r="I90" s="135"/>
      <c r="J90" s="135"/>
      <c r="K90" s="135"/>
      <c r="L90" s="135"/>
      <c r="M90" s="135"/>
      <c r="N90" s="135"/>
      <c r="O90" s="135"/>
      <c r="P90" s="135"/>
      <c r="Q90" s="135"/>
      <c r="R90" s="135"/>
      <c r="S90" s="135"/>
      <c r="T90" s="135"/>
      <c r="U90" s="135"/>
      <c r="V90" s="135"/>
      <c r="W90" s="135"/>
      <c r="X90" s="135"/>
    </row>
    <row r="91" spans="1:24" ht="12.75" customHeight="1">
      <c r="A91" s="135"/>
      <c r="B91" s="248"/>
      <c r="C91" s="250"/>
      <c r="D91" s="185" t="s">
        <v>1262</v>
      </c>
      <c r="E91" s="135"/>
      <c r="F91" s="135"/>
      <c r="G91" s="135"/>
      <c r="H91" s="135"/>
      <c r="I91" s="135"/>
      <c r="J91" s="135"/>
      <c r="K91" s="135"/>
      <c r="L91" s="135"/>
      <c r="M91" s="135"/>
      <c r="N91" s="135"/>
      <c r="O91" s="135"/>
      <c r="P91" s="135"/>
      <c r="Q91" s="135"/>
      <c r="R91" s="135"/>
      <c r="S91" s="135"/>
      <c r="T91" s="135"/>
      <c r="U91" s="135"/>
      <c r="V91" s="135"/>
      <c r="W91" s="135"/>
      <c r="X91" s="135"/>
    </row>
    <row r="92" spans="1:24" ht="12.75" customHeight="1">
      <c r="A92" s="135"/>
      <c r="B92" s="248"/>
      <c r="C92" s="250"/>
      <c r="D92" s="185" t="s">
        <v>1267</v>
      </c>
      <c r="E92" s="135"/>
      <c r="F92" s="135"/>
      <c r="G92" s="135"/>
      <c r="H92" s="135"/>
      <c r="I92" s="135"/>
      <c r="J92" s="135"/>
      <c r="K92" s="135"/>
      <c r="L92" s="135"/>
      <c r="M92" s="135"/>
      <c r="N92" s="135"/>
      <c r="O92" s="135"/>
      <c r="P92" s="135"/>
      <c r="Q92" s="135"/>
      <c r="R92" s="135"/>
      <c r="S92" s="135"/>
      <c r="T92" s="135"/>
      <c r="U92" s="135"/>
      <c r="V92" s="135"/>
      <c r="W92" s="135"/>
      <c r="X92" s="135"/>
    </row>
    <row r="93" spans="1:24" ht="12.75" customHeight="1">
      <c r="A93" s="135"/>
      <c r="B93" s="248"/>
      <c r="C93" s="250"/>
      <c r="D93" s="185" t="s">
        <v>1270</v>
      </c>
      <c r="E93" s="135"/>
      <c r="F93" s="135"/>
      <c r="G93" s="135"/>
      <c r="H93" s="135"/>
      <c r="I93" s="135"/>
      <c r="J93" s="135"/>
      <c r="K93" s="135"/>
      <c r="L93" s="135"/>
      <c r="M93" s="135"/>
      <c r="N93" s="135"/>
      <c r="O93" s="135"/>
      <c r="P93" s="135"/>
      <c r="Q93" s="135"/>
      <c r="R93" s="135"/>
      <c r="S93" s="135"/>
      <c r="T93" s="135"/>
      <c r="U93" s="135"/>
      <c r="V93" s="135"/>
      <c r="W93" s="135"/>
      <c r="X93" s="135"/>
    </row>
    <row r="94" spans="1:24" ht="12.75" customHeight="1">
      <c r="A94" s="135"/>
      <c r="B94" s="248"/>
      <c r="C94" s="250"/>
      <c r="D94" s="185" t="s">
        <v>1272</v>
      </c>
      <c r="E94" s="135"/>
      <c r="F94" s="135"/>
      <c r="G94" s="135"/>
      <c r="H94" s="135"/>
      <c r="I94" s="135"/>
      <c r="J94" s="135"/>
      <c r="K94" s="135"/>
      <c r="L94" s="135"/>
      <c r="M94" s="135"/>
      <c r="N94" s="135"/>
      <c r="O94" s="135"/>
      <c r="P94" s="135"/>
      <c r="Q94" s="135"/>
      <c r="R94" s="135"/>
      <c r="S94" s="135"/>
      <c r="T94" s="135"/>
      <c r="U94" s="135"/>
      <c r="V94" s="135"/>
      <c r="W94" s="135"/>
      <c r="X94" s="135"/>
    </row>
    <row r="95" spans="1:24" ht="12.75" customHeight="1">
      <c r="A95" s="135"/>
      <c r="B95" s="248"/>
      <c r="C95" s="250"/>
      <c r="D95" s="185" t="s">
        <v>1273</v>
      </c>
      <c r="E95" s="135"/>
      <c r="F95" s="135"/>
      <c r="G95" s="135"/>
      <c r="H95" s="135"/>
      <c r="I95" s="135"/>
      <c r="J95" s="135"/>
      <c r="K95" s="135"/>
      <c r="L95" s="135"/>
      <c r="M95" s="135"/>
      <c r="N95" s="135"/>
      <c r="O95" s="135"/>
      <c r="P95" s="135"/>
      <c r="Q95" s="135"/>
      <c r="R95" s="135"/>
      <c r="S95" s="135"/>
      <c r="T95" s="135"/>
      <c r="U95" s="135"/>
      <c r="V95" s="135"/>
      <c r="W95" s="135"/>
      <c r="X95" s="135"/>
    </row>
    <row r="96" spans="1:24" ht="12.75" customHeight="1">
      <c r="A96" s="135"/>
      <c r="B96" s="244">
        <v>42522</v>
      </c>
      <c r="C96" s="243">
        <v>1.6</v>
      </c>
      <c r="D96" s="186" t="s">
        <v>1275</v>
      </c>
      <c r="E96" s="135"/>
      <c r="F96" s="135"/>
      <c r="G96" s="135"/>
      <c r="H96" s="135"/>
      <c r="I96" s="135"/>
      <c r="J96" s="135"/>
      <c r="K96" s="135"/>
      <c r="L96" s="135"/>
      <c r="M96" s="135"/>
      <c r="N96" s="135"/>
      <c r="O96" s="135"/>
      <c r="P96" s="135"/>
      <c r="Q96" s="135"/>
      <c r="R96" s="135"/>
      <c r="S96" s="135"/>
      <c r="T96" s="135"/>
      <c r="U96" s="135"/>
      <c r="V96" s="135"/>
      <c r="W96" s="135"/>
      <c r="X96" s="135"/>
    </row>
    <row r="97" spans="1:24" ht="12.75" customHeight="1">
      <c r="A97" s="135"/>
      <c r="B97" s="244"/>
      <c r="C97" s="243"/>
      <c r="D97" s="185" t="s">
        <v>1229</v>
      </c>
      <c r="E97" s="135"/>
      <c r="F97" s="135"/>
      <c r="G97" s="135"/>
      <c r="H97" s="135"/>
      <c r="I97" s="135"/>
      <c r="J97" s="135"/>
      <c r="K97" s="135"/>
      <c r="L97" s="135"/>
      <c r="M97" s="135"/>
      <c r="N97" s="135"/>
      <c r="O97" s="135"/>
      <c r="P97" s="135"/>
      <c r="Q97" s="135"/>
      <c r="R97" s="135"/>
      <c r="S97" s="135"/>
      <c r="T97" s="135"/>
      <c r="U97" s="135"/>
      <c r="V97" s="135"/>
      <c r="W97" s="135"/>
      <c r="X97" s="135"/>
    </row>
    <row r="98" spans="1:24" ht="12.75" customHeight="1">
      <c r="A98" s="135"/>
      <c r="B98" s="244"/>
      <c r="C98" s="243"/>
      <c r="D98" s="185" t="s">
        <v>1279</v>
      </c>
      <c r="E98" s="135"/>
      <c r="F98" s="135"/>
      <c r="G98" s="135"/>
      <c r="H98" s="135"/>
      <c r="I98" s="135"/>
      <c r="J98" s="135"/>
      <c r="K98" s="135"/>
      <c r="L98" s="135"/>
      <c r="M98" s="135"/>
      <c r="N98" s="135"/>
      <c r="O98" s="135"/>
      <c r="P98" s="135"/>
      <c r="Q98" s="135"/>
      <c r="R98" s="135"/>
      <c r="S98" s="135"/>
      <c r="T98" s="135"/>
      <c r="U98" s="135"/>
      <c r="V98" s="135"/>
      <c r="W98" s="135"/>
      <c r="X98" s="135"/>
    </row>
    <row r="99" spans="1:24" ht="12.75" customHeight="1">
      <c r="A99" s="135"/>
      <c r="B99" s="244"/>
      <c r="C99" s="243"/>
      <c r="D99" s="185" t="s">
        <v>1410</v>
      </c>
      <c r="E99" s="135"/>
      <c r="F99" s="135"/>
      <c r="G99" s="135"/>
      <c r="H99" s="135"/>
      <c r="I99" s="135"/>
      <c r="J99" s="135"/>
      <c r="K99" s="135"/>
      <c r="L99" s="135"/>
      <c r="M99" s="135"/>
      <c r="N99" s="135"/>
      <c r="O99" s="135"/>
      <c r="P99" s="135"/>
      <c r="Q99" s="135"/>
      <c r="R99" s="135"/>
      <c r="S99" s="135"/>
      <c r="T99" s="135"/>
      <c r="U99" s="135"/>
      <c r="V99" s="135"/>
      <c r="W99" s="135"/>
      <c r="X99" s="135"/>
    </row>
    <row r="100" spans="1:24" ht="12.75" customHeight="1">
      <c r="A100" s="135"/>
      <c r="B100" s="244"/>
      <c r="C100" s="243"/>
      <c r="D100" s="185" t="s">
        <v>1309</v>
      </c>
      <c r="E100" s="135"/>
      <c r="F100" s="135"/>
      <c r="G100" s="135"/>
      <c r="H100" s="135"/>
      <c r="I100" s="135"/>
      <c r="J100" s="135"/>
      <c r="K100" s="135"/>
      <c r="L100" s="135"/>
      <c r="M100" s="135"/>
      <c r="N100" s="135"/>
      <c r="O100" s="135"/>
      <c r="P100" s="135"/>
      <c r="Q100" s="135"/>
      <c r="R100" s="135"/>
      <c r="S100" s="135"/>
      <c r="T100" s="135"/>
      <c r="U100" s="135"/>
      <c r="V100" s="135"/>
      <c r="W100" s="135"/>
      <c r="X100" s="135"/>
    </row>
    <row r="101" spans="1:24" ht="12.75" customHeight="1">
      <c r="A101" s="135"/>
      <c r="B101" s="244"/>
      <c r="C101" s="243"/>
      <c r="D101" s="185" t="s">
        <v>1311</v>
      </c>
      <c r="E101" s="135"/>
      <c r="F101" s="135"/>
      <c r="G101" s="135"/>
      <c r="H101" s="135"/>
      <c r="I101" s="135"/>
      <c r="J101" s="135"/>
      <c r="K101" s="135"/>
      <c r="L101" s="135"/>
      <c r="M101" s="135"/>
      <c r="N101" s="135"/>
      <c r="O101" s="135"/>
      <c r="P101" s="135"/>
      <c r="Q101" s="135"/>
      <c r="R101" s="135"/>
      <c r="S101" s="135"/>
      <c r="T101" s="135"/>
      <c r="U101" s="135"/>
      <c r="V101" s="135"/>
      <c r="W101" s="135"/>
      <c r="X101" s="135"/>
    </row>
    <row r="102" spans="1:24" ht="12.75" customHeight="1">
      <c r="A102" s="135"/>
      <c r="B102" s="244"/>
      <c r="C102" s="243"/>
      <c r="D102" s="185" t="s">
        <v>1413</v>
      </c>
      <c r="E102" s="135"/>
      <c r="F102" s="135"/>
      <c r="G102" s="135"/>
      <c r="H102" s="135"/>
      <c r="I102" s="135"/>
      <c r="J102" s="135"/>
      <c r="K102" s="135"/>
      <c r="L102" s="135"/>
      <c r="M102" s="135"/>
      <c r="N102" s="135"/>
      <c r="O102" s="135"/>
      <c r="P102" s="135"/>
      <c r="Q102" s="135"/>
      <c r="R102" s="135"/>
      <c r="S102" s="135"/>
      <c r="T102" s="135"/>
      <c r="U102" s="135"/>
      <c r="V102" s="135"/>
      <c r="W102" s="135"/>
      <c r="X102" s="135"/>
    </row>
    <row r="103" spans="1:24" ht="12.75" customHeight="1">
      <c r="A103" s="135"/>
      <c r="B103" s="244"/>
      <c r="C103" s="243"/>
      <c r="D103" s="185" t="s">
        <v>1409</v>
      </c>
      <c r="E103" s="135"/>
      <c r="F103" s="135"/>
      <c r="G103" s="135"/>
      <c r="H103" s="135"/>
      <c r="I103" s="135"/>
      <c r="J103" s="135"/>
      <c r="K103" s="135"/>
      <c r="L103" s="135"/>
      <c r="M103" s="135"/>
      <c r="N103" s="135"/>
      <c r="O103" s="135"/>
      <c r="P103" s="135"/>
      <c r="Q103" s="135"/>
      <c r="R103" s="135"/>
      <c r="S103" s="135"/>
      <c r="T103" s="135"/>
      <c r="U103" s="135"/>
      <c r="V103" s="135"/>
      <c r="W103" s="135"/>
      <c r="X103" s="135"/>
    </row>
    <row r="104" spans="1:24" ht="12.75" customHeight="1">
      <c r="A104" s="135"/>
      <c r="B104" s="244"/>
      <c r="C104" s="243"/>
      <c r="D104" s="185" t="s">
        <v>1408</v>
      </c>
      <c r="E104" s="135"/>
      <c r="F104" s="135"/>
      <c r="G104" s="135"/>
      <c r="H104" s="135"/>
      <c r="I104" s="135"/>
      <c r="J104" s="135"/>
      <c r="K104" s="135"/>
      <c r="L104" s="135"/>
      <c r="M104" s="135"/>
      <c r="N104" s="135"/>
      <c r="O104" s="135"/>
      <c r="P104" s="135"/>
      <c r="Q104" s="135"/>
      <c r="R104" s="135"/>
      <c r="S104" s="135"/>
      <c r="T104" s="135"/>
      <c r="U104" s="135"/>
      <c r="V104" s="135"/>
      <c r="W104" s="135"/>
      <c r="X104" s="135"/>
    </row>
    <row r="105" spans="1:24" ht="12.75" customHeight="1">
      <c r="A105" s="135"/>
      <c r="B105" s="244"/>
      <c r="C105" s="243"/>
      <c r="D105" s="185" t="s">
        <v>1412</v>
      </c>
      <c r="E105" s="135"/>
      <c r="F105" s="135"/>
      <c r="G105" s="135"/>
      <c r="H105" s="135"/>
      <c r="I105" s="135"/>
      <c r="J105" s="135"/>
      <c r="K105" s="135"/>
      <c r="L105" s="135"/>
      <c r="M105" s="135"/>
      <c r="N105" s="135"/>
      <c r="O105" s="135"/>
      <c r="P105" s="135"/>
      <c r="Q105" s="135"/>
      <c r="R105" s="135"/>
      <c r="S105" s="135"/>
      <c r="T105" s="135"/>
      <c r="U105" s="135"/>
      <c r="V105" s="135"/>
      <c r="W105" s="135"/>
      <c r="X105" s="135"/>
    </row>
    <row r="106" spans="1:24" ht="12.75" customHeight="1">
      <c r="A106" s="135"/>
      <c r="B106" s="244"/>
      <c r="C106" s="243"/>
      <c r="D106" s="185" t="s">
        <v>1416</v>
      </c>
      <c r="E106" s="135"/>
      <c r="F106" s="135"/>
      <c r="G106" s="135"/>
      <c r="H106" s="135"/>
      <c r="I106" s="135"/>
      <c r="J106" s="135"/>
      <c r="K106" s="135"/>
      <c r="L106" s="135"/>
      <c r="M106" s="135"/>
      <c r="N106" s="135"/>
      <c r="O106" s="135"/>
      <c r="P106" s="135"/>
      <c r="Q106" s="135"/>
      <c r="R106" s="135"/>
      <c r="S106" s="135"/>
      <c r="T106" s="135"/>
      <c r="U106" s="135"/>
      <c r="V106" s="135"/>
      <c r="W106" s="135"/>
      <c r="X106" s="135"/>
    </row>
    <row r="107" spans="1:24" ht="12.75" customHeight="1">
      <c r="A107" s="135"/>
      <c r="B107" s="244"/>
      <c r="C107" s="243"/>
      <c r="D107" s="185" t="s">
        <v>1417</v>
      </c>
      <c r="E107" s="135"/>
      <c r="F107" s="135"/>
      <c r="G107" s="135"/>
      <c r="H107" s="135"/>
      <c r="I107" s="135"/>
      <c r="J107" s="135"/>
      <c r="K107" s="135"/>
      <c r="L107" s="135"/>
      <c r="M107" s="135"/>
      <c r="N107" s="135"/>
      <c r="O107" s="135"/>
      <c r="P107" s="135"/>
      <c r="Q107" s="135"/>
      <c r="R107" s="135"/>
      <c r="S107" s="135"/>
      <c r="T107" s="135"/>
      <c r="U107" s="135"/>
      <c r="V107" s="135"/>
      <c r="W107" s="135"/>
      <c r="X107" s="135"/>
    </row>
    <row r="108" spans="1:24" ht="12.75" customHeight="1">
      <c r="A108" s="135"/>
      <c r="B108" s="244"/>
      <c r="C108" s="243"/>
      <c r="D108" s="185" t="s">
        <v>1418</v>
      </c>
      <c r="E108" s="135"/>
      <c r="F108" s="135"/>
      <c r="G108" s="135"/>
      <c r="H108" s="135"/>
      <c r="I108" s="135"/>
      <c r="J108" s="135"/>
      <c r="K108" s="135"/>
      <c r="L108" s="135"/>
      <c r="M108" s="135"/>
      <c r="N108" s="135"/>
      <c r="O108" s="135"/>
      <c r="P108" s="135"/>
      <c r="Q108" s="135"/>
      <c r="R108" s="135"/>
      <c r="S108" s="135"/>
      <c r="T108" s="135"/>
      <c r="U108" s="135"/>
      <c r="V108" s="135"/>
      <c r="W108" s="135"/>
      <c r="X108" s="135"/>
    </row>
    <row r="109" spans="1:24" ht="12.75" customHeight="1">
      <c r="A109" s="135"/>
      <c r="B109" s="244"/>
      <c r="C109" s="243"/>
      <c r="D109" s="185" t="s">
        <v>1433</v>
      </c>
      <c r="E109" s="135"/>
      <c r="F109" s="135"/>
      <c r="G109" s="135"/>
      <c r="H109" s="135"/>
      <c r="I109" s="135"/>
      <c r="J109" s="135"/>
      <c r="K109" s="135"/>
      <c r="L109" s="135"/>
      <c r="M109" s="135"/>
      <c r="N109" s="135"/>
      <c r="O109" s="135"/>
      <c r="P109" s="135"/>
      <c r="Q109" s="135"/>
      <c r="R109" s="135"/>
      <c r="S109" s="135"/>
      <c r="T109" s="135"/>
      <c r="U109" s="135"/>
      <c r="V109" s="135"/>
      <c r="W109" s="135"/>
      <c r="X109" s="135"/>
    </row>
    <row r="110" spans="1:24" ht="12.75" customHeight="1">
      <c r="A110" s="135"/>
      <c r="B110" s="244"/>
      <c r="C110" s="243"/>
      <c r="D110" s="185" t="s">
        <v>1435</v>
      </c>
      <c r="E110" s="135"/>
      <c r="F110" s="135"/>
      <c r="G110" s="135"/>
      <c r="H110" s="135"/>
      <c r="I110" s="135"/>
      <c r="J110" s="135"/>
      <c r="K110" s="135"/>
      <c r="L110" s="135"/>
      <c r="M110" s="135"/>
      <c r="N110" s="135"/>
      <c r="O110" s="135"/>
      <c r="P110" s="135"/>
      <c r="Q110" s="135"/>
      <c r="R110" s="135"/>
      <c r="S110" s="135"/>
      <c r="T110" s="135"/>
      <c r="U110" s="135"/>
      <c r="V110" s="135"/>
      <c r="W110" s="135"/>
      <c r="X110" s="135"/>
    </row>
    <row r="111" spans="1:24" ht="12.75" customHeight="1">
      <c r="A111" s="135"/>
      <c r="B111" s="245"/>
      <c r="C111" s="246"/>
      <c r="D111" s="185" t="s">
        <v>1438</v>
      </c>
      <c r="E111" s="135"/>
      <c r="F111" s="135"/>
      <c r="G111" s="135"/>
      <c r="H111" s="135"/>
      <c r="I111" s="135"/>
      <c r="J111" s="135"/>
      <c r="K111" s="135"/>
      <c r="L111" s="135"/>
      <c r="M111" s="135"/>
      <c r="N111" s="135"/>
      <c r="O111" s="135"/>
      <c r="P111" s="135"/>
      <c r="Q111" s="135"/>
      <c r="R111" s="135"/>
      <c r="S111" s="135"/>
      <c r="T111" s="135"/>
      <c r="U111" s="135"/>
      <c r="V111" s="135"/>
      <c r="W111" s="135"/>
      <c r="X111" s="135"/>
    </row>
    <row r="112" spans="1:24" ht="12.75">
      <c r="A112" s="135"/>
      <c r="B112" s="245">
        <v>42941</v>
      </c>
      <c r="C112" s="246">
        <v>1.7</v>
      </c>
      <c r="D112" s="186" t="s">
        <v>1440</v>
      </c>
      <c r="E112" s="135"/>
      <c r="F112" s="135"/>
      <c r="G112" s="135"/>
      <c r="H112" s="135"/>
      <c r="I112" s="135"/>
      <c r="J112" s="135"/>
      <c r="K112" s="135"/>
      <c r="L112" s="135"/>
      <c r="M112" s="135"/>
      <c r="N112" s="135"/>
      <c r="O112" s="135"/>
      <c r="P112" s="135"/>
      <c r="Q112" s="135"/>
      <c r="R112" s="135"/>
      <c r="S112" s="135"/>
      <c r="T112" s="135"/>
      <c r="U112" s="135"/>
      <c r="V112" s="135"/>
      <c r="W112" s="135"/>
      <c r="X112" s="135"/>
    </row>
    <row r="113" spans="1:24" ht="12.75">
      <c r="A113" s="135"/>
      <c r="B113" s="248"/>
      <c r="C113" s="250"/>
      <c r="D113" s="185" t="s">
        <v>1443</v>
      </c>
      <c r="E113" s="135"/>
      <c r="F113" s="135"/>
      <c r="G113" s="135"/>
      <c r="H113" s="135"/>
      <c r="I113" s="135"/>
      <c r="J113" s="135"/>
      <c r="K113" s="135"/>
      <c r="L113" s="135"/>
      <c r="M113" s="135"/>
      <c r="N113" s="135"/>
      <c r="O113" s="135"/>
      <c r="P113" s="135"/>
      <c r="Q113" s="135"/>
      <c r="R113" s="135"/>
      <c r="S113" s="135"/>
      <c r="T113" s="135"/>
      <c r="U113" s="135"/>
      <c r="V113" s="135"/>
      <c r="W113" s="135"/>
      <c r="X113" s="135"/>
    </row>
    <row r="114" spans="1:24" ht="12.75">
      <c r="A114" s="135"/>
      <c r="B114" s="248"/>
      <c r="C114" s="250"/>
      <c r="D114" s="185" t="s">
        <v>1445</v>
      </c>
      <c r="E114" s="135"/>
      <c r="F114" s="135"/>
      <c r="G114" s="135"/>
      <c r="H114" s="135"/>
      <c r="I114" s="135"/>
      <c r="J114" s="135"/>
      <c r="K114" s="135"/>
      <c r="L114" s="135"/>
      <c r="M114" s="135"/>
      <c r="N114" s="135"/>
      <c r="O114" s="135"/>
      <c r="P114" s="135"/>
      <c r="Q114" s="135"/>
      <c r="R114" s="135"/>
      <c r="S114" s="135"/>
      <c r="T114" s="135"/>
      <c r="U114" s="135"/>
      <c r="V114" s="135"/>
      <c r="W114" s="135"/>
      <c r="X114" s="135"/>
    </row>
    <row r="115" spans="1:24" ht="12.75">
      <c r="A115" s="135"/>
      <c r="B115" s="248"/>
      <c r="C115" s="250"/>
      <c r="D115" s="185" t="s">
        <v>1683</v>
      </c>
      <c r="E115" s="135"/>
      <c r="F115" s="135"/>
      <c r="G115" s="135"/>
      <c r="H115" s="135"/>
      <c r="I115" s="135"/>
      <c r="J115" s="135"/>
      <c r="K115" s="135"/>
      <c r="L115" s="135"/>
      <c r="M115" s="135"/>
      <c r="N115" s="135"/>
      <c r="O115" s="135"/>
      <c r="P115" s="135"/>
      <c r="Q115" s="135"/>
      <c r="R115" s="135"/>
      <c r="S115" s="135"/>
      <c r="T115" s="135"/>
      <c r="U115" s="135"/>
      <c r="V115" s="135"/>
      <c r="W115" s="135"/>
      <c r="X115" s="135"/>
    </row>
    <row r="116" spans="1:24" ht="12.75">
      <c r="A116" s="135"/>
      <c r="B116" s="248"/>
      <c r="C116" s="250"/>
      <c r="D116" s="185" t="s">
        <v>1684</v>
      </c>
      <c r="E116" s="135"/>
      <c r="F116" s="135"/>
      <c r="G116" s="135"/>
      <c r="H116" s="135"/>
      <c r="I116" s="135"/>
      <c r="J116" s="135"/>
      <c r="K116" s="135"/>
      <c r="L116" s="135"/>
      <c r="M116" s="135"/>
      <c r="N116" s="135"/>
      <c r="O116" s="135"/>
      <c r="P116" s="135"/>
      <c r="Q116" s="135"/>
      <c r="R116" s="135"/>
      <c r="S116" s="135"/>
      <c r="T116" s="135"/>
      <c r="U116" s="135"/>
      <c r="V116" s="135"/>
      <c r="W116" s="135"/>
      <c r="X116" s="135"/>
    </row>
    <row r="117" spans="1:24" ht="12.75">
      <c r="A117" s="135"/>
      <c r="B117" s="249"/>
      <c r="C117" s="251"/>
      <c r="D117" s="185" t="s">
        <v>1685</v>
      </c>
      <c r="E117" s="135"/>
      <c r="F117" s="135"/>
      <c r="G117" s="135"/>
      <c r="H117" s="135"/>
      <c r="I117" s="135"/>
      <c r="J117" s="135"/>
      <c r="K117" s="135"/>
      <c r="L117" s="135"/>
      <c r="M117" s="135"/>
      <c r="N117" s="135"/>
      <c r="O117" s="135"/>
      <c r="P117" s="135"/>
      <c r="Q117" s="135"/>
      <c r="R117" s="135"/>
      <c r="S117" s="135"/>
      <c r="T117" s="135"/>
      <c r="U117" s="135"/>
      <c r="V117" s="135"/>
      <c r="W117" s="135"/>
      <c r="X117" s="135"/>
    </row>
    <row r="118" spans="1:24" ht="12.75">
      <c r="A118" s="135"/>
      <c r="B118" s="208">
        <v>42971</v>
      </c>
      <c r="C118" s="207" t="s">
        <v>1687</v>
      </c>
      <c r="D118" s="186" t="s">
        <v>1686</v>
      </c>
      <c r="E118" s="135"/>
      <c r="F118" s="135"/>
      <c r="G118" s="135"/>
      <c r="H118" s="135"/>
      <c r="I118" s="135"/>
      <c r="J118" s="135"/>
      <c r="K118" s="135"/>
      <c r="L118" s="135"/>
      <c r="M118" s="135"/>
      <c r="N118" s="135"/>
      <c r="O118" s="135"/>
      <c r="P118" s="135"/>
      <c r="Q118" s="135"/>
      <c r="R118" s="135"/>
      <c r="S118" s="135"/>
      <c r="T118" s="135"/>
      <c r="U118" s="135"/>
      <c r="V118" s="135"/>
      <c r="W118" s="135"/>
      <c r="X118" s="135"/>
    </row>
    <row r="119" spans="1:24" ht="12.75" customHeight="1">
      <c r="A119" s="135"/>
      <c r="B119" s="244">
        <v>43171</v>
      </c>
      <c r="C119" s="243">
        <v>1.8</v>
      </c>
      <c r="D119" s="186" t="s">
        <v>1724</v>
      </c>
      <c r="E119" s="135"/>
      <c r="F119" s="135"/>
      <c r="G119" s="135"/>
      <c r="H119" s="135"/>
      <c r="I119" s="135"/>
      <c r="J119" s="135"/>
      <c r="K119" s="135"/>
      <c r="L119" s="135"/>
      <c r="M119" s="135"/>
      <c r="N119" s="135"/>
      <c r="O119" s="135"/>
      <c r="P119" s="135"/>
      <c r="Q119" s="135"/>
      <c r="R119" s="135"/>
      <c r="S119" s="135"/>
      <c r="T119" s="135"/>
      <c r="U119" s="135"/>
      <c r="V119" s="135"/>
      <c r="W119" s="135"/>
      <c r="X119" s="135"/>
    </row>
    <row r="120" spans="1:24" ht="12.75" customHeight="1">
      <c r="A120" s="135"/>
      <c r="B120" s="244"/>
      <c r="C120" s="243"/>
      <c r="D120" s="185" t="s">
        <v>1723</v>
      </c>
      <c r="E120" s="135"/>
      <c r="F120" s="135"/>
      <c r="G120" s="135"/>
      <c r="H120" s="135"/>
      <c r="I120" s="135"/>
      <c r="J120" s="135"/>
      <c r="K120" s="135"/>
      <c r="L120" s="135"/>
      <c r="M120" s="135"/>
      <c r="N120" s="135"/>
      <c r="O120" s="135"/>
      <c r="P120" s="135"/>
      <c r="Q120" s="135"/>
      <c r="R120" s="135"/>
      <c r="S120" s="135"/>
      <c r="T120" s="135"/>
      <c r="U120" s="135"/>
      <c r="V120" s="135"/>
      <c r="W120" s="135"/>
      <c r="X120" s="135"/>
    </row>
    <row r="121" spans="1:24" ht="12.75" customHeight="1">
      <c r="A121" s="135"/>
      <c r="B121" s="244"/>
      <c r="C121" s="243"/>
      <c r="D121" s="185" t="s">
        <v>1694</v>
      </c>
      <c r="E121" s="135"/>
      <c r="F121" s="135"/>
      <c r="G121" s="135"/>
      <c r="H121" s="135"/>
      <c r="I121" s="135"/>
      <c r="J121" s="135"/>
      <c r="K121" s="135"/>
      <c r="L121" s="135"/>
      <c r="M121" s="135"/>
      <c r="N121" s="135"/>
      <c r="O121" s="135"/>
      <c r="P121" s="135"/>
      <c r="Q121" s="135"/>
      <c r="R121" s="135"/>
      <c r="S121" s="135"/>
      <c r="T121" s="135"/>
      <c r="U121" s="135"/>
      <c r="V121" s="135"/>
      <c r="W121" s="135"/>
      <c r="X121" s="135"/>
    </row>
    <row r="122" spans="1:24" ht="12.75" customHeight="1">
      <c r="A122" s="135"/>
      <c r="B122" s="244"/>
      <c r="C122" s="243"/>
      <c r="D122" s="185" t="s">
        <v>1725</v>
      </c>
      <c r="E122" s="135"/>
      <c r="F122" s="135"/>
      <c r="G122" s="135"/>
      <c r="H122" s="135"/>
      <c r="I122" s="135"/>
      <c r="J122" s="135"/>
      <c r="K122" s="135"/>
      <c r="L122" s="135"/>
      <c r="M122" s="135"/>
      <c r="N122" s="135"/>
      <c r="O122" s="135"/>
      <c r="P122" s="135"/>
      <c r="Q122" s="135"/>
      <c r="R122" s="135"/>
      <c r="S122" s="135"/>
      <c r="T122" s="135"/>
      <c r="U122" s="135"/>
      <c r="V122" s="135"/>
      <c r="W122" s="135"/>
      <c r="X122" s="135"/>
    </row>
    <row r="123" spans="1:24" ht="12.75" customHeight="1">
      <c r="A123" s="135"/>
      <c r="B123" s="244"/>
      <c r="C123" s="243"/>
      <c r="D123" s="185" t="s">
        <v>1727</v>
      </c>
      <c r="E123" s="135"/>
      <c r="F123" s="135"/>
      <c r="G123" s="135"/>
      <c r="H123" s="135"/>
      <c r="I123" s="135"/>
      <c r="J123" s="135"/>
      <c r="K123" s="135"/>
      <c r="L123" s="135"/>
      <c r="M123" s="135"/>
      <c r="N123" s="135"/>
      <c r="O123" s="135"/>
      <c r="P123" s="135"/>
      <c r="Q123" s="135"/>
      <c r="R123" s="135"/>
      <c r="S123" s="135"/>
      <c r="T123" s="135"/>
      <c r="U123" s="135"/>
      <c r="V123" s="135"/>
      <c r="W123" s="135"/>
      <c r="X123" s="135"/>
    </row>
    <row r="124" spans="1:24" ht="12.75" customHeight="1">
      <c r="A124" s="135"/>
      <c r="B124" s="244"/>
      <c r="C124" s="243"/>
      <c r="D124" s="185" t="s">
        <v>1728</v>
      </c>
      <c r="E124" s="135"/>
      <c r="F124" s="135"/>
      <c r="G124" s="135"/>
      <c r="H124" s="135"/>
      <c r="I124" s="135"/>
      <c r="J124" s="135"/>
      <c r="K124" s="135"/>
      <c r="L124" s="135"/>
      <c r="M124" s="135"/>
      <c r="N124" s="135"/>
      <c r="O124" s="135"/>
      <c r="P124" s="135"/>
      <c r="Q124" s="135"/>
      <c r="R124" s="135"/>
      <c r="S124" s="135"/>
      <c r="T124" s="135"/>
      <c r="U124" s="135"/>
      <c r="V124" s="135"/>
      <c r="W124" s="135"/>
      <c r="X124" s="135"/>
    </row>
    <row r="125" spans="1:24" ht="12.75" customHeight="1">
      <c r="A125" s="135"/>
      <c r="B125" s="244">
        <v>43397</v>
      </c>
      <c r="C125" s="247">
        <v>1.9</v>
      </c>
      <c r="D125" s="186" t="s">
        <v>1736</v>
      </c>
      <c r="E125" s="135"/>
      <c r="F125" s="135"/>
      <c r="G125" s="135"/>
      <c r="H125" s="135"/>
      <c r="I125" s="135"/>
      <c r="J125" s="135"/>
      <c r="K125" s="135"/>
      <c r="L125" s="135"/>
      <c r="M125" s="135"/>
      <c r="N125" s="135"/>
      <c r="O125" s="135"/>
      <c r="P125" s="135"/>
      <c r="Q125" s="135"/>
      <c r="R125" s="135"/>
      <c r="S125" s="135"/>
      <c r="T125" s="135"/>
      <c r="U125" s="135"/>
      <c r="V125" s="135"/>
      <c r="W125" s="135"/>
      <c r="X125" s="135"/>
    </row>
    <row r="126" spans="1:24" ht="12.75" customHeight="1">
      <c r="A126" s="135"/>
      <c r="B126" s="244"/>
      <c r="C126" s="247"/>
      <c r="D126" s="185" t="s">
        <v>1737</v>
      </c>
      <c r="E126" s="135"/>
      <c r="F126" s="135"/>
      <c r="G126" s="135"/>
      <c r="H126" s="135"/>
      <c r="I126" s="135"/>
      <c r="J126" s="135"/>
      <c r="K126" s="135"/>
      <c r="L126" s="135"/>
      <c r="M126" s="135"/>
      <c r="N126" s="135"/>
      <c r="O126" s="135"/>
      <c r="P126" s="135"/>
      <c r="Q126" s="135"/>
      <c r="R126" s="135"/>
      <c r="S126" s="135"/>
      <c r="T126" s="135"/>
      <c r="U126" s="135"/>
      <c r="V126" s="135"/>
      <c r="W126" s="135"/>
      <c r="X126" s="135"/>
    </row>
    <row r="127" spans="1:24" ht="12.75" customHeight="1">
      <c r="A127" s="135"/>
      <c r="B127" s="244"/>
      <c r="C127" s="247"/>
      <c r="D127" s="185" t="s">
        <v>1738</v>
      </c>
      <c r="E127" s="135"/>
      <c r="F127" s="135"/>
      <c r="G127" s="135"/>
      <c r="H127" s="135"/>
      <c r="I127" s="135"/>
      <c r="J127" s="135"/>
      <c r="K127" s="135"/>
      <c r="L127" s="135"/>
      <c r="M127" s="135"/>
      <c r="N127" s="135"/>
      <c r="O127" s="135"/>
      <c r="P127" s="135"/>
      <c r="Q127" s="135"/>
      <c r="R127" s="135"/>
      <c r="S127" s="135"/>
      <c r="T127" s="135"/>
      <c r="U127" s="135"/>
      <c r="V127" s="135"/>
      <c r="W127" s="135"/>
      <c r="X127" s="135"/>
    </row>
    <row r="128" spans="1:24" ht="12.75" customHeight="1">
      <c r="A128" s="135"/>
      <c r="B128" s="241">
        <v>43920</v>
      </c>
      <c r="C128" s="242">
        <v>1.1000000000000001</v>
      </c>
      <c r="D128" s="186" t="s">
        <v>1739</v>
      </c>
      <c r="E128" s="135"/>
      <c r="F128" s="135"/>
      <c r="G128" s="135"/>
      <c r="H128" s="135"/>
      <c r="I128" s="135"/>
      <c r="J128" s="135"/>
      <c r="K128" s="135"/>
      <c r="L128" s="135"/>
      <c r="M128" s="135"/>
      <c r="N128" s="135"/>
      <c r="O128" s="135"/>
      <c r="P128" s="135"/>
      <c r="Q128" s="135"/>
      <c r="R128" s="135"/>
      <c r="S128" s="135"/>
      <c r="T128" s="135"/>
      <c r="U128" s="135"/>
      <c r="V128" s="135"/>
      <c r="W128" s="135"/>
      <c r="X128" s="135"/>
    </row>
    <row r="129" spans="1:24" ht="12.75" customHeight="1">
      <c r="A129" s="135"/>
      <c r="B129" s="241"/>
      <c r="C129" s="242"/>
      <c r="D129" s="185" t="s">
        <v>1741</v>
      </c>
      <c r="E129" s="135"/>
      <c r="F129" s="135"/>
      <c r="G129" s="135"/>
      <c r="H129" s="135"/>
      <c r="I129" s="135"/>
      <c r="J129" s="135"/>
      <c r="K129" s="135"/>
      <c r="L129" s="135"/>
      <c r="M129" s="135"/>
      <c r="N129" s="135"/>
      <c r="O129" s="135"/>
      <c r="P129" s="135"/>
      <c r="Q129" s="135"/>
      <c r="R129" s="135"/>
      <c r="S129" s="135"/>
      <c r="T129" s="135"/>
      <c r="U129" s="135"/>
      <c r="V129" s="135"/>
      <c r="W129" s="135"/>
      <c r="X129" s="135"/>
    </row>
    <row r="130" spans="1:24" ht="12.75" customHeight="1">
      <c r="A130" s="135"/>
      <c r="B130" s="241"/>
      <c r="C130" s="242"/>
      <c r="D130" s="185" t="s">
        <v>1751</v>
      </c>
      <c r="E130" s="135"/>
      <c r="F130" s="135"/>
      <c r="G130" s="135"/>
      <c r="H130" s="135"/>
      <c r="I130" s="135"/>
      <c r="J130" s="135"/>
      <c r="K130" s="135"/>
      <c r="L130" s="135"/>
      <c r="M130" s="135"/>
      <c r="N130" s="135"/>
      <c r="O130" s="135"/>
      <c r="P130" s="135"/>
      <c r="Q130" s="135"/>
      <c r="R130" s="135"/>
      <c r="S130" s="135"/>
      <c r="T130" s="135"/>
      <c r="U130" s="135"/>
      <c r="V130" s="135"/>
      <c r="W130" s="135"/>
      <c r="X130" s="135"/>
    </row>
    <row r="131" spans="1:24" ht="12.75" customHeight="1">
      <c r="A131" s="135"/>
      <c r="B131" s="241"/>
      <c r="C131" s="242"/>
      <c r="D131" s="184" t="s">
        <v>1753</v>
      </c>
      <c r="E131" s="135"/>
      <c r="F131" s="135"/>
      <c r="G131" s="135"/>
      <c r="H131" s="135"/>
      <c r="I131" s="135"/>
      <c r="J131" s="135"/>
      <c r="K131" s="135"/>
      <c r="L131" s="135"/>
      <c r="M131" s="135"/>
      <c r="N131" s="135"/>
      <c r="O131" s="135"/>
      <c r="P131" s="135"/>
      <c r="Q131" s="135"/>
      <c r="R131" s="135"/>
      <c r="S131" s="135"/>
      <c r="T131" s="135"/>
      <c r="U131" s="135"/>
      <c r="V131" s="135"/>
      <c r="W131" s="135"/>
      <c r="X131" s="135"/>
    </row>
    <row r="132" spans="1:24" ht="12.75" customHeight="1">
      <c r="A132" s="135"/>
      <c r="B132" s="209"/>
      <c r="C132" s="209"/>
      <c r="D132" s="135"/>
      <c r="E132" s="135"/>
      <c r="F132" s="135"/>
      <c r="G132" s="135"/>
      <c r="H132" s="135"/>
      <c r="I132" s="135"/>
      <c r="J132" s="135"/>
      <c r="K132" s="135"/>
      <c r="L132" s="135"/>
      <c r="M132" s="135"/>
      <c r="N132" s="135"/>
      <c r="O132" s="135"/>
      <c r="P132" s="135"/>
      <c r="Q132" s="135"/>
      <c r="R132" s="135"/>
      <c r="S132" s="135"/>
      <c r="T132" s="135"/>
      <c r="U132" s="135"/>
      <c r="V132" s="135"/>
      <c r="W132" s="135"/>
      <c r="X132" s="135"/>
    </row>
    <row r="133" spans="1:24" ht="12.75" customHeight="1">
      <c r="A133" s="135"/>
      <c r="B133" s="209"/>
      <c r="C133" s="209"/>
      <c r="D133" s="135"/>
      <c r="E133" s="135"/>
      <c r="F133" s="135"/>
      <c r="G133" s="135"/>
      <c r="H133" s="135"/>
      <c r="I133" s="135"/>
      <c r="J133" s="135"/>
      <c r="K133" s="135"/>
      <c r="L133" s="135"/>
      <c r="M133" s="135"/>
      <c r="N133" s="135"/>
      <c r="O133" s="135"/>
      <c r="P133" s="135"/>
      <c r="Q133" s="135"/>
      <c r="R133" s="135"/>
      <c r="S133" s="135"/>
      <c r="T133" s="135"/>
      <c r="U133" s="135"/>
      <c r="V133" s="135"/>
      <c r="W133" s="135"/>
      <c r="X133" s="135"/>
    </row>
    <row r="134" spans="1:24" ht="12.75" customHeight="1">
      <c r="A134" s="135"/>
      <c r="B134" s="209"/>
      <c r="C134" s="209"/>
      <c r="D134" s="135"/>
      <c r="E134" s="135"/>
      <c r="F134" s="135"/>
      <c r="G134" s="135"/>
      <c r="H134" s="135"/>
      <c r="I134" s="135"/>
      <c r="J134" s="135"/>
      <c r="K134" s="135"/>
      <c r="L134" s="135"/>
      <c r="M134" s="135"/>
      <c r="N134" s="135"/>
      <c r="O134" s="135"/>
      <c r="P134" s="135"/>
      <c r="Q134" s="135"/>
      <c r="R134" s="135"/>
      <c r="S134" s="135"/>
      <c r="T134" s="135"/>
      <c r="U134" s="135"/>
      <c r="V134" s="135"/>
      <c r="W134" s="135"/>
      <c r="X134" s="135"/>
    </row>
    <row r="135" spans="1:24" ht="12.75" customHeight="1">
      <c r="A135" s="135"/>
      <c r="B135" s="209"/>
      <c r="C135" s="209"/>
      <c r="D135" s="135"/>
      <c r="E135" s="135"/>
      <c r="F135" s="135"/>
      <c r="G135" s="135"/>
      <c r="H135" s="135"/>
      <c r="I135" s="135"/>
      <c r="J135" s="135"/>
      <c r="K135" s="135"/>
      <c r="L135" s="135"/>
      <c r="M135" s="135"/>
      <c r="N135" s="135"/>
      <c r="O135" s="135"/>
      <c r="P135" s="135"/>
      <c r="Q135" s="135"/>
      <c r="R135" s="135"/>
      <c r="S135" s="135"/>
      <c r="T135" s="135"/>
      <c r="U135" s="135"/>
      <c r="V135" s="135"/>
      <c r="W135" s="135"/>
      <c r="X135" s="135"/>
    </row>
    <row r="136" spans="1:24" ht="12.75" customHeight="1">
      <c r="A136" s="135"/>
      <c r="B136" s="209"/>
      <c r="C136" s="209"/>
      <c r="D136" s="135"/>
      <c r="E136" s="135"/>
      <c r="F136" s="135"/>
      <c r="G136" s="135"/>
      <c r="H136" s="135"/>
      <c r="I136" s="135"/>
      <c r="J136" s="135"/>
      <c r="K136" s="135"/>
      <c r="L136" s="135"/>
      <c r="M136" s="135"/>
      <c r="N136" s="135"/>
      <c r="O136" s="135"/>
      <c r="P136" s="135"/>
      <c r="Q136" s="135"/>
      <c r="R136" s="135"/>
      <c r="S136" s="135"/>
      <c r="T136" s="135"/>
      <c r="U136" s="135"/>
      <c r="V136" s="135"/>
      <c r="W136" s="135"/>
      <c r="X136" s="135"/>
    </row>
  </sheetData>
  <sheetProtection algorithmName="SHA-512" hashValue="jPDviTBHlH+o1pwaSlNRY/6LEGfgcPqIwlnxmOfLeuXAln+kyFO15+nGwJ1h5XziEGtCDRFP9qKcZyzAdQzSbg==" saltValue="TscmrO4sN2BqGa/d0Ju79w==" spinCount="100000" sheet="1" objects="1" scenarios="1"/>
  <mergeCells count="19">
    <mergeCell ref="B2:D2"/>
    <mergeCell ref="B15:B32"/>
    <mergeCell ref="C15:C32"/>
    <mergeCell ref="C33:C46"/>
    <mergeCell ref="B33:B46"/>
    <mergeCell ref="B128:B131"/>
    <mergeCell ref="C128:C131"/>
    <mergeCell ref="C47:C62"/>
    <mergeCell ref="B47:B62"/>
    <mergeCell ref="B96:B111"/>
    <mergeCell ref="C96:C111"/>
    <mergeCell ref="B125:B127"/>
    <mergeCell ref="C125:C127"/>
    <mergeCell ref="B112:B117"/>
    <mergeCell ref="C112:C117"/>
    <mergeCell ref="B65:B95"/>
    <mergeCell ref="C65:C95"/>
    <mergeCell ref="C119:C124"/>
    <mergeCell ref="B119:B124"/>
  </mergeCells>
  <phoneticPr fontId="34"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P74"/>
  <sheetViews>
    <sheetView workbookViewId="0">
      <selection activeCell="O3" sqref="O3"/>
    </sheetView>
  </sheetViews>
  <sheetFormatPr defaultRowHeight="12.75"/>
  <cols>
    <col min="1" max="1" width="4.5703125" customWidth="1"/>
    <col min="4" max="4" width="17" bestFit="1" customWidth="1"/>
    <col min="5" max="7" width="17.5703125" bestFit="1" customWidth="1"/>
    <col min="8" max="8" width="19.28515625" bestFit="1" customWidth="1"/>
    <col min="10" max="10" width="15.42578125" customWidth="1"/>
    <col min="11" max="12" width="13.42578125" bestFit="1" customWidth="1"/>
    <col min="13" max="13" width="15.140625" customWidth="1"/>
    <col min="14" max="14" width="10.28515625" customWidth="1"/>
  </cols>
  <sheetData>
    <row r="2" spans="2:16">
      <c r="B2" t="s">
        <v>162</v>
      </c>
      <c r="F2" s="6" t="s">
        <v>226</v>
      </c>
      <c r="H2" s="33" t="s">
        <v>232</v>
      </c>
      <c r="I2" s="34" t="s">
        <v>245</v>
      </c>
      <c r="J2" s="34" t="s">
        <v>246</v>
      </c>
      <c r="K2" s="34" t="s">
        <v>247</v>
      </c>
      <c r="L2" s="34" t="s">
        <v>248</v>
      </c>
      <c r="M2" s="34" t="s">
        <v>249</v>
      </c>
      <c r="N2" s="20" t="s">
        <v>250</v>
      </c>
      <c r="O2" s="34" t="s">
        <v>1603</v>
      </c>
      <c r="P2" s="34" t="s">
        <v>1604</v>
      </c>
    </row>
    <row r="3" spans="2:16">
      <c r="B3" s="18" t="s">
        <v>1446</v>
      </c>
      <c r="F3" s="30" t="s">
        <v>227</v>
      </c>
      <c r="H3" s="64">
        <v>0</v>
      </c>
      <c r="I3" s="17">
        <v>0</v>
      </c>
      <c r="J3" s="17">
        <v>0</v>
      </c>
      <c r="K3" s="18">
        <v>0</v>
      </c>
      <c r="L3" s="18">
        <v>0</v>
      </c>
      <c r="M3" s="18">
        <v>0</v>
      </c>
      <c r="N3" s="65">
        <v>0</v>
      </c>
      <c r="O3" s="17">
        <v>0</v>
      </c>
      <c r="P3" s="17">
        <v>0</v>
      </c>
    </row>
    <row r="4" spans="2:16">
      <c r="B4" s="87" t="s">
        <v>56</v>
      </c>
      <c r="F4" s="31" t="s">
        <v>228</v>
      </c>
      <c r="H4" s="12">
        <v>1.2</v>
      </c>
      <c r="I4" s="2">
        <v>1.2</v>
      </c>
      <c r="J4" s="2">
        <v>1.2</v>
      </c>
      <c r="K4" s="2">
        <v>1.2</v>
      </c>
      <c r="L4" s="2">
        <v>1.2</v>
      </c>
      <c r="M4" s="2">
        <v>1.2</v>
      </c>
      <c r="N4" s="13">
        <v>1.2</v>
      </c>
      <c r="O4" s="2">
        <v>1.2</v>
      </c>
      <c r="P4" s="2">
        <v>1.2</v>
      </c>
    </row>
    <row r="5" spans="2:16">
      <c r="B5" s="30" t="s">
        <v>101</v>
      </c>
      <c r="F5" s="31" t="s">
        <v>229</v>
      </c>
      <c r="H5" s="12">
        <v>1.5</v>
      </c>
      <c r="I5" s="2">
        <v>1.5</v>
      </c>
      <c r="J5" s="2">
        <v>1.5</v>
      </c>
      <c r="K5" s="2">
        <v>1.5</v>
      </c>
      <c r="L5" s="2">
        <v>1.5</v>
      </c>
      <c r="M5" s="2">
        <v>1.5</v>
      </c>
      <c r="N5" s="13">
        <v>1.5</v>
      </c>
      <c r="O5" s="2">
        <v>1.5</v>
      </c>
      <c r="P5" s="2">
        <v>1.5</v>
      </c>
    </row>
    <row r="6" spans="2:16">
      <c r="B6" s="31" t="s">
        <v>102</v>
      </c>
      <c r="F6" s="31" t="s">
        <v>230</v>
      </c>
      <c r="H6" s="12">
        <v>1.8</v>
      </c>
      <c r="I6" s="2">
        <v>1.8</v>
      </c>
      <c r="J6" s="2">
        <v>1.8</v>
      </c>
      <c r="K6" s="2">
        <v>1.8</v>
      </c>
      <c r="L6" s="2">
        <v>1.8</v>
      </c>
      <c r="M6" s="2">
        <v>1.8</v>
      </c>
      <c r="N6" s="13">
        <v>1.8</v>
      </c>
      <c r="O6" s="2">
        <v>1.8</v>
      </c>
      <c r="P6" s="2">
        <v>1.8</v>
      </c>
    </row>
    <row r="7" spans="2:16">
      <c r="B7" s="103" t="s">
        <v>350</v>
      </c>
      <c r="F7" s="32" t="s">
        <v>223</v>
      </c>
      <c r="H7" s="12">
        <v>2.5</v>
      </c>
      <c r="I7" s="2">
        <v>2.5</v>
      </c>
      <c r="J7" s="2">
        <v>2.5</v>
      </c>
      <c r="K7" s="2">
        <v>2.5</v>
      </c>
      <c r="L7" s="2">
        <v>2.5</v>
      </c>
      <c r="M7" s="2"/>
      <c r="N7" s="13"/>
      <c r="O7" s="2">
        <v>2.5</v>
      </c>
      <c r="P7" s="2">
        <v>2.5</v>
      </c>
    </row>
    <row r="8" spans="2:16">
      <c r="B8" t="s">
        <v>107</v>
      </c>
      <c r="H8" s="14">
        <v>3.3</v>
      </c>
      <c r="I8" s="35">
        <v>3.3</v>
      </c>
      <c r="J8" s="35">
        <v>3.3</v>
      </c>
      <c r="K8" s="35">
        <v>3.3</v>
      </c>
      <c r="L8" s="35">
        <v>3.3</v>
      </c>
      <c r="M8" s="35"/>
      <c r="N8" s="15"/>
      <c r="O8" s="35">
        <v>3.3</v>
      </c>
      <c r="P8" s="35">
        <v>3.3</v>
      </c>
    </row>
    <row r="9" spans="2:16">
      <c r="B9" s="10" t="s">
        <v>101</v>
      </c>
      <c r="C9" s="11" t="s">
        <v>102</v>
      </c>
      <c r="D9" s="34" t="s">
        <v>56</v>
      </c>
      <c r="E9" s="101" t="s">
        <v>350</v>
      </c>
      <c r="F9" s="18" t="s">
        <v>1446</v>
      </c>
    </row>
    <row r="10" spans="2:16">
      <c r="B10" s="12" t="s">
        <v>108</v>
      </c>
      <c r="C10" s="17" t="s">
        <v>195</v>
      </c>
      <c r="D10" s="6" t="s">
        <v>1460</v>
      </c>
      <c r="E10" s="18" t="s">
        <v>1462</v>
      </c>
      <c r="F10" s="18" t="s">
        <v>1448</v>
      </c>
    </row>
    <row r="11" spans="2:16">
      <c r="B11" s="12" t="s">
        <v>109</v>
      </c>
      <c r="C11" s="17" t="s">
        <v>113</v>
      </c>
      <c r="D11" s="2" t="s">
        <v>1193</v>
      </c>
      <c r="E11" s="102" t="s">
        <v>285</v>
      </c>
      <c r="F11" s="21" t="s">
        <v>1449</v>
      </c>
    </row>
    <row r="12" spans="2:16">
      <c r="B12" s="12" t="s">
        <v>110</v>
      </c>
      <c r="C12" s="76" t="s">
        <v>48</v>
      </c>
      <c r="D12" s="21" t="s">
        <v>1461</v>
      </c>
      <c r="E12" s="21" t="s">
        <v>1463</v>
      </c>
      <c r="F12" s="21" t="s">
        <v>1450</v>
      </c>
    </row>
    <row r="13" spans="2:16">
      <c r="B13" s="12" t="s">
        <v>186</v>
      </c>
      <c r="C13" s="17" t="s">
        <v>57</v>
      </c>
      <c r="D13" s="2" t="s">
        <v>867</v>
      </c>
      <c r="E13" s="21" t="s">
        <v>1464</v>
      </c>
      <c r="F13" s="21" t="s">
        <v>1451</v>
      </c>
    </row>
    <row r="14" spans="2:16">
      <c r="B14" s="12" t="s">
        <v>111</v>
      </c>
      <c r="C14" s="17" t="s">
        <v>58</v>
      </c>
      <c r="D14" s="2" t="s">
        <v>868</v>
      </c>
      <c r="E14" s="13" t="s">
        <v>826</v>
      </c>
      <c r="F14" s="21" t="s">
        <v>1452</v>
      </c>
    </row>
    <row r="15" spans="2:16">
      <c r="B15" s="12" t="s">
        <v>103</v>
      </c>
      <c r="C15" s="2" t="s">
        <v>59</v>
      </c>
      <c r="D15" s="76" t="s">
        <v>869</v>
      </c>
      <c r="E15" s="59" t="s">
        <v>286</v>
      </c>
      <c r="F15" s="21" t="s">
        <v>1453</v>
      </c>
    </row>
    <row r="16" spans="2:16">
      <c r="B16" s="12" t="s">
        <v>190</v>
      </c>
      <c r="C16" s="17" t="s">
        <v>60</v>
      </c>
      <c r="D16" s="76" t="s">
        <v>51</v>
      </c>
      <c r="E16" s="13" t="s">
        <v>455</v>
      </c>
    </row>
    <row r="17" spans="2:8">
      <c r="B17" s="12"/>
      <c r="C17" s="18" t="s">
        <v>284</v>
      </c>
      <c r="D17" s="76" t="s">
        <v>282</v>
      </c>
      <c r="E17" s="13" t="s">
        <v>1192</v>
      </c>
    </row>
    <row r="18" spans="2:8">
      <c r="B18" s="12"/>
      <c r="C18" s="18" t="s">
        <v>61</v>
      </c>
      <c r="D18" s="2"/>
      <c r="E18" s="13" t="s">
        <v>456</v>
      </c>
    </row>
    <row r="19" spans="2:8">
      <c r="B19" s="12"/>
      <c r="C19" s="18" t="s">
        <v>63</v>
      </c>
      <c r="D19" s="2"/>
      <c r="E19" s="13" t="s">
        <v>782</v>
      </c>
    </row>
    <row r="20" spans="2:8">
      <c r="B20" s="14"/>
      <c r="C20" s="19" t="s">
        <v>64</v>
      </c>
      <c r="D20" s="35"/>
    </row>
    <row r="21" spans="2:8">
      <c r="B21" s="2"/>
      <c r="C21" s="18"/>
      <c r="D21" s="2"/>
    </row>
    <row r="22" spans="2:8">
      <c r="B22" s="2"/>
      <c r="C22" s="18"/>
      <c r="D22" s="2"/>
    </row>
    <row r="23" spans="2:8">
      <c r="B23" s="2"/>
      <c r="C23" s="18"/>
      <c r="D23" s="2"/>
    </row>
    <row r="24" spans="2:8">
      <c r="B24" s="2"/>
      <c r="C24" s="18"/>
      <c r="D24" s="2"/>
    </row>
    <row r="25" spans="2:8">
      <c r="B25" s="2"/>
      <c r="C25" s="18"/>
      <c r="D25" s="2"/>
    </row>
    <row r="27" spans="2:8">
      <c r="B27" s="6" t="s">
        <v>251</v>
      </c>
    </row>
    <row r="28" spans="2:8">
      <c r="B28" s="10" t="s">
        <v>108</v>
      </c>
      <c r="C28" s="11" t="s">
        <v>109</v>
      </c>
      <c r="D28" s="11" t="s">
        <v>110</v>
      </c>
      <c r="E28" s="57" t="s">
        <v>186</v>
      </c>
      <c r="F28" s="11" t="s">
        <v>111</v>
      </c>
      <c r="G28" s="57" t="s">
        <v>103</v>
      </c>
      <c r="H28" s="58" t="s">
        <v>190</v>
      </c>
    </row>
    <row r="29" spans="2:8">
      <c r="B29" s="12" t="s">
        <v>1312</v>
      </c>
      <c r="C29" s="2" t="s">
        <v>1312</v>
      </c>
      <c r="D29" s="2" t="s">
        <v>1313</v>
      </c>
      <c r="E29" s="21" t="s">
        <v>1314</v>
      </c>
      <c r="F29" s="2" t="s">
        <v>1313</v>
      </c>
      <c r="G29" s="21" t="s">
        <v>1314</v>
      </c>
      <c r="H29" s="59" t="s">
        <v>1314</v>
      </c>
    </row>
    <row r="30" spans="2:8">
      <c r="B30" s="12" t="s">
        <v>1313</v>
      </c>
      <c r="C30" s="17" t="s">
        <v>1313</v>
      </c>
      <c r="D30" s="2" t="s">
        <v>1315</v>
      </c>
      <c r="E30" s="2"/>
      <c r="F30" s="2" t="s">
        <v>1315</v>
      </c>
      <c r="G30" s="21" t="s">
        <v>1316</v>
      </c>
      <c r="H30" s="59" t="s">
        <v>1316</v>
      </c>
    </row>
    <row r="31" spans="2:8">
      <c r="B31" s="12"/>
      <c r="C31" s="2" t="s">
        <v>1317</v>
      </c>
      <c r="D31" s="2" t="s">
        <v>1317</v>
      </c>
      <c r="E31" s="2"/>
      <c r="F31" s="2" t="s">
        <v>1317</v>
      </c>
      <c r="G31" s="2"/>
      <c r="H31" s="13"/>
    </row>
    <row r="32" spans="2:8">
      <c r="B32" s="14"/>
      <c r="C32" s="35"/>
      <c r="D32" s="60" t="s">
        <v>1318</v>
      </c>
      <c r="E32" s="60"/>
      <c r="F32" s="35" t="s">
        <v>1318</v>
      </c>
      <c r="G32" s="35"/>
      <c r="H32" s="15"/>
    </row>
    <row r="40" spans="2:13">
      <c r="B40" s="6" t="s">
        <v>252</v>
      </c>
    </row>
    <row r="41" spans="2:13">
      <c r="B41" s="33" t="s">
        <v>112</v>
      </c>
      <c r="C41" s="34" t="s">
        <v>113</v>
      </c>
      <c r="D41" s="34" t="s">
        <v>195</v>
      </c>
      <c r="E41" s="11" t="s">
        <v>48</v>
      </c>
      <c r="F41" s="74" t="s">
        <v>57</v>
      </c>
      <c r="G41" s="74" t="s">
        <v>58</v>
      </c>
      <c r="H41" s="74" t="s">
        <v>59</v>
      </c>
      <c r="I41" s="74" t="s">
        <v>60</v>
      </c>
      <c r="J41" s="74" t="s">
        <v>284</v>
      </c>
      <c r="K41" s="74" t="s">
        <v>61</v>
      </c>
      <c r="L41" s="166" t="s">
        <v>63</v>
      </c>
      <c r="M41" s="109" t="s">
        <v>64</v>
      </c>
    </row>
    <row r="42" spans="2:13">
      <c r="B42" s="61" t="s">
        <v>1319</v>
      </c>
      <c r="C42" s="18" t="s">
        <v>1320</v>
      </c>
      <c r="D42" s="18" t="s">
        <v>1321</v>
      </c>
      <c r="E42" s="2" t="s">
        <v>1321</v>
      </c>
      <c r="F42" s="76" t="s">
        <v>1321</v>
      </c>
      <c r="G42" s="76" t="s">
        <v>1321</v>
      </c>
      <c r="H42" s="76" t="s">
        <v>1322</v>
      </c>
      <c r="I42" s="76" t="s">
        <v>1321</v>
      </c>
      <c r="J42" s="76" t="s">
        <v>1323</v>
      </c>
      <c r="K42" s="76" t="s">
        <v>1324</v>
      </c>
      <c r="L42" s="179" t="s">
        <v>1325</v>
      </c>
      <c r="M42" s="204" t="s">
        <v>1326</v>
      </c>
    </row>
    <row r="43" spans="2:13">
      <c r="B43" s="12"/>
      <c r="C43" s="21" t="s">
        <v>1327</v>
      </c>
      <c r="D43" s="18" t="s">
        <v>1322</v>
      </c>
      <c r="E43" s="2" t="s">
        <v>1328</v>
      </c>
      <c r="F43" s="76" t="s">
        <v>1328</v>
      </c>
      <c r="G43" s="76" t="s">
        <v>1322</v>
      </c>
      <c r="H43" s="76" t="s">
        <v>1329</v>
      </c>
      <c r="I43" s="76" t="s">
        <v>1322</v>
      </c>
      <c r="J43" s="76" t="s">
        <v>1330</v>
      </c>
      <c r="K43" s="76" t="s">
        <v>1331</v>
      </c>
      <c r="L43" s="179" t="s">
        <v>1332</v>
      </c>
      <c r="M43" s="13"/>
    </row>
    <row r="44" spans="2:13">
      <c r="B44" s="12"/>
      <c r="C44" s="2"/>
      <c r="D44" s="21" t="s">
        <v>1328</v>
      </c>
      <c r="E44" s="2"/>
      <c r="F44" s="2"/>
      <c r="G44" s="76" t="s">
        <v>1329</v>
      </c>
      <c r="H44" s="2"/>
      <c r="I44" s="76" t="s">
        <v>1328</v>
      </c>
      <c r="J44" s="76" t="s">
        <v>1333</v>
      </c>
      <c r="K44" s="2" t="s">
        <v>1334</v>
      </c>
      <c r="L44" s="171"/>
      <c r="M44" s="13"/>
    </row>
    <row r="45" spans="2:13">
      <c r="B45" s="12"/>
      <c r="C45" s="2"/>
      <c r="D45" s="21" t="s">
        <v>1329</v>
      </c>
      <c r="E45" s="2"/>
      <c r="F45" s="76"/>
      <c r="G45" s="2"/>
      <c r="H45" s="2"/>
      <c r="I45" s="76" t="s">
        <v>1323</v>
      </c>
      <c r="J45" s="2"/>
      <c r="K45" s="2"/>
      <c r="L45" s="2"/>
      <c r="M45" s="13"/>
    </row>
    <row r="46" spans="2:13">
      <c r="B46" s="12"/>
      <c r="C46" s="2"/>
      <c r="D46" s="21" t="s">
        <v>1333</v>
      </c>
      <c r="E46" s="2"/>
      <c r="F46" s="76"/>
      <c r="G46" s="2"/>
      <c r="H46" s="2"/>
      <c r="I46" s="76" t="s">
        <v>1329</v>
      </c>
      <c r="J46" s="2"/>
      <c r="K46" s="2"/>
      <c r="L46" s="2"/>
      <c r="M46" s="13"/>
    </row>
    <row r="47" spans="2:13">
      <c r="B47" s="14"/>
      <c r="C47" s="35"/>
      <c r="D47" s="35"/>
      <c r="E47" s="35"/>
      <c r="F47" s="35"/>
      <c r="G47" s="35"/>
      <c r="H47" s="35"/>
      <c r="I47" s="203" t="s">
        <v>1333</v>
      </c>
      <c r="J47" s="35"/>
      <c r="K47" s="35"/>
      <c r="L47" s="35"/>
      <c r="M47" s="15"/>
    </row>
    <row r="48" spans="2:13">
      <c r="B48" s="2"/>
      <c r="C48" s="2"/>
      <c r="D48" s="2"/>
      <c r="E48" s="2"/>
      <c r="F48" s="2"/>
      <c r="G48" s="2"/>
      <c r="H48" s="2"/>
      <c r="I48" s="2"/>
      <c r="J48" s="2"/>
      <c r="K48" s="2"/>
    </row>
    <row r="49" spans="2:11">
      <c r="B49" s="2"/>
      <c r="C49" s="2"/>
      <c r="D49" s="2"/>
      <c r="E49" s="2"/>
      <c r="F49" s="2"/>
      <c r="G49" s="2"/>
      <c r="H49" s="2"/>
      <c r="I49" s="2"/>
      <c r="J49" s="2"/>
      <c r="K49" s="2"/>
    </row>
    <row r="54" spans="2:11">
      <c r="B54" s="6" t="s">
        <v>55</v>
      </c>
    </row>
    <row r="55" spans="2:11">
      <c r="B55" s="73" t="s">
        <v>51</v>
      </c>
      <c r="C55" s="74" t="s">
        <v>282</v>
      </c>
      <c r="D55" s="74" t="s">
        <v>283</v>
      </c>
      <c r="E55" s="74" t="s">
        <v>1193</v>
      </c>
      <c r="F55" s="74" t="s">
        <v>867</v>
      </c>
      <c r="G55" s="74" t="s">
        <v>868</v>
      </c>
      <c r="H55" s="109" t="s">
        <v>869</v>
      </c>
      <c r="I55" s="205" t="s">
        <v>1460</v>
      </c>
      <c r="J55" s="205" t="s">
        <v>1461</v>
      </c>
    </row>
    <row r="56" spans="2:11">
      <c r="B56" s="75" t="s">
        <v>1335</v>
      </c>
      <c r="C56" s="76" t="s">
        <v>1312</v>
      </c>
      <c r="D56" s="76" t="s">
        <v>1312</v>
      </c>
      <c r="E56" s="171" t="s">
        <v>1351</v>
      </c>
      <c r="F56" s="171" t="s">
        <v>1351</v>
      </c>
      <c r="G56" s="171" t="s">
        <v>1351</v>
      </c>
      <c r="H56" s="72" t="s">
        <v>1335</v>
      </c>
      <c r="I56" s="179" t="s">
        <v>1497</v>
      </c>
      <c r="J56" s="179" t="s">
        <v>1497</v>
      </c>
    </row>
    <row r="57" spans="2:11">
      <c r="B57" s="75" t="s">
        <v>1339</v>
      </c>
      <c r="C57" s="2" t="s">
        <v>1336</v>
      </c>
      <c r="D57" s="76" t="s">
        <v>1313</v>
      </c>
      <c r="E57" s="76" t="s">
        <v>1335</v>
      </c>
      <c r="F57" s="76" t="s">
        <v>1335</v>
      </c>
      <c r="G57" s="76" t="s">
        <v>1335</v>
      </c>
      <c r="H57" s="13" t="s">
        <v>1339</v>
      </c>
      <c r="I57" s="179" t="s">
        <v>1337</v>
      </c>
      <c r="J57" s="179" t="s">
        <v>1337</v>
      </c>
    </row>
    <row r="58" spans="2:11">
      <c r="B58" s="75" t="s">
        <v>1340</v>
      </c>
      <c r="C58" s="76" t="s">
        <v>1313</v>
      </c>
      <c r="D58" s="76" t="s">
        <v>1316</v>
      </c>
      <c r="E58" s="2" t="s">
        <v>1337</v>
      </c>
      <c r="F58" s="2" t="s">
        <v>1337</v>
      </c>
      <c r="G58" s="2" t="s">
        <v>1337</v>
      </c>
      <c r="H58" s="72" t="s">
        <v>1340</v>
      </c>
    </row>
    <row r="59" spans="2:11">
      <c r="B59" s="75" t="s">
        <v>1338</v>
      </c>
      <c r="C59" s="76" t="s">
        <v>1316</v>
      </c>
      <c r="D59" s="2"/>
      <c r="E59" s="2" t="s">
        <v>1339</v>
      </c>
      <c r="F59" s="2" t="s">
        <v>1339</v>
      </c>
      <c r="G59" s="2" t="s">
        <v>1339</v>
      </c>
      <c r="H59" s="72" t="s">
        <v>1338</v>
      </c>
    </row>
    <row r="60" spans="2:11">
      <c r="B60" s="14"/>
      <c r="C60" s="35"/>
      <c r="D60" s="35"/>
      <c r="E60" s="202" t="s">
        <v>1338</v>
      </c>
      <c r="F60" s="202" t="s">
        <v>1338</v>
      </c>
      <c r="G60" s="202" t="s">
        <v>1338</v>
      </c>
      <c r="H60" s="15"/>
    </row>
    <row r="61" spans="2:11">
      <c r="B61" s="2"/>
      <c r="C61" s="2"/>
      <c r="D61" s="2"/>
      <c r="E61" s="2"/>
      <c r="F61" s="2"/>
    </row>
    <row r="62" spans="2:11">
      <c r="B62" s="6" t="s">
        <v>351</v>
      </c>
      <c r="E62" s="2"/>
      <c r="F62" s="2"/>
    </row>
    <row r="63" spans="2:11">
      <c r="B63" s="104" t="s">
        <v>285</v>
      </c>
      <c r="C63" s="166" t="s">
        <v>826</v>
      </c>
      <c r="D63" s="105" t="s">
        <v>286</v>
      </c>
      <c r="E63" s="74" t="s">
        <v>455</v>
      </c>
      <c r="F63" s="166" t="s">
        <v>1192</v>
      </c>
      <c r="G63" s="166" t="s">
        <v>456</v>
      </c>
      <c r="H63" s="109" t="s">
        <v>782</v>
      </c>
      <c r="I63" t="s">
        <v>1462</v>
      </c>
      <c r="J63" t="s">
        <v>1463</v>
      </c>
      <c r="K63" t="s">
        <v>1464</v>
      </c>
    </row>
    <row r="64" spans="2:11">
      <c r="B64" s="106" t="s">
        <v>1341</v>
      </c>
      <c r="C64" s="171" t="s">
        <v>1342</v>
      </c>
      <c r="D64" s="107" t="s">
        <v>1343</v>
      </c>
      <c r="E64" s="76" t="s">
        <v>1312</v>
      </c>
      <c r="F64" s="2" t="s">
        <v>1313</v>
      </c>
      <c r="G64" s="2" t="s">
        <v>1313</v>
      </c>
      <c r="H64" s="13" t="s">
        <v>1318</v>
      </c>
      <c r="I64" s="106" t="s">
        <v>1341</v>
      </c>
      <c r="J64" s="171" t="s">
        <v>1342</v>
      </c>
      <c r="K64" s="107" t="s">
        <v>1343</v>
      </c>
    </row>
    <row r="65" spans="2:11">
      <c r="B65" s="106" t="s">
        <v>1343</v>
      </c>
      <c r="C65" s="2"/>
      <c r="D65" s="107" t="s">
        <v>1344</v>
      </c>
      <c r="E65" s="171" t="s">
        <v>1350</v>
      </c>
      <c r="F65" s="2" t="s">
        <v>1317</v>
      </c>
      <c r="G65" s="2" t="s">
        <v>1317</v>
      </c>
      <c r="H65" s="167" t="s">
        <v>1316</v>
      </c>
      <c r="I65" s="106" t="s">
        <v>1343</v>
      </c>
      <c r="K65" s="107" t="s">
        <v>1344</v>
      </c>
    </row>
    <row r="66" spans="2:11">
      <c r="B66" s="75"/>
      <c r="C66" s="2"/>
      <c r="D66" s="76"/>
      <c r="E66" s="76" t="s">
        <v>1313</v>
      </c>
      <c r="F66" s="2" t="s">
        <v>1318</v>
      </c>
      <c r="G66" s="2" t="s">
        <v>1318</v>
      </c>
      <c r="H66" s="13"/>
    </row>
    <row r="67" spans="2:11">
      <c r="B67" s="201"/>
      <c r="C67" s="35"/>
      <c r="D67" s="35"/>
      <c r="E67" s="203" t="s">
        <v>1317</v>
      </c>
      <c r="F67" s="35"/>
      <c r="G67" s="35"/>
      <c r="H67" s="15"/>
    </row>
    <row r="68" spans="2:11">
      <c r="B68" s="2"/>
      <c r="C68" s="2"/>
      <c r="D68" s="2"/>
      <c r="E68" s="2"/>
      <c r="F68" s="2"/>
      <c r="G68" s="2"/>
      <c r="H68" s="2"/>
    </row>
    <row r="70" spans="2:11">
      <c r="B70" s="6" t="s">
        <v>1447</v>
      </c>
    </row>
    <row r="71" spans="2:11">
      <c r="B71" t="s">
        <v>1448</v>
      </c>
      <c r="C71" t="s">
        <v>1449</v>
      </c>
      <c r="D71" t="s">
        <v>1450</v>
      </c>
      <c r="E71" t="s">
        <v>1451</v>
      </c>
      <c r="F71" t="s">
        <v>1452</v>
      </c>
      <c r="G71" t="s">
        <v>1453</v>
      </c>
    </row>
    <row r="72" spans="2:11">
      <c r="B72" s="6" t="s">
        <v>1454</v>
      </c>
      <c r="C72" s="6" t="s">
        <v>1454</v>
      </c>
      <c r="D72" s="6" t="s">
        <v>1456</v>
      </c>
      <c r="E72" s="6" t="s">
        <v>1456</v>
      </c>
      <c r="F72" s="6" t="s">
        <v>1458</v>
      </c>
      <c r="G72" s="6" t="s">
        <v>1458</v>
      </c>
    </row>
    <row r="73" spans="2:11">
      <c r="B73" s="6" t="s">
        <v>1456</v>
      </c>
      <c r="C73" s="6" t="s">
        <v>1456</v>
      </c>
      <c r="D73" s="6" t="s">
        <v>1455</v>
      </c>
      <c r="E73" s="6" t="s">
        <v>1457</v>
      </c>
      <c r="F73" s="6" t="s">
        <v>1459</v>
      </c>
      <c r="G73" s="6" t="s">
        <v>1459</v>
      </c>
    </row>
    <row r="74" spans="2:11">
      <c r="B74" s="6" t="s">
        <v>1455</v>
      </c>
      <c r="C74" s="6" t="s">
        <v>1455</v>
      </c>
      <c r="D74" s="6" t="s">
        <v>1457</v>
      </c>
      <c r="E74" s="6" t="s">
        <v>1458</v>
      </c>
    </row>
  </sheetData>
  <phoneticPr fontId="0" type="noConversion"/>
  <pageMargins left="0.75" right="0.75" top="1" bottom="1" header="0.5" footer="0.5"/>
  <pageSetup orientation="landscape" verticalDpi="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172"/>
  <sheetViews>
    <sheetView workbookViewId="0">
      <pane ySplit="2" topLeftCell="A45" activePane="bottomLeft" state="frozen"/>
      <selection pane="bottomLeft" activeCell="N69" sqref="N69"/>
    </sheetView>
  </sheetViews>
  <sheetFormatPr defaultRowHeight="12.75"/>
  <cols>
    <col min="1" max="2" width="12" customWidth="1"/>
    <col min="3" max="3" width="15.5703125" bestFit="1" customWidth="1"/>
    <col min="4" max="35" width="12" customWidth="1"/>
  </cols>
  <sheetData>
    <row r="1" spans="1:17">
      <c r="D1" s="6" t="s">
        <v>117</v>
      </c>
      <c r="G1" t="s">
        <v>105</v>
      </c>
      <c r="K1" s="6" t="s">
        <v>118</v>
      </c>
      <c r="M1" s="6" t="s">
        <v>269</v>
      </c>
      <c r="P1" s="6" t="s">
        <v>270</v>
      </c>
      <c r="Q1" t="s">
        <v>232</v>
      </c>
    </row>
    <row r="2" spans="1:17">
      <c r="A2" t="s">
        <v>106</v>
      </c>
      <c r="B2" t="s">
        <v>107</v>
      </c>
      <c r="C2" s="6" t="s">
        <v>12</v>
      </c>
      <c r="D2" s="6" t="s">
        <v>263</v>
      </c>
      <c r="E2" s="6" t="s">
        <v>264</v>
      </c>
      <c r="F2" s="6" t="s">
        <v>265</v>
      </c>
      <c r="G2" s="6" t="s">
        <v>266</v>
      </c>
      <c r="H2" s="6" t="s">
        <v>264</v>
      </c>
      <c r="I2" s="6" t="s">
        <v>267</v>
      </c>
      <c r="J2" s="6" t="s">
        <v>265</v>
      </c>
      <c r="K2" s="6" t="s">
        <v>268</v>
      </c>
      <c r="L2" s="6" t="s">
        <v>265</v>
      </c>
      <c r="M2" s="6" t="s">
        <v>267</v>
      </c>
      <c r="N2" s="6" t="s">
        <v>268</v>
      </c>
      <c r="O2" s="6" t="s">
        <v>1735</v>
      </c>
      <c r="P2" s="6" t="s">
        <v>1205</v>
      </c>
      <c r="Q2" s="6" t="s">
        <v>268</v>
      </c>
    </row>
    <row r="3" spans="1:17" ht="15">
      <c r="A3" s="189" t="s">
        <v>1312</v>
      </c>
      <c r="B3" s="189" t="s">
        <v>109</v>
      </c>
      <c r="C3" t="str">
        <f>B3&amp;A3</f>
        <v>7K160TFB484</v>
      </c>
      <c r="D3" s="191">
        <v>0</v>
      </c>
      <c r="E3" s="191">
        <v>2</v>
      </c>
      <c r="F3" s="191">
        <v>0</v>
      </c>
      <c r="G3" s="191">
        <v>0</v>
      </c>
      <c r="H3" s="191">
        <v>0</v>
      </c>
      <c r="I3" s="191">
        <v>1</v>
      </c>
      <c r="J3" s="191">
        <v>3</v>
      </c>
      <c r="K3" s="191">
        <v>2</v>
      </c>
      <c r="L3" s="191">
        <v>3</v>
      </c>
      <c r="M3" s="191" t="s">
        <v>223</v>
      </c>
      <c r="N3" s="191" t="s">
        <v>223</v>
      </c>
      <c r="O3" s="191" t="s">
        <v>223</v>
      </c>
      <c r="P3" s="191">
        <v>1</v>
      </c>
      <c r="Q3" s="191">
        <v>1</v>
      </c>
    </row>
    <row r="4" spans="1:17" ht="15">
      <c r="A4" s="189" t="s">
        <v>1313</v>
      </c>
      <c r="B4" s="189" t="s">
        <v>109</v>
      </c>
      <c r="C4" t="str">
        <f t="shared" ref="C4:C67" si="0">B4&amp;A4</f>
        <v>7K160TFB676</v>
      </c>
      <c r="D4" s="191">
        <v>0</v>
      </c>
      <c r="E4" s="191">
        <v>2</v>
      </c>
      <c r="F4" s="191">
        <v>0</v>
      </c>
      <c r="G4" s="191">
        <v>0</v>
      </c>
      <c r="H4" s="191">
        <v>0</v>
      </c>
      <c r="I4" s="191">
        <v>1</v>
      </c>
      <c r="J4" s="191">
        <v>3</v>
      </c>
      <c r="K4" s="191">
        <v>3</v>
      </c>
      <c r="L4" s="191">
        <v>4</v>
      </c>
      <c r="M4" s="191">
        <v>0</v>
      </c>
      <c r="N4" s="191">
        <v>0</v>
      </c>
      <c r="O4" s="191">
        <v>0</v>
      </c>
      <c r="P4" s="191">
        <v>1</v>
      </c>
      <c r="Q4" s="191">
        <v>1</v>
      </c>
    </row>
    <row r="5" spans="1:17" ht="15">
      <c r="A5" s="189" t="s">
        <v>1317</v>
      </c>
      <c r="B5" s="189" t="s">
        <v>109</v>
      </c>
      <c r="C5" t="str">
        <f t="shared" si="0"/>
        <v>7K160TFF676</v>
      </c>
      <c r="D5" s="191">
        <v>0</v>
      </c>
      <c r="E5" s="191">
        <v>2</v>
      </c>
      <c r="F5" s="191">
        <v>0</v>
      </c>
      <c r="G5" s="191">
        <v>0</v>
      </c>
      <c r="H5" s="191">
        <v>0</v>
      </c>
      <c r="I5" s="191">
        <v>1</v>
      </c>
      <c r="J5" s="191">
        <v>3</v>
      </c>
      <c r="K5" s="191">
        <v>2</v>
      </c>
      <c r="L5" s="191">
        <v>0</v>
      </c>
      <c r="M5" s="191">
        <v>0</v>
      </c>
      <c r="N5" s="191">
        <v>1</v>
      </c>
      <c r="O5" s="191">
        <v>0</v>
      </c>
      <c r="P5" s="191">
        <v>1</v>
      </c>
      <c r="Q5" s="191">
        <v>1</v>
      </c>
    </row>
    <row r="6" spans="1:17" ht="15">
      <c r="A6" s="189" t="s">
        <v>1313</v>
      </c>
      <c r="B6" s="189" t="s">
        <v>110</v>
      </c>
      <c r="C6" t="str">
        <f t="shared" si="0"/>
        <v>7K325TFB676</v>
      </c>
      <c r="D6" s="191">
        <v>0</v>
      </c>
      <c r="E6" s="191">
        <v>3</v>
      </c>
      <c r="F6" s="191">
        <v>5</v>
      </c>
      <c r="G6" s="191">
        <v>0</v>
      </c>
      <c r="H6" s="191">
        <v>0</v>
      </c>
      <c r="I6" s="191">
        <v>2</v>
      </c>
      <c r="J6" s="191">
        <v>5</v>
      </c>
      <c r="K6" s="191">
        <v>3</v>
      </c>
      <c r="L6" s="191">
        <v>4</v>
      </c>
      <c r="M6" s="191">
        <v>0</v>
      </c>
      <c r="N6" s="191">
        <v>0</v>
      </c>
      <c r="O6" s="191">
        <v>0</v>
      </c>
      <c r="P6" s="191">
        <v>1</v>
      </c>
      <c r="Q6" s="191">
        <v>1</v>
      </c>
    </row>
    <row r="7" spans="1:17" ht="15">
      <c r="A7" s="189" t="s">
        <v>1315</v>
      </c>
      <c r="B7" s="189" t="s">
        <v>110</v>
      </c>
      <c r="C7" t="str">
        <f t="shared" si="0"/>
        <v>7K325TFB900</v>
      </c>
      <c r="D7" s="191">
        <v>0</v>
      </c>
      <c r="E7" s="191">
        <v>3</v>
      </c>
      <c r="F7" s="191">
        <v>5</v>
      </c>
      <c r="G7" s="191">
        <v>0</v>
      </c>
      <c r="H7" s="191">
        <v>0</v>
      </c>
      <c r="I7" s="191">
        <v>2</v>
      </c>
      <c r="J7" s="191">
        <v>5</v>
      </c>
      <c r="K7" s="191">
        <v>4</v>
      </c>
      <c r="L7" s="191">
        <v>4</v>
      </c>
      <c r="M7" s="191">
        <v>0</v>
      </c>
      <c r="N7" s="191">
        <v>0</v>
      </c>
      <c r="O7" s="191">
        <v>0</v>
      </c>
      <c r="P7" s="191">
        <v>1</v>
      </c>
      <c r="Q7" s="191">
        <v>1</v>
      </c>
    </row>
    <row r="8" spans="1:17" ht="15">
      <c r="A8" s="189" t="s">
        <v>1317</v>
      </c>
      <c r="B8" s="189" t="s">
        <v>110</v>
      </c>
      <c r="C8" t="str">
        <f t="shared" si="0"/>
        <v>7K325TFF676</v>
      </c>
      <c r="D8" s="191">
        <v>0</v>
      </c>
      <c r="E8" s="191">
        <v>3</v>
      </c>
      <c r="F8" s="191">
        <v>0</v>
      </c>
      <c r="G8" s="191">
        <v>0</v>
      </c>
      <c r="H8" s="191">
        <v>0</v>
      </c>
      <c r="I8" s="191">
        <v>2</v>
      </c>
      <c r="J8" s="191">
        <v>5</v>
      </c>
      <c r="K8" s="191">
        <v>2</v>
      </c>
      <c r="L8" s="191">
        <v>0</v>
      </c>
      <c r="M8" s="191">
        <v>0</v>
      </c>
      <c r="N8" s="191">
        <v>1</v>
      </c>
      <c r="O8" s="191">
        <v>0</v>
      </c>
      <c r="P8" s="191">
        <v>1</v>
      </c>
      <c r="Q8" s="191">
        <v>1</v>
      </c>
    </row>
    <row r="9" spans="1:17" ht="15">
      <c r="A9" s="189" t="s">
        <v>1318</v>
      </c>
      <c r="B9" s="189" t="s">
        <v>110</v>
      </c>
      <c r="C9" t="str">
        <f t="shared" si="0"/>
        <v>7K325TFF900</v>
      </c>
      <c r="D9" s="191">
        <v>0</v>
      </c>
      <c r="E9" s="191">
        <v>3</v>
      </c>
      <c r="F9" s="191">
        <v>0</v>
      </c>
      <c r="G9" s="191">
        <v>0</v>
      </c>
      <c r="H9" s="191">
        <v>0</v>
      </c>
      <c r="I9" s="191">
        <v>2</v>
      </c>
      <c r="J9" s="191">
        <v>5</v>
      </c>
      <c r="K9" s="191">
        <v>3</v>
      </c>
      <c r="L9" s="191">
        <v>0</v>
      </c>
      <c r="M9" s="191">
        <v>0</v>
      </c>
      <c r="N9" s="191">
        <v>1</v>
      </c>
      <c r="O9" s="191">
        <v>0</v>
      </c>
      <c r="P9" s="191">
        <v>1</v>
      </c>
      <c r="Q9" s="191">
        <v>1</v>
      </c>
    </row>
    <row r="10" spans="1:17" ht="15">
      <c r="A10" s="189" t="s">
        <v>1314</v>
      </c>
      <c r="B10" s="189" t="s">
        <v>186</v>
      </c>
      <c r="C10" t="str">
        <f t="shared" si="0"/>
        <v>7K355TFF901</v>
      </c>
      <c r="D10" s="191">
        <v>0</v>
      </c>
      <c r="E10" s="191">
        <v>5</v>
      </c>
      <c r="F10" s="191">
        <v>0</v>
      </c>
      <c r="G10" s="191">
        <v>0</v>
      </c>
      <c r="H10" s="191">
        <v>1</v>
      </c>
      <c r="I10" s="191">
        <v>0</v>
      </c>
      <c r="J10" s="191">
        <v>8</v>
      </c>
      <c r="K10" s="191">
        <v>2</v>
      </c>
      <c r="L10" s="191">
        <v>0</v>
      </c>
      <c r="M10" s="191" t="s">
        <v>223</v>
      </c>
      <c r="N10" s="191" t="s">
        <v>223</v>
      </c>
      <c r="O10" s="191" t="s">
        <v>223</v>
      </c>
      <c r="P10" s="191">
        <v>1</v>
      </c>
      <c r="Q10" s="191">
        <v>1</v>
      </c>
    </row>
    <row r="11" spans="1:17" ht="15">
      <c r="A11" s="189" t="s">
        <v>1313</v>
      </c>
      <c r="B11" s="189" t="s">
        <v>111</v>
      </c>
      <c r="C11" t="str">
        <f t="shared" si="0"/>
        <v>7K410TFB676</v>
      </c>
      <c r="D11" s="191">
        <v>0</v>
      </c>
      <c r="E11" s="191">
        <v>5</v>
      </c>
      <c r="F11" s="191">
        <v>10</v>
      </c>
      <c r="G11" s="191">
        <v>0</v>
      </c>
      <c r="H11" s="191">
        <v>1</v>
      </c>
      <c r="I11" s="191">
        <v>0</v>
      </c>
      <c r="J11" s="191">
        <v>9</v>
      </c>
      <c r="K11" s="191">
        <v>3</v>
      </c>
      <c r="L11" s="191">
        <v>4</v>
      </c>
      <c r="M11" s="191">
        <v>0</v>
      </c>
      <c r="N11" s="191">
        <v>0</v>
      </c>
      <c r="O11" s="191">
        <v>0</v>
      </c>
      <c r="P11" s="191">
        <v>1</v>
      </c>
      <c r="Q11" s="191">
        <v>1</v>
      </c>
    </row>
    <row r="12" spans="1:17" ht="15">
      <c r="A12" s="189" t="s">
        <v>1315</v>
      </c>
      <c r="B12" s="189" t="s">
        <v>111</v>
      </c>
      <c r="C12" t="str">
        <f t="shared" si="0"/>
        <v>7K410TFB900</v>
      </c>
      <c r="D12" s="191">
        <v>0</v>
      </c>
      <c r="E12" s="191">
        <v>5</v>
      </c>
      <c r="F12" s="191">
        <v>10</v>
      </c>
      <c r="G12" s="191">
        <v>0</v>
      </c>
      <c r="H12" s="191">
        <v>1</v>
      </c>
      <c r="I12" s="191">
        <v>0</v>
      </c>
      <c r="J12" s="191">
        <v>9</v>
      </c>
      <c r="K12" s="191">
        <v>4</v>
      </c>
      <c r="L12" s="191">
        <v>4</v>
      </c>
      <c r="M12" s="191">
        <v>0</v>
      </c>
      <c r="N12" s="191">
        <v>0</v>
      </c>
      <c r="O12" s="191">
        <v>0</v>
      </c>
      <c r="P12" s="191">
        <v>1</v>
      </c>
      <c r="Q12" s="191">
        <v>1</v>
      </c>
    </row>
    <row r="13" spans="1:17" ht="15">
      <c r="A13" s="189" t="s">
        <v>1317</v>
      </c>
      <c r="B13" s="189" t="s">
        <v>111</v>
      </c>
      <c r="C13" t="str">
        <f t="shared" si="0"/>
        <v>7K410TFF676</v>
      </c>
      <c r="D13" s="191">
        <v>0</v>
      </c>
      <c r="E13" s="191">
        <v>5</v>
      </c>
      <c r="F13" s="191">
        <v>0</v>
      </c>
      <c r="G13" s="191">
        <v>0</v>
      </c>
      <c r="H13" s="191">
        <v>1</v>
      </c>
      <c r="I13" s="191">
        <v>0</v>
      </c>
      <c r="J13" s="191">
        <v>9</v>
      </c>
      <c r="K13" s="191">
        <v>2</v>
      </c>
      <c r="L13" s="191">
        <v>0</v>
      </c>
      <c r="M13" s="191">
        <v>0</v>
      </c>
      <c r="N13" s="191">
        <v>1</v>
      </c>
      <c r="O13" s="191">
        <v>0</v>
      </c>
      <c r="P13" s="191">
        <v>1</v>
      </c>
      <c r="Q13" s="191">
        <v>1</v>
      </c>
    </row>
    <row r="14" spans="1:17" ht="15">
      <c r="A14" s="189" t="s">
        <v>1318</v>
      </c>
      <c r="B14" s="189" t="s">
        <v>111</v>
      </c>
      <c r="C14" t="str">
        <f t="shared" si="0"/>
        <v>7K410TFF900</v>
      </c>
      <c r="D14" s="191">
        <v>0</v>
      </c>
      <c r="E14" s="191">
        <v>5</v>
      </c>
      <c r="F14" s="191">
        <v>0</v>
      </c>
      <c r="G14" s="191">
        <v>0</v>
      </c>
      <c r="H14" s="191">
        <v>1</v>
      </c>
      <c r="I14" s="191">
        <v>0</v>
      </c>
      <c r="J14" s="191">
        <v>9</v>
      </c>
      <c r="K14" s="191">
        <v>3</v>
      </c>
      <c r="L14" s="191">
        <v>0</v>
      </c>
      <c r="M14" s="191">
        <v>0</v>
      </c>
      <c r="N14" s="191">
        <v>1</v>
      </c>
      <c r="O14" s="191">
        <v>0</v>
      </c>
      <c r="P14" s="191">
        <v>1</v>
      </c>
      <c r="Q14" s="191">
        <v>1</v>
      </c>
    </row>
    <row r="15" spans="1:17" ht="15">
      <c r="A15" s="189" t="s">
        <v>1316</v>
      </c>
      <c r="B15" s="189" t="s">
        <v>103</v>
      </c>
      <c r="C15" t="str">
        <f t="shared" si="0"/>
        <v>7K420TFF1156</v>
      </c>
      <c r="D15" s="191">
        <v>0</v>
      </c>
      <c r="E15" s="191">
        <v>5</v>
      </c>
      <c r="F15" s="191">
        <v>0</v>
      </c>
      <c r="G15" s="191">
        <v>0</v>
      </c>
      <c r="H15" s="191">
        <v>1</v>
      </c>
      <c r="I15" s="191">
        <v>0</v>
      </c>
      <c r="J15" s="191">
        <v>9</v>
      </c>
      <c r="K15" s="191">
        <v>3</v>
      </c>
      <c r="L15" s="191">
        <v>0</v>
      </c>
      <c r="M15" s="191" t="s">
        <v>223</v>
      </c>
      <c r="N15" s="191" t="s">
        <v>223</v>
      </c>
      <c r="O15" s="191" t="s">
        <v>223</v>
      </c>
      <c r="P15" s="191">
        <v>1</v>
      </c>
      <c r="Q15" s="191">
        <v>1</v>
      </c>
    </row>
    <row r="16" spans="1:17" ht="15">
      <c r="A16" s="189" t="s">
        <v>1314</v>
      </c>
      <c r="B16" s="189" t="s">
        <v>103</v>
      </c>
      <c r="C16" t="str">
        <f t="shared" si="0"/>
        <v>7K420TFF901</v>
      </c>
      <c r="D16" s="191">
        <v>0</v>
      </c>
      <c r="E16" s="191">
        <v>5</v>
      </c>
      <c r="F16" s="191">
        <v>0</v>
      </c>
      <c r="G16" s="191">
        <v>0</v>
      </c>
      <c r="H16" s="191">
        <v>1</v>
      </c>
      <c r="I16" s="191">
        <v>0</v>
      </c>
      <c r="J16" s="191">
        <v>9</v>
      </c>
      <c r="K16" s="191">
        <v>3</v>
      </c>
      <c r="L16" s="191">
        <v>0</v>
      </c>
      <c r="M16" s="191" t="s">
        <v>223</v>
      </c>
      <c r="N16" s="191" t="s">
        <v>223</v>
      </c>
      <c r="O16" s="191" t="s">
        <v>223</v>
      </c>
      <c r="P16" s="191">
        <v>1</v>
      </c>
      <c r="Q16" s="191">
        <v>1</v>
      </c>
    </row>
    <row r="17" spans="1:17" ht="15">
      <c r="A17" s="189" t="s">
        <v>1316</v>
      </c>
      <c r="B17" s="189" t="s">
        <v>190</v>
      </c>
      <c r="C17" t="str">
        <f t="shared" si="0"/>
        <v>7K480TFF1156</v>
      </c>
      <c r="D17" s="191">
        <v>0</v>
      </c>
      <c r="E17" s="191">
        <v>6</v>
      </c>
      <c r="F17" s="191">
        <v>0</v>
      </c>
      <c r="G17" s="191">
        <v>0</v>
      </c>
      <c r="H17" s="191">
        <v>1</v>
      </c>
      <c r="I17" s="191">
        <v>1</v>
      </c>
      <c r="J17" s="191">
        <v>11</v>
      </c>
      <c r="K17" s="191">
        <v>3</v>
      </c>
      <c r="L17" s="191">
        <v>0</v>
      </c>
      <c r="M17" s="191" t="s">
        <v>223</v>
      </c>
      <c r="N17" s="191" t="s">
        <v>223</v>
      </c>
      <c r="O17" s="191" t="s">
        <v>223</v>
      </c>
      <c r="P17" s="191">
        <v>1</v>
      </c>
      <c r="Q17" s="191">
        <v>1</v>
      </c>
    </row>
    <row r="18" spans="1:17" ht="15">
      <c r="A18" s="189" t="s">
        <v>1314</v>
      </c>
      <c r="B18" s="189" t="s">
        <v>190</v>
      </c>
      <c r="C18" t="str">
        <f t="shared" si="0"/>
        <v>7K480TFF901</v>
      </c>
      <c r="D18" s="191">
        <v>0</v>
      </c>
      <c r="E18" s="191">
        <v>6</v>
      </c>
      <c r="F18" s="191">
        <v>0</v>
      </c>
      <c r="G18" s="191">
        <v>0</v>
      </c>
      <c r="H18" s="191">
        <v>1</v>
      </c>
      <c r="I18" s="191">
        <v>1</v>
      </c>
      <c r="J18" s="191">
        <v>11</v>
      </c>
      <c r="K18" s="191">
        <v>3</v>
      </c>
      <c r="L18" s="191">
        <v>0</v>
      </c>
      <c r="M18" s="191" t="s">
        <v>223</v>
      </c>
      <c r="N18" s="191" t="s">
        <v>223</v>
      </c>
      <c r="O18" s="191" t="s">
        <v>223</v>
      </c>
      <c r="P18" s="191">
        <v>1</v>
      </c>
      <c r="Q18" s="191">
        <v>1</v>
      </c>
    </row>
    <row r="19" spans="1:17" ht="15">
      <c r="A19" s="189" t="s">
        <v>1312</v>
      </c>
      <c r="B19" s="189" t="s">
        <v>108</v>
      </c>
      <c r="C19" t="str">
        <f t="shared" si="0"/>
        <v>7K70TFB484</v>
      </c>
      <c r="D19" s="191">
        <v>0</v>
      </c>
      <c r="E19" s="191">
        <v>1</v>
      </c>
      <c r="F19" s="191">
        <v>0</v>
      </c>
      <c r="G19" s="191">
        <v>0</v>
      </c>
      <c r="H19" s="191">
        <v>0</v>
      </c>
      <c r="I19" s="191">
        <v>1</v>
      </c>
      <c r="J19" s="191">
        <v>2</v>
      </c>
      <c r="K19" s="191">
        <v>2</v>
      </c>
      <c r="L19" s="191">
        <v>3</v>
      </c>
      <c r="M19" s="191" t="s">
        <v>223</v>
      </c>
      <c r="N19" s="191" t="s">
        <v>223</v>
      </c>
      <c r="O19" s="191" t="s">
        <v>223</v>
      </c>
      <c r="P19" s="191">
        <v>1</v>
      </c>
      <c r="Q19" s="191">
        <v>1</v>
      </c>
    </row>
    <row r="20" spans="1:17" ht="15">
      <c r="A20" s="189" t="s">
        <v>1313</v>
      </c>
      <c r="B20" s="189" t="s">
        <v>108</v>
      </c>
      <c r="C20" t="str">
        <f t="shared" si="0"/>
        <v>7K70TFB676</v>
      </c>
      <c r="D20" s="191">
        <v>0</v>
      </c>
      <c r="E20" s="191">
        <v>1</v>
      </c>
      <c r="F20" s="191">
        <v>0</v>
      </c>
      <c r="G20" s="191">
        <v>0</v>
      </c>
      <c r="H20" s="191">
        <v>0</v>
      </c>
      <c r="I20" s="191">
        <v>1</v>
      </c>
      <c r="J20" s="191">
        <v>2</v>
      </c>
      <c r="K20" s="191">
        <v>2</v>
      </c>
      <c r="L20" s="191">
        <v>3</v>
      </c>
      <c r="M20" s="191">
        <v>0</v>
      </c>
      <c r="N20" s="191">
        <v>0</v>
      </c>
      <c r="O20" s="191">
        <v>0</v>
      </c>
      <c r="P20" s="191">
        <v>1</v>
      </c>
      <c r="Q20" s="191">
        <v>1</v>
      </c>
    </row>
    <row r="21" spans="1:17">
      <c r="A21" s="190" t="s">
        <v>1345</v>
      </c>
      <c r="B21" s="190" t="s">
        <v>108</v>
      </c>
      <c r="C21" t="str">
        <f t="shared" si="0"/>
        <v>7K70TSB324</v>
      </c>
      <c r="D21" s="192">
        <v>0</v>
      </c>
      <c r="E21" s="192">
        <v>0.80193939393939406</v>
      </c>
      <c r="F21" s="192">
        <v>0</v>
      </c>
      <c r="G21" s="192">
        <v>0</v>
      </c>
      <c r="H21" s="192">
        <v>0</v>
      </c>
      <c r="I21" s="192">
        <v>0.60750000000000004</v>
      </c>
      <c r="J21" s="192">
        <v>1.51875</v>
      </c>
      <c r="K21" s="192">
        <v>1.2659574468085106</v>
      </c>
      <c r="L21" s="192">
        <v>2</v>
      </c>
      <c r="M21" s="192" t="s">
        <v>223</v>
      </c>
      <c r="N21" s="192" t="s">
        <v>223</v>
      </c>
      <c r="O21" s="192" t="s">
        <v>223</v>
      </c>
      <c r="P21" s="192">
        <v>1</v>
      </c>
      <c r="Q21" s="192">
        <v>1</v>
      </c>
    </row>
    <row r="22" spans="1:17">
      <c r="A22" s="190" t="s">
        <v>1319</v>
      </c>
      <c r="B22" s="190" t="s">
        <v>112</v>
      </c>
      <c r="C22" t="str">
        <f t="shared" si="0"/>
        <v>7V1500TFL1761</v>
      </c>
      <c r="D22" s="192">
        <v>5.5980000000000008</v>
      </c>
      <c r="E22" s="192">
        <v>0</v>
      </c>
      <c r="F22" s="192">
        <v>24</v>
      </c>
      <c r="G22" s="192">
        <v>0.66068181818181815</v>
      </c>
      <c r="H22" s="192">
        <v>0</v>
      </c>
      <c r="I22" s="192">
        <v>0</v>
      </c>
      <c r="J22" s="192">
        <v>10.901250000000001</v>
      </c>
      <c r="K22" s="192">
        <v>1</v>
      </c>
      <c r="L22" s="192">
        <v>0</v>
      </c>
      <c r="M22" s="192">
        <v>0.7</v>
      </c>
      <c r="N22" s="192">
        <v>0</v>
      </c>
      <c r="O22" s="192">
        <v>0</v>
      </c>
      <c r="P22" s="192">
        <v>1</v>
      </c>
      <c r="Q22" s="192">
        <v>1</v>
      </c>
    </row>
    <row r="23" spans="1:17" ht="15">
      <c r="A23" s="189" t="s">
        <v>1320</v>
      </c>
      <c r="B23" s="189" t="s">
        <v>113</v>
      </c>
      <c r="C23" t="str">
        <f t="shared" si="0"/>
        <v>7V2000TFH1761</v>
      </c>
      <c r="D23" s="191">
        <v>8</v>
      </c>
      <c r="E23" s="191">
        <v>0</v>
      </c>
      <c r="F23" s="191">
        <v>28</v>
      </c>
      <c r="G23" s="191">
        <v>1</v>
      </c>
      <c r="H23" s="191">
        <v>0</v>
      </c>
      <c r="I23" s="191">
        <v>0</v>
      </c>
      <c r="J23" s="191">
        <v>15</v>
      </c>
      <c r="K23" s="191">
        <v>1</v>
      </c>
      <c r="L23" s="191">
        <v>0</v>
      </c>
      <c r="M23" s="191">
        <v>1</v>
      </c>
      <c r="N23" s="191">
        <v>0</v>
      </c>
      <c r="O23" s="191">
        <v>0</v>
      </c>
      <c r="P23" s="191">
        <v>1</v>
      </c>
      <c r="Q23" s="191">
        <v>1</v>
      </c>
    </row>
    <row r="24" spans="1:17" ht="15">
      <c r="A24" s="189" t="s">
        <v>1327</v>
      </c>
      <c r="B24" s="189" t="s">
        <v>113</v>
      </c>
      <c r="C24" t="str">
        <f t="shared" si="0"/>
        <v>7V2000TFL1925</v>
      </c>
      <c r="D24" s="191">
        <v>8</v>
      </c>
      <c r="E24" s="191">
        <v>0</v>
      </c>
      <c r="F24" s="191">
        <v>28</v>
      </c>
      <c r="G24" s="191">
        <v>1</v>
      </c>
      <c r="H24" s="191">
        <v>0</v>
      </c>
      <c r="I24" s="191">
        <v>0</v>
      </c>
      <c r="J24" s="191">
        <v>15</v>
      </c>
      <c r="K24" s="191">
        <v>1</v>
      </c>
      <c r="L24" s="191">
        <v>0</v>
      </c>
      <c r="M24" s="191">
        <v>1</v>
      </c>
      <c r="N24" s="191">
        <v>0</v>
      </c>
      <c r="O24" s="191">
        <v>0</v>
      </c>
      <c r="P24" s="191">
        <v>1</v>
      </c>
      <c r="Q24" s="191">
        <v>1</v>
      </c>
    </row>
    <row r="25" spans="1:17" ht="15">
      <c r="A25" s="189" t="s">
        <v>1321</v>
      </c>
      <c r="B25" s="189" t="s">
        <v>48</v>
      </c>
      <c r="C25" t="str">
        <f t="shared" si="0"/>
        <v>7V585TFF1157</v>
      </c>
      <c r="D25" s="191">
        <v>3</v>
      </c>
      <c r="E25" s="191">
        <v>0</v>
      </c>
      <c r="F25" s="191">
        <v>0</v>
      </c>
      <c r="G25" s="191">
        <v>0</v>
      </c>
      <c r="H25" s="191">
        <v>1</v>
      </c>
      <c r="I25" s="191">
        <v>0</v>
      </c>
      <c r="J25" s="191">
        <v>9</v>
      </c>
      <c r="K25" s="191">
        <v>1</v>
      </c>
      <c r="L25" s="191">
        <v>0</v>
      </c>
      <c r="M25" s="191">
        <v>1</v>
      </c>
      <c r="N25" s="191">
        <v>0</v>
      </c>
      <c r="O25" s="191">
        <v>0</v>
      </c>
      <c r="P25" s="191">
        <v>1</v>
      </c>
      <c r="Q25" s="191">
        <v>1</v>
      </c>
    </row>
    <row r="26" spans="1:17" ht="15">
      <c r="A26" s="189" t="s">
        <v>1328</v>
      </c>
      <c r="B26" s="189" t="s">
        <v>48</v>
      </c>
      <c r="C26" t="str">
        <f t="shared" si="0"/>
        <v>7V585TFF1761</v>
      </c>
      <c r="D26" s="191">
        <v>3</v>
      </c>
      <c r="E26" s="191">
        <v>0</v>
      </c>
      <c r="F26" s="191">
        <v>0</v>
      </c>
      <c r="G26" s="191">
        <v>0</v>
      </c>
      <c r="H26" s="191">
        <v>1</v>
      </c>
      <c r="I26" s="191">
        <v>0</v>
      </c>
      <c r="J26" s="191">
        <v>9</v>
      </c>
      <c r="K26" s="191">
        <v>1</v>
      </c>
      <c r="L26" s="191">
        <v>0</v>
      </c>
      <c r="M26" s="191">
        <v>1</v>
      </c>
      <c r="N26" s="191">
        <v>0</v>
      </c>
      <c r="O26" s="191">
        <v>0</v>
      </c>
      <c r="P26" s="191">
        <v>1</v>
      </c>
      <c r="Q26" s="191">
        <v>1</v>
      </c>
    </row>
    <row r="27" spans="1:17">
      <c r="A27" s="190" t="s">
        <v>1346</v>
      </c>
      <c r="B27" s="190" t="s">
        <v>62</v>
      </c>
      <c r="C27" t="str">
        <f t="shared" si="0"/>
        <v>7VH290THC1155</v>
      </c>
      <c r="D27" s="192">
        <v>1.8858823529411766</v>
      </c>
      <c r="E27" s="192">
        <v>0</v>
      </c>
      <c r="F27" s="192">
        <v>0</v>
      </c>
      <c r="G27" s="192">
        <v>0</v>
      </c>
      <c r="H27" s="192">
        <v>1</v>
      </c>
      <c r="I27" s="192">
        <v>0</v>
      </c>
      <c r="J27" s="192">
        <v>6.6375000000000002</v>
      </c>
      <c r="K27" s="192">
        <v>1</v>
      </c>
      <c r="L27" s="192">
        <v>0</v>
      </c>
      <c r="M27" s="192">
        <v>0.7</v>
      </c>
      <c r="N27" s="192">
        <v>0</v>
      </c>
      <c r="O27" s="192">
        <v>0</v>
      </c>
      <c r="P27" s="192">
        <v>1</v>
      </c>
      <c r="Q27" s="192">
        <v>1</v>
      </c>
    </row>
    <row r="28" spans="1:17" ht="15">
      <c r="A28" s="189" t="s">
        <v>1325</v>
      </c>
      <c r="B28" s="189" t="s">
        <v>63</v>
      </c>
      <c r="C28" t="str">
        <f t="shared" si="0"/>
        <v>7VH580TFL1155</v>
      </c>
      <c r="D28" s="191">
        <v>3</v>
      </c>
      <c r="E28" s="191">
        <v>0</v>
      </c>
      <c r="F28" s="191">
        <v>0</v>
      </c>
      <c r="G28" s="191">
        <v>1</v>
      </c>
      <c r="H28" s="191">
        <v>0</v>
      </c>
      <c r="I28" s="191">
        <v>0</v>
      </c>
      <c r="J28" s="191">
        <v>11</v>
      </c>
      <c r="K28" s="191">
        <v>1</v>
      </c>
      <c r="L28" s="191">
        <v>0</v>
      </c>
      <c r="M28" s="191">
        <v>1</v>
      </c>
      <c r="N28" s="191">
        <v>0</v>
      </c>
      <c r="O28" s="191">
        <v>0</v>
      </c>
      <c r="P28" s="191">
        <v>1</v>
      </c>
      <c r="Q28" s="191">
        <v>1</v>
      </c>
    </row>
    <row r="29" spans="1:17" ht="15">
      <c r="A29" s="189" t="s">
        <v>1332</v>
      </c>
      <c r="B29" s="189" t="s">
        <v>63</v>
      </c>
      <c r="C29" t="str">
        <f t="shared" si="0"/>
        <v>7VH580TFL1931</v>
      </c>
      <c r="D29" s="191">
        <v>3</v>
      </c>
      <c r="E29" s="191">
        <v>0</v>
      </c>
      <c r="F29" s="191">
        <v>0</v>
      </c>
      <c r="G29" s="191">
        <v>1</v>
      </c>
      <c r="H29" s="191">
        <v>0</v>
      </c>
      <c r="I29" s="191">
        <v>0</v>
      </c>
      <c r="J29" s="191">
        <v>11</v>
      </c>
      <c r="K29" s="191">
        <v>1</v>
      </c>
      <c r="L29" s="191">
        <v>0</v>
      </c>
      <c r="M29" s="191">
        <v>1</v>
      </c>
      <c r="N29" s="191">
        <v>0</v>
      </c>
      <c r="O29" s="191">
        <v>0</v>
      </c>
      <c r="P29" s="191">
        <v>1</v>
      </c>
      <c r="Q29" s="191">
        <v>1</v>
      </c>
    </row>
    <row r="30" spans="1:17" ht="15">
      <c r="A30" s="189" t="s">
        <v>1346</v>
      </c>
      <c r="B30" s="189" t="s">
        <v>63</v>
      </c>
      <c r="C30" t="str">
        <f t="shared" si="0"/>
        <v>7VH580THC1155</v>
      </c>
      <c r="D30" s="191">
        <v>3</v>
      </c>
      <c r="E30" s="191">
        <v>0</v>
      </c>
      <c r="F30" s="191">
        <v>0</v>
      </c>
      <c r="G30" s="191">
        <v>1</v>
      </c>
      <c r="H30" s="191">
        <v>0</v>
      </c>
      <c r="I30" s="191">
        <v>0</v>
      </c>
      <c r="J30" s="191">
        <v>11</v>
      </c>
      <c r="K30" s="191">
        <v>1</v>
      </c>
      <c r="L30" s="191">
        <v>0</v>
      </c>
      <c r="M30" s="191">
        <v>1</v>
      </c>
      <c r="N30" s="191">
        <v>0</v>
      </c>
      <c r="O30" s="191">
        <v>0</v>
      </c>
      <c r="P30" s="191">
        <v>1</v>
      </c>
      <c r="Q30" s="191">
        <v>1</v>
      </c>
    </row>
    <row r="31" spans="1:17" ht="15">
      <c r="A31" s="189" t="s">
        <v>1347</v>
      </c>
      <c r="B31" s="189" t="s">
        <v>63</v>
      </c>
      <c r="C31" t="str">
        <f t="shared" si="0"/>
        <v>7VH580THC1931</v>
      </c>
      <c r="D31" s="191">
        <v>3</v>
      </c>
      <c r="E31" s="191">
        <v>0</v>
      </c>
      <c r="F31" s="191">
        <v>0</v>
      </c>
      <c r="G31" s="191">
        <v>1</v>
      </c>
      <c r="H31" s="191">
        <v>0</v>
      </c>
      <c r="I31" s="191">
        <v>0</v>
      </c>
      <c r="J31" s="191">
        <v>11</v>
      </c>
      <c r="K31" s="191">
        <v>1</v>
      </c>
      <c r="L31" s="191">
        <v>0</v>
      </c>
      <c r="M31" s="191">
        <v>1</v>
      </c>
      <c r="N31" s="191">
        <v>0</v>
      </c>
      <c r="O31" s="191">
        <v>0</v>
      </c>
      <c r="P31" s="191">
        <v>1</v>
      </c>
      <c r="Q31" s="191">
        <v>1</v>
      </c>
    </row>
    <row r="32" spans="1:17">
      <c r="A32" s="190" t="s">
        <v>1348</v>
      </c>
      <c r="B32" s="190" t="s">
        <v>63</v>
      </c>
      <c r="C32" t="str">
        <f t="shared" si="0"/>
        <v>7VH580THC1932</v>
      </c>
      <c r="D32" s="192">
        <v>3</v>
      </c>
      <c r="E32" s="192">
        <v>0</v>
      </c>
      <c r="F32" s="192">
        <v>0</v>
      </c>
      <c r="G32" s="192">
        <v>0.8113636363636364</v>
      </c>
      <c r="H32" s="192">
        <v>0</v>
      </c>
      <c r="I32" s="192">
        <v>0</v>
      </c>
      <c r="J32" s="192">
        <v>11</v>
      </c>
      <c r="K32" s="192">
        <v>1</v>
      </c>
      <c r="L32" s="192">
        <v>0</v>
      </c>
      <c r="M32" s="192">
        <v>0.7</v>
      </c>
      <c r="N32" s="192">
        <v>0</v>
      </c>
      <c r="O32" s="192">
        <v>0</v>
      </c>
      <c r="P32" s="192">
        <v>1</v>
      </c>
      <c r="Q32" s="192">
        <v>1</v>
      </c>
    </row>
    <row r="33" spans="1:17">
      <c r="A33" s="190" t="s">
        <v>1347</v>
      </c>
      <c r="B33" s="190" t="s">
        <v>64</v>
      </c>
      <c r="C33" t="str">
        <f t="shared" si="0"/>
        <v>7VH870THC1931</v>
      </c>
      <c r="D33" s="192">
        <v>5</v>
      </c>
      <c r="E33" s="192">
        <v>0</v>
      </c>
      <c r="F33" s="192">
        <v>0</v>
      </c>
      <c r="G33" s="192">
        <v>1.2204545454545455</v>
      </c>
      <c r="H33" s="192">
        <v>1</v>
      </c>
      <c r="I33" s="192">
        <v>0</v>
      </c>
      <c r="J33" s="192">
        <v>16</v>
      </c>
      <c r="K33" s="192">
        <v>1</v>
      </c>
      <c r="L33" s="192">
        <v>0</v>
      </c>
      <c r="M33" s="192">
        <v>0.7</v>
      </c>
      <c r="N33" s="192">
        <v>0</v>
      </c>
      <c r="O33" s="192">
        <v>0</v>
      </c>
      <c r="P33" s="192">
        <v>1</v>
      </c>
      <c r="Q33" s="192">
        <v>1</v>
      </c>
    </row>
    <row r="34" spans="1:17" ht="15">
      <c r="A34" s="189" t="s">
        <v>1326</v>
      </c>
      <c r="B34" s="189" t="s">
        <v>64</v>
      </c>
      <c r="C34" t="str">
        <f t="shared" si="0"/>
        <v>7VH870TFL1932</v>
      </c>
      <c r="D34" s="191">
        <v>5</v>
      </c>
      <c r="E34" s="191">
        <v>0</v>
      </c>
      <c r="F34" s="191">
        <v>0</v>
      </c>
      <c r="G34" s="191">
        <v>1</v>
      </c>
      <c r="H34" s="191">
        <v>1</v>
      </c>
      <c r="I34" s="191">
        <v>0</v>
      </c>
      <c r="J34" s="191">
        <v>16</v>
      </c>
      <c r="K34" s="191">
        <v>1</v>
      </c>
      <c r="L34" s="191">
        <v>0</v>
      </c>
      <c r="M34" s="191">
        <v>1</v>
      </c>
      <c r="N34" s="191">
        <v>0</v>
      </c>
      <c r="O34" s="191">
        <v>0</v>
      </c>
      <c r="P34" s="191">
        <v>1</v>
      </c>
      <c r="Q34" s="191">
        <v>1</v>
      </c>
    </row>
    <row r="35" spans="1:17" ht="15">
      <c r="A35" s="189" t="s">
        <v>1348</v>
      </c>
      <c r="B35" s="189" t="s">
        <v>64</v>
      </c>
      <c r="C35" t="str">
        <f t="shared" si="0"/>
        <v>7VH870THC1932</v>
      </c>
      <c r="D35" s="191">
        <v>5</v>
      </c>
      <c r="E35" s="191">
        <v>0</v>
      </c>
      <c r="F35" s="191">
        <v>0</v>
      </c>
      <c r="G35" s="191">
        <v>1</v>
      </c>
      <c r="H35" s="191">
        <v>1</v>
      </c>
      <c r="I35" s="191">
        <v>0</v>
      </c>
      <c r="J35" s="191">
        <v>16</v>
      </c>
      <c r="K35" s="191">
        <v>1</v>
      </c>
      <c r="L35" s="191">
        <v>0</v>
      </c>
      <c r="M35" s="191">
        <v>1</v>
      </c>
      <c r="N35" s="191">
        <v>0</v>
      </c>
      <c r="O35" s="191">
        <v>0</v>
      </c>
      <c r="P35" s="191">
        <v>1</v>
      </c>
      <c r="Q35" s="191">
        <v>1</v>
      </c>
    </row>
    <row r="36" spans="1:17" ht="15">
      <c r="A36" s="189" t="s">
        <v>1324</v>
      </c>
      <c r="B36" s="189" t="s">
        <v>61</v>
      </c>
      <c r="C36" t="str">
        <f t="shared" si="0"/>
        <v>7VX1140TFL1926</v>
      </c>
      <c r="D36" s="191">
        <v>6</v>
      </c>
      <c r="E36" s="191">
        <v>0</v>
      </c>
      <c r="F36" s="191">
        <v>0</v>
      </c>
      <c r="G36" s="191">
        <v>1</v>
      </c>
      <c r="H36" s="191">
        <v>0</v>
      </c>
      <c r="I36" s="191">
        <v>0</v>
      </c>
      <c r="J36" s="191">
        <v>21</v>
      </c>
      <c r="K36" s="191">
        <v>1</v>
      </c>
      <c r="L36" s="191">
        <v>0</v>
      </c>
      <c r="M36" s="191">
        <v>1</v>
      </c>
      <c r="N36" s="191">
        <v>0</v>
      </c>
      <c r="O36" s="191">
        <v>0</v>
      </c>
      <c r="P36" s="191">
        <v>1</v>
      </c>
      <c r="Q36" s="191">
        <v>1</v>
      </c>
    </row>
    <row r="37" spans="1:17" ht="15">
      <c r="A37" s="189" t="s">
        <v>1331</v>
      </c>
      <c r="B37" s="189" t="s">
        <v>61</v>
      </c>
      <c r="C37" t="str">
        <f t="shared" si="0"/>
        <v>7VX1140TFL1928</v>
      </c>
      <c r="D37" s="191">
        <v>6</v>
      </c>
      <c r="E37" s="191">
        <v>0</v>
      </c>
      <c r="F37" s="191">
        <v>0</v>
      </c>
      <c r="G37" s="191">
        <v>1</v>
      </c>
      <c r="H37" s="191">
        <v>0</v>
      </c>
      <c r="I37" s="191">
        <v>0</v>
      </c>
      <c r="J37" s="191">
        <v>21</v>
      </c>
      <c r="K37" s="191">
        <v>1</v>
      </c>
      <c r="L37" s="191">
        <v>0</v>
      </c>
      <c r="M37" s="191">
        <v>1</v>
      </c>
      <c r="N37" s="191">
        <v>0</v>
      </c>
      <c r="O37" s="191">
        <v>0</v>
      </c>
      <c r="P37" s="191">
        <v>1</v>
      </c>
      <c r="Q37" s="191">
        <v>1</v>
      </c>
    </row>
    <row r="38" spans="1:17" ht="15">
      <c r="A38" s="189" t="s">
        <v>1334</v>
      </c>
      <c r="B38" s="189" t="s">
        <v>61</v>
      </c>
      <c r="C38" t="str">
        <f t="shared" si="0"/>
        <v>7VX1140TFL1930</v>
      </c>
      <c r="D38" s="191">
        <v>6</v>
      </c>
      <c r="E38" s="191">
        <v>0</v>
      </c>
      <c r="F38" s="191">
        <v>0</v>
      </c>
      <c r="G38" s="191">
        <v>1</v>
      </c>
      <c r="H38" s="191">
        <v>0</v>
      </c>
      <c r="I38" s="191">
        <v>0</v>
      </c>
      <c r="J38" s="191">
        <v>21</v>
      </c>
      <c r="K38" s="191">
        <v>1</v>
      </c>
      <c r="L38" s="191">
        <v>0</v>
      </c>
      <c r="M38" s="191">
        <v>1</v>
      </c>
      <c r="N38" s="191">
        <v>0</v>
      </c>
      <c r="O38" s="191">
        <v>0</v>
      </c>
      <c r="P38" s="191">
        <v>1</v>
      </c>
      <c r="Q38" s="191">
        <v>1</v>
      </c>
    </row>
    <row r="39" spans="1:17" ht="15">
      <c r="A39" s="189" t="s">
        <v>1321</v>
      </c>
      <c r="B39" s="189" t="s">
        <v>57</v>
      </c>
      <c r="C39" t="str">
        <f t="shared" si="0"/>
        <v>7VX330TFF1157</v>
      </c>
      <c r="D39" s="191">
        <v>2</v>
      </c>
      <c r="E39" s="191">
        <v>0</v>
      </c>
      <c r="F39" s="191">
        <v>0</v>
      </c>
      <c r="G39" s="191">
        <v>0</v>
      </c>
      <c r="H39" s="191">
        <v>1</v>
      </c>
      <c r="I39" s="191">
        <v>0</v>
      </c>
      <c r="J39" s="191">
        <v>9</v>
      </c>
      <c r="K39" s="191">
        <v>1</v>
      </c>
      <c r="L39" s="191">
        <v>0</v>
      </c>
      <c r="M39" s="191">
        <v>1</v>
      </c>
      <c r="N39" s="191">
        <v>0</v>
      </c>
      <c r="O39" s="191">
        <v>0</v>
      </c>
      <c r="P39" s="191">
        <v>1</v>
      </c>
      <c r="Q39" s="191">
        <v>1</v>
      </c>
    </row>
    <row r="40" spans="1:17" ht="15">
      <c r="A40" s="189" t="s">
        <v>1328</v>
      </c>
      <c r="B40" s="189" t="s">
        <v>57</v>
      </c>
      <c r="C40" t="str">
        <f t="shared" si="0"/>
        <v>7VX330TFF1761</v>
      </c>
      <c r="D40" s="191">
        <v>2</v>
      </c>
      <c r="E40" s="191">
        <v>0</v>
      </c>
      <c r="F40" s="191">
        <v>0</v>
      </c>
      <c r="G40" s="191">
        <v>0</v>
      </c>
      <c r="H40" s="191">
        <v>1</v>
      </c>
      <c r="I40" s="191">
        <v>0</v>
      </c>
      <c r="J40" s="191">
        <v>9</v>
      </c>
      <c r="K40" s="191">
        <v>1</v>
      </c>
      <c r="L40" s="191">
        <v>0</v>
      </c>
      <c r="M40" s="191">
        <v>1</v>
      </c>
      <c r="N40" s="191">
        <v>0</v>
      </c>
      <c r="O40" s="191">
        <v>0</v>
      </c>
      <c r="P40" s="191">
        <v>1</v>
      </c>
      <c r="Q40" s="191">
        <v>1</v>
      </c>
    </row>
    <row r="41" spans="1:17" ht="15">
      <c r="A41" s="189" t="s">
        <v>1321</v>
      </c>
      <c r="B41" s="189" t="s">
        <v>58</v>
      </c>
      <c r="C41" t="str">
        <f t="shared" si="0"/>
        <v>7VX415TFF1157</v>
      </c>
      <c r="D41" s="191">
        <v>3</v>
      </c>
      <c r="E41" s="191">
        <v>0</v>
      </c>
      <c r="F41" s="191">
        <v>0</v>
      </c>
      <c r="G41" s="191">
        <v>0</v>
      </c>
      <c r="H41" s="191">
        <v>1</v>
      </c>
      <c r="I41" s="191">
        <v>0</v>
      </c>
      <c r="J41" s="191">
        <v>10</v>
      </c>
      <c r="K41" s="191">
        <v>1</v>
      </c>
      <c r="L41" s="191">
        <v>0</v>
      </c>
      <c r="M41" s="191">
        <v>1</v>
      </c>
      <c r="N41" s="191">
        <v>0</v>
      </c>
      <c r="O41" s="191">
        <v>0</v>
      </c>
      <c r="P41" s="191">
        <v>1</v>
      </c>
      <c r="Q41" s="191">
        <v>1</v>
      </c>
    </row>
    <row r="42" spans="1:17" ht="15">
      <c r="A42" s="189" t="s">
        <v>1322</v>
      </c>
      <c r="B42" s="189" t="s">
        <v>58</v>
      </c>
      <c r="C42" t="str">
        <f t="shared" si="0"/>
        <v>7VX415TFF1158</v>
      </c>
      <c r="D42" s="191">
        <v>3</v>
      </c>
      <c r="E42" s="191">
        <v>0</v>
      </c>
      <c r="F42" s="191">
        <v>0</v>
      </c>
      <c r="G42" s="191">
        <v>0</v>
      </c>
      <c r="H42" s="191">
        <v>1</v>
      </c>
      <c r="I42" s="191">
        <v>0</v>
      </c>
      <c r="J42" s="191">
        <v>10</v>
      </c>
      <c r="K42" s="191">
        <v>1</v>
      </c>
      <c r="L42" s="191">
        <v>0</v>
      </c>
      <c r="M42" s="191">
        <v>1</v>
      </c>
      <c r="N42" s="191">
        <v>0</v>
      </c>
      <c r="O42" s="191">
        <v>0</v>
      </c>
      <c r="P42" s="191">
        <v>1</v>
      </c>
      <c r="Q42" s="191">
        <v>1</v>
      </c>
    </row>
    <row r="43" spans="1:17" ht="15">
      <c r="A43" s="189" t="s">
        <v>1329</v>
      </c>
      <c r="B43" s="189" t="s">
        <v>58</v>
      </c>
      <c r="C43" t="str">
        <f t="shared" si="0"/>
        <v>7VX415TFF1927</v>
      </c>
      <c r="D43" s="191">
        <v>3</v>
      </c>
      <c r="E43" s="191">
        <v>0</v>
      </c>
      <c r="F43" s="191">
        <v>0</v>
      </c>
      <c r="G43" s="191">
        <v>0</v>
      </c>
      <c r="H43" s="191">
        <v>1</v>
      </c>
      <c r="I43" s="191">
        <v>0</v>
      </c>
      <c r="J43" s="191">
        <v>10</v>
      </c>
      <c r="K43" s="191">
        <v>1</v>
      </c>
      <c r="L43" s="191">
        <v>0</v>
      </c>
      <c r="M43" s="191">
        <v>1</v>
      </c>
      <c r="N43" s="191">
        <v>0</v>
      </c>
      <c r="O43" s="191">
        <v>0</v>
      </c>
      <c r="P43" s="191">
        <v>1</v>
      </c>
      <c r="Q43" s="191">
        <v>1</v>
      </c>
    </row>
    <row r="44" spans="1:17" ht="15">
      <c r="A44" s="189" t="s">
        <v>1321</v>
      </c>
      <c r="B44" s="189" t="s">
        <v>195</v>
      </c>
      <c r="C44" t="str">
        <f t="shared" si="0"/>
        <v>7VX485TFF1157</v>
      </c>
      <c r="D44" s="191">
        <v>4</v>
      </c>
      <c r="E44" s="191">
        <v>0</v>
      </c>
      <c r="F44" s="191">
        <v>0</v>
      </c>
      <c r="G44" s="191">
        <v>1</v>
      </c>
      <c r="H44" s="191">
        <v>0</v>
      </c>
      <c r="I44" s="191">
        <v>0</v>
      </c>
      <c r="J44" s="191">
        <v>12</v>
      </c>
      <c r="K44" s="191">
        <v>1</v>
      </c>
      <c r="L44" s="191">
        <v>0</v>
      </c>
      <c r="M44" s="191">
        <v>1</v>
      </c>
      <c r="N44" s="191">
        <v>0</v>
      </c>
      <c r="O44" s="191">
        <v>0</v>
      </c>
      <c r="P44" s="191">
        <v>1</v>
      </c>
      <c r="Q44" s="191">
        <v>1</v>
      </c>
    </row>
    <row r="45" spans="1:17" ht="15">
      <c r="A45" s="189" t="s">
        <v>1322</v>
      </c>
      <c r="B45" s="189" t="s">
        <v>195</v>
      </c>
      <c r="C45" t="str">
        <f t="shared" si="0"/>
        <v>7VX485TFF1158</v>
      </c>
      <c r="D45" s="191">
        <v>4</v>
      </c>
      <c r="E45" s="191">
        <v>0</v>
      </c>
      <c r="F45" s="191">
        <v>0</v>
      </c>
      <c r="G45" s="191">
        <v>1</v>
      </c>
      <c r="H45" s="191">
        <v>0</v>
      </c>
      <c r="I45" s="191">
        <v>0</v>
      </c>
      <c r="J45" s="191">
        <v>12</v>
      </c>
      <c r="K45" s="191">
        <v>1</v>
      </c>
      <c r="L45" s="191">
        <v>0</v>
      </c>
      <c r="M45" s="191">
        <v>1</v>
      </c>
      <c r="N45" s="191">
        <v>0</v>
      </c>
      <c r="O45" s="191">
        <v>0</v>
      </c>
      <c r="P45" s="191">
        <v>1</v>
      </c>
      <c r="Q45" s="191">
        <v>1</v>
      </c>
    </row>
    <row r="46" spans="1:17" ht="15">
      <c r="A46" s="189" t="s">
        <v>1328</v>
      </c>
      <c r="B46" s="189" t="s">
        <v>195</v>
      </c>
      <c r="C46" t="str">
        <f t="shared" si="0"/>
        <v>7VX485TFF1761</v>
      </c>
      <c r="D46" s="191">
        <v>4</v>
      </c>
      <c r="E46" s="191">
        <v>0</v>
      </c>
      <c r="F46" s="191">
        <v>0</v>
      </c>
      <c r="G46" s="191">
        <v>1</v>
      </c>
      <c r="H46" s="191">
        <v>0</v>
      </c>
      <c r="I46" s="191">
        <v>0</v>
      </c>
      <c r="J46" s="191">
        <v>12</v>
      </c>
      <c r="K46" s="191">
        <v>1</v>
      </c>
      <c r="L46" s="191">
        <v>0</v>
      </c>
      <c r="M46" s="191">
        <v>1</v>
      </c>
      <c r="N46" s="191">
        <v>0</v>
      </c>
      <c r="O46" s="191">
        <v>0</v>
      </c>
      <c r="P46" s="191">
        <v>1</v>
      </c>
      <c r="Q46" s="191">
        <v>1</v>
      </c>
    </row>
    <row r="47" spans="1:17" ht="15">
      <c r="A47" s="189" t="s">
        <v>1329</v>
      </c>
      <c r="B47" s="189" t="s">
        <v>195</v>
      </c>
      <c r="C47" t="str">
        <f t="shared" si="0"/>
        <v>7VX485TFF1927</v>
      </c>
      <c r="D47" s="191">
        <v>4</v>
      </c>
      <c r="E47" s="191">
        <v>0</v>
      </c>
      <c r="F47" s="191">
        <v>0</v>
      </c>
      <c r="G47" s="191">
        <v>1</v>
      </c>
      <c r="H47" s="191">
        <v>0</v>
      </c>
      <c r="I47" s="191">
        <v>0</v>
      </c>
      <c r="J47" s="191">
        <v>12</v>
      </c>
      <c r="K47" s="191">
        <v>1</v>
      </c>
      <c r="L47" s="191">
        <v>0</v>
      </c>
      <c r="M47" s="191">
        <v>1</v>
      </c>
      <c r="N47" s="191">
        <v>0</v>
      </c>
      <c r="O47" s="191">
        <v>0</v>
      </c>
      <c r="P47" s="191">
        <v>1</v>
      </c>
      <c r="Q47" s="191">
        <v>1</v>
      </c>
    </row>
    <row r="48" spans="1:17" ht="15">
      <c r="A48" s="189" t="s">
        <v>1333</v>
      </c>
      <c r="B48" s="189" t="s">
        <v>195</v>
      </c>
      <c r="C48" t="str">
        <f t="shared" si="0"/>
        <v>7VX485TFF1930</v>
      </c>
      <c r="D48" s="191">
        <v>4</v>
      </c>
      <c r="E48" s="191">
        <v>0</v>
      </c>
      <c r="F48" s="191">
        <v>0</v>
      </c>
      <c r="G48" s="191">
        <v>1</v>
      </c>
      <c r="H48" s="191">
        <v>0</v>
      </c>
      <c r="I48" s="191">
        <v>0</v>
      </c>
      <c r="J48" s="191">
        <v>12</v>
      </c>
      <c r="K48" s="191">
        <v>1</v>
      </c>
      <c r="L48" s="191">
        <v>0</v>
      </c>
      <c r="M48" s="191">
        <v>1</v>
      </c>
      <c r="N48" s="191">
        <v>0</v>
      </c>
      <c r="O48" s="191">
        <v>0</v>
      </c>
      <c r="P48" s="191">
        <v>1</v>
      </c>
      <c r="Q48" s="191">
        <v>1</v>
      </c>
    </row>
    <row r="49" spans="1:21" ht="15">
      <c r="A49" s="189" t="s">
        <v>1322</v>
      </c>
      <c r="B49" s="189" t="s">
        <v>59</v>
      </c>
      <c r="C49" t="str">
        <f t="shared" si="0"/>
        <v>7VX550TFF1158</v>
      </c>
      <c r="D49" s="191">
        <v>4</v>
      </c>
      <c r="E49" s="191">
        <v>0</v>
      </c>
      <c r="F49" s="191">
        <v>0</v>
      </c>
      <c r="G49" s="191">
        <v>1</v>
      </c>
      <c r="H49" s="191">
        <v>0</v>
      </c>
      <c r="I49" s="191">
        <v>0</v>
      </c>
      <c r="J49" s="191">
        <v>13</v>
      </c>
      <c r="K49" s="191">
        <v>1</v>
      </c>
      <c r="L49" s="191">
        <v>0</v>
      </c>
      <c r="M49" s="191">
        <v>1</v>
      </c>
      <c r="N49" s="191">
        <v>0</v>
      </c>
      <c r="O49" s="191">
        <v>0</v>
      </c>
      <c r="P49" s="191">
        <v>1</v>
      </c>
      <c r="Q49" s="191">
        <v>1</v>
      </c>
    </row>
    <row r="50" spans="1:21" ht="15">
      <c r="A50" s="189" t="s">
        <v>1329</v>
      </c>
      <c r="B50" s="189" t="s">
        <v>59</v>
      </c>
      <c r="C50" t="str">
        <f t="shared" si="0"/>
        <v>7VX550TFF1927</v>
      </c>
      <c r="D50" s="191">
        <v>4</v>
      </c>
      <c r="E50" s="191">
        <v>0</v>
      </c>
      <c r="F50" s="191">
        <v>0</v>
      </c>
      <c r="G50" s="191">
        <v>1</v>
      </c>
      <c r="H50" s="191">
        <v>0</v>
      </c>
      <c r="I50" s="191">
        <v>0</v>
      </c>
      <c r="J50" s="191">
        <v>13</v>
      </c>
      <c r="K50" s="191">
        <v>1</v>
      </c>
      <c r="L50" s="191">
        <v>0</v>
      </c>
      <c r="M50" s="191">
        <v>1</v>
      </c>
      <c r="N50" s="191">
        <v>0</v>
      </c>
      <c r="O50" s="191">
        <v>0</v>
      </c>
      <c r="P50" s="191">
        <v>1</v>
      </c>
      <c r="Q50" s="191">
        <v>1</v>
      </c>
    </row>
    <row r="51" spans="1:21" ht="15">
      <c r="A51" s="189" t="s">
        <v>1321</v>
      </c>
      <c r="B51" s="189" t="s">
        <v>60</v>
      </c>
      <c r="C51" t="str">
        <f t="shared" si="0"/>
        <v>7VX690TFF1157</v>
      </c>
      <c r="D51" s="191">
        <v>5</v>
      </c>
      <c r="E51" s="191">
        <v>0</v>
      </c>
      <c r="F51" s="191">
        <v>0</v>
      </c>
      <c r="G51" s="191">
        <v>1</v>
      </c>
      <c r="H51" s="191">
        <v>0</v>
      </c>
      <c r="I51" s="191">
        <v>0</v>
      </c>
      <c r="J51" s="191">
        <v>17</v>
      </c>
      <c r="K51" s="191">
        <v>1</v>
      </c>
      <c r="L51" s="191">
        <v>0</v>
      </c>
      <c r="M51" s="191">
        <v>1</v>
      </c>
      <c r="N51" s="191">
        <v>0</v>
      </c>
      <c r="O51" s="191">
        <v>0</v>
      </c>
      <c r="P51" s="191">
        <v>1</v>
      </c>
      <c r="Q51" s="191">
        <v>1</v>
      </c>
    </row>
    <row r="52" spans="1:21" ht="15">
      <c r="A52" s="189" t="s">
        <v>1322</v>
      </c>
      <c r="B52" s="189" t="s">
        <v>60</v>
      </c>
      <c r="C52" t="str">
        <f t="shared" si="0"/>
        <v>7VX690TFF1158</v>
      </c>
      <c r="D52" s="191">
        <v>5</v>
      </c>
      <c r="E52" s="191">
        <v>0</v>
      </c>
      <c r="F52" s="191">
        <v>0</v>
      </c>
      <c r="G52" s="191">
        <v>1</v>
      </c>
      <c r="H52" s="191">
        <v>0</v>
      </c>
      <c r="I52" s="191">
        <v>0</v>
      </c>
      <c r="J52" s="191">
        <v>17</v>
      </c>
      <c r="K52" s="191">
        <v>1</v>
      </c>
      <c r="L52" s="191">
        <v>0</v>
      </c>
      <c r="M52" s="191">
        <v>1</v>
      </c>
      <c r="N52" s="191">
        <v>0</v>
      </c>
      <c r="O52" s="191">
        <v>0</v>
      </c>
      <c r="P52" s="191">
        <v>1</v>
      </c>
      <c r="Q52" s="191">
        <v>1</v>
      </c>
    </row>
    <row r="53" spans="1:21" ht="15">
      <c r="A53" s="189" t="s">
        <v>1328</v>
      </c>
      <c r="B53" s="189" t="s">
        <v>60</v>
      </c>
      <c r="C53" t="str">
        <f t="shared" si="0"/>
        <v>7VX690TFF1761</v>
      </c>
      <c r="D53" s="191">
        <v>5</v>
      </c>
      <c r="E53" s="191">
        <v>0</v>
      </c>
      <c r="F53" s="191">
        <v>0</v>
      </c>
      <c r="G53" s="191">
        <v>1</v>
      </c>
      <c r="H53" s="191">
        <v>0</v>
      </c>
      <c r="I53" s="191">
        <v>0</v>
      </c>
      <c r="J53" s="191">
        <v>17</v>
      </c>
      <c r="K53" s="191">
        <v>1</v>
      </c>
      <c r="L53" s="191">
        <v>0</v>
      </c>
      <c r="M53" s="191">
        <v>1</v>
      </c>
      <c r="N53" s="191">
        <v>0</v>
      </c>
      <c r="O53" s="191">
        <v>0</v>
      </c>
      <c r="P53" s="191">
        <v>1</v>
      </c>
      <c r="Q53" s="191">
        <v>1</v>
      </c>
    </row>
    <row r="54" spans="1:21" ht="15">
      <c r="A54" s="189" t="s">
        <v>1323</v>
      </c>
      <c r="B54" s="189" t="s">
        <v>60</v>
      </c>
      <c r="C54" t="str">
        <f t="shared" si="0"/>
        <v>7VX690TFF1926</v>
      </c>
      <c r="D54" s="191">
        <v>5</v>
      </c>
      <c r="E54" s="191">
        <v>0</v>
      </c>
      <c r="F54" s="191">
        <v>0</v>
      </c>
      <c r="G54" s="191">
        <v>1</v>
      </c>
      <c r="H54" s="191">
        <v>0</v>
      </c>
      <c r="I54" s="191">
        <v>0</v>
      </c>
      <c r="J54" s="191">
        <v>17</v>
      </c>
      <c r="K54" s="191">
        <v>1</v>
      </c>
      <c r="L54" s="191">
        <v>0</v>
      </c>
      <c r="M54" s="191">
        <v>1</v>
      </c>
      <c r="N54" s="191">
        <v>0</v>
      </c>
      <c r="O54" s="191">
        <v>0</v>
      </c>
      <c r="P54" s="191">
        <v>1</v>
      </c>
      <c r="Q54" s="191">
        <v>1</v>
      </c>
    </row>
    <row r="55" spans="1:21" ht="15">
      <c r="A55" s="189" t="s">
        <v>1329</v>
      </c>
      <c r="B55" s="189" t="s">
        <v>60</v>
      </c>
      <c r="C55" t="str">
        <f t="shared" si="0"/>
        <v>7VX690TFF1927</v>
      </c>
      <c r="D55" s="191">
        <v>5</v>
      </c>
      <c r="E55" s="191">
        <v>0</v>
      </c>
      <c r="F55" s="191">
        <v>0</v>
      </c>
      <c r="G55" s="191">
        <v>1</v>
      </c>
      <c r="H55" s="191">
        <v>0</v>
      </c>
      <c r="I55" s="191">
        <v>0</v>
      </c>
      <c r="J55" s="191">
        <v>17</v>
      </c>
      <c r="K55" s="191">
        <v>1</v>
      </c>
      <c r="L55" s="191">
        <v>0</v>
      </c>
      <c r="M55" s="191">
        <v>1</v>
      </c>
      <c r="N55" s="191">
        <v>0</v>
      </c>
      <c r="O55" s="191">
        <v>0</v>
      </c>
      <c r="P55" s="191">
        <v>1</v>
      </c>
      <c r="Q55" s="191">
        <v>1</v>
      </c>
    </row>
    <row r="56" spans="1:21" ht="15">
      <c r="A56" s="189" t="s">
        <v>1333</v>
      </c>
      <c r="B56" s="189" t="s">
        <v>60</v>
      </c>
      <c r="C56" t="str">
        <f t="shared" si="0"/>
        <v>7VX690TFF1930</v>
      </c>
      <c r="D56" s="191">
        <v>5</v>
      </c>
      <c r="E56" s="191">
        <v>0</v>
      </c>
      <c r="F56" s="191">
        <v>0</v>
      </c>
      <c r="G56" s="191">
        <v>1</v>
      </c>
      <c r="H56" s="191">
        <v>0</v>
      </c>
      <c r="I56" s="191">
        <v>0</v>
      </c>
      <c r="J56" s="191">
        <v>17</v>
      </c>
      <c r="K56" s="191">
        <v>1</v>
      </c>
      <c r="L56" s="191">
        <v>0</v>
      </c>
      <c r="M56" s="191">
        <v>1</v>
      </c>
      <c r="N56" s="191">
        <v>0</v>
      </c>
      <c r="O56" s="191">
        <v>0</v>
      </c>
      <c r="P56" s="191">
        <v>1</v>
      </c>
      <c r="Q56" s="191">
        <v>1</v>
      </c>
      <c r="R56" s="85"/>
      <c r="S56" s="85"/>
      <c r="T56" s="85"/>
      <c r="U56" s="85"/>
    </row>
    <row r="57" spans="1:21" ht="15">
      <c r="A57" s="189" t="s">
        <v>1323</v>
      </c>
      <c r="B57" s="189" t="s">
        <v>284</v>
      </c>
      <c r="C57" t="str">
        <f t="shared" si="0"/>
        <v>7VX980TFF1926</v>
      </c>
      <c r="D57" s="191">
        <v>6</v>
      </c>
      <c r="E57" s="191">
        <v>0</v>
      </c>
      <c r="F57" s="191">
        <v>0</v>
      </c>
      <c r="G57" s="191">
        <v>1</v>
      </c>
      <c r="H57" s="191">
        <v>1</v>
      </c>
      <c r="I57" s="191">
        <v>0</v>
      </c>
      <c r="J57" s="191">
        <v>17</v>
      </c>
      <c r="K57" s="191">
        <v>1</v>
      </c>
      <c r="L57" s="191">
        <v>0</v>
      </c>
      <c r="M57" s="191">
        <v>1</v>
      </c>
      <c r="N57" s="191">
        <v>0</v>
      </c>
      <c r="O57" s="191">
        <v>0</v>
      </c>
      <c r="P57" s="191">
        <v>1</v>
      </c>
      <c r="Q57" s="191">
        <v>1</v>
      </c>
      <c r="R57" s="85"/>
      <c r="S57" s="85"/>
      <c r="T57" s="85"/>
      <c r="U57" s="85"/>
    </row>
    <row r="58" spans="1:21" ht="15">
      <c r="A58" s="189" t="s">
        <v>1330</v>
      </c>
      <c r="B58" s="189" t="s">
        <v>284</v>
      </c>
      <c r="C58" t="str">
        <f t="shared" si="0"/>
        <v>7VX980TFF1928</v>
      </c>
      <c r="D58" s="191">
        <v>6</v>
      </c>
      <c r="E58" s="191">
        <v>0</v>
      </c>
      <c r="F58" s="191">
        <v>0</v>
      </c>
      <c r="G58" s="191">
        <v>1</v>
      </c>
      <c r="H58" s="191">
        <v>1</v>
      </c>
      <c r="I58" s="191">
        <v>0</v>
      </c>
      <c r="J58" s="191">
        <v>20</v>
      </c>
      <c r="K58" s="191">
        <v>1</v>
      </c>
      <c r="L58" s="191">
        <v>0</v>
      </c>
      <c r="M58" s="191">
        <v>1</v>
      </c>
      <c r="N58" s="191">
        <v>0</v>
      </c>
      <c r="O58" s="191">
        <v>0</v>
      </c>
      <c r="P58" s="191">
        <v>1</v>
      </c>
      <c r="Q58" s="191">
        <v>1</v>
      </c>
    </row>
    <row r="59" spans="1:21" ht="15">
      <c r="A59" s="189" t="s">
        <v>1333</v>
      </c>
      <c r="B59" s="189" t="s">
        <v>284</v>
      </c>
      <c r="C59" t="str">
        <f t="shared" si="0"/>
        <v>7VX980TFF1930</v>
      </c>
      <c r="D59" s="191">
        <v>6</v>
      </c>
      <c r="E59" s="191">
        <v>0</v>
      </c>
      <c r="F59" s="191">
        <v>0</v>
      </c>
      <c r="G59" s="191">
        <v>1</v>
      </c>
      <c r="H59" s="191">
        <v>1</v>
      </c>
      <c r="I59" s="191">
        <v>0</v>
      </c>
      <c r="J59" s="191">
        <v>20</v>
      </c>
      <c r="K59" s="191">
        <v>1</v>
      </c>
      <c r="L59" s="191">
        <v>0</v>
      </c>
      <c r="M59" s="191">
        <v>1</v>
      </c>
      <c r="N59" s="191">
        <v>0</v>
      </c>
      <c r="O59" s="191">
        <v>0</v>
      </c>
      <c r="P59" s="191">
        <v>1</v>
      </c>
      <c r="Q59" s="191">
        <v>1</v>
      </c>
    </row>
    <row r="60" spans="1:21">
      <c r="A60" s="190" t="s">
        <v>1349</v>
      </c>
      <c r="B60" s="190" t="s">
        <v>284</v>
      </c>
      <c r="C60" t="str">
        <f t="shared" si="0"/>
        <v>7VX980TFF1933</v>
      </c>
      <c r="D60" s="192">
        <v>5.6576470588235299</v>
      </c>
      <c r="E60" s="192">
        <v>0</v>
      </c>
      <c r="F60" s="192">
        <v>0</v>
      </c>
      <c r="G60" s="192">
        <v>1.2068181818181818</v>
      </c>
      <c r="H60" s="192">
        <v>1</v>
      </c>
      <c r="I60" s="192">
        <v>0</v>
      </c>
      <c r="J60" s="192">
        <v>19.912500000000001</v>
      </c>
      <c r="K60" s="192">
        <v>1</v>
      </c>
      <c r="L60" s="192">
        <v>0</v>
      </c>
      <c r="M60" s="192">
        <v>0.7</v>
      </c>
      <c r="N60" s="192">
        <v>0</v>
      </c>
      <c r="O60" s="192">
        <v>0</v>
      </c>
      <c r="P60" s="192">
        <v>1</v>
      </c>
      <c r="Q60" s="192">
        <v>1</v>
      </c>
    </row>
    <row r="61" spans="1:21">
      <c r="A61" s="85" t="s">
        <v>1342</v>
      </c>
      <c r="B61" s="85" t="s">
        <v>826</v>
      </c>
      <c r="C61" t="str">
        <f t="shared" si="0"/>
        <v>7Z015CL485</v>
      </c>
      <c r="D61" s="85">
        <v>0</v>
      </c>
      <c r="E61" s="85">
        <v>0</v>
      </c>
      <c r="F61" s="85">
        <v>0</v>
      </c>
      <c r="G61" s="85">
        <v>0</v>
      </c>
      <c r="H61" s="85">
        <v>0</v>
      </c>
      <c r="I61" s="85">
        <v>0</v>
      </c>
      <c r="J61" s="85">
        <v>0</v>
      </c>
      <c r="K61" s="85">
        <v>0</v>
      </c>
      <c r="L61" s="85">
        <v>0</v>
      </c>
      <c r="M61" s="85">
        <v>0</v>
      </c>
      <c r="N61">
        <v>0</v>
      </c>
      <c r="O61">
        <v>0</v>
      </c>
      <c r="P61">
        <v>1</v>
      </c>
      <c r="Q61">
        <v>0</v>
      </c>
    </row>
    <row r="62" spans="1:21">
      <c r="A62" t="s">
        <v>1312</v>
      </c>
      <c r="B62" t="s">
        <v>455</v>
      </c>
      <c r="C62" t="str">
        <f t="shared" si="0"/>
        <v>7Z030FB484</v>
      </c>
      <c r="D62" s="85">
        <v>0</v>
      </c>
      <c r="E62" s="85">
        <v>0</v>
      </c>
      <c r="F62" s="85">
        <v>0</v>
      </c>
      <c r="G62" s="85">
        <v>0</v>
      </c>
      <c r="H62" s="85">
        <v>0</v>
      </c>
      <c r="I62" s="85">
        <v>0</v>
      </c>
      <c r="J62" s="85">
        <v>0</v>
      </c>
      <c r="K62" s="85">
        <v>0</v>
      </c>
      <c r="L62" s="85">
        <v>0</v>
      </c>
      <c r="M62" s="85">
        <v>0</v>
      </c>
      <c r="N62">
        <v>0</v>
      </c>
      <c r="O62">
        <v>0</v>
      </c>
      <c r="P62">
        <v>1</v>
      </c>
      <c r="Q62">
        <v>0</v>
      </c>
    </row>
    <row r="63" spans="1:21">
      <c r="A63" t="s">
        <v>1313</v>
      </c>
      <c r="B63" t="s">
        <v>455</v>
      </c>
      <c r="C63" t="str">
        <f t="shared" si="0"/>
        <v>7Z030FB676</v>
      </c>
      <c r="D63" s="85">
        <v>0</v>
      </c>
      <c r="E63" s="85">
        <v>0</v>
      </c>
      <c r="F63" s="85">
        <v>0</v>
      </c>
      <c r="G63" s="85">
        <v>0</v>
      </c>
      <c r="H63" s="85">
        <v>0</v>
      </c>
      <c r="I63" s="85">
        <v>0</v>
      </c>
      <c r="J63" s="85">
        <v>0</v>
      </c>
      <c r="K63" s="85">
        <v>0</v>
      </c>
      <c r="L63" s="85">
        <v>0</v>
      </c>
      <c r="M63" s="85">
        <v>0</v>
      </c>
      <c r="N63">
        <v>1</v>
      </c>
      <c r="O63">
        <v>0</v>
      </c>
      <c r="P63">
        <v>1</v>
      </c>
      <c r="Q63">
        <v>0</v>
      </c>
    </row>
    <row r="64" spans="1:21">
      <c r="A64" t="s">
        <v>1317</v>
      </c>
      <c r="B64" t="s">
        <v>455</v>
      </c>
      <c r="C64" t="str">
        <f t="shared" si="0"/>
        <v>7Z030FF676</v>
      </c>
      <c r="D64" s="85">
        <v>0</v>
      </c>
      <c r="E64" s="85">
        <v>0</v>
      </c>
      <c r="F64" s="85">
        <v>0</v>
      </c>
      <c r="G64" s="85">
        <v>0</v>
      </c>
      <c r="H64" s="85">
        <v>0</v>
      </c>
      <c r="I64" s="85">
        <v>0</v>
      </c>
      <c r="J64" s="85">
        <v>0</v>
      </c>
      <c r="K64" s="85">
        <v>0</v>
      </c>
      <c r="L64" s="85">
        <v>0</v>
      </c>
      <c r="M64" s="85">
        <v>0</v>
      </c>
      <c r="N64">
        <v>1</v>
      </c>
      <c r="O64">
        <v>0</v>
      </c>
      <c r="P64">
        <v>1</v>
      </c>
      <c r="Q64">
        <v>0</v>
      </c>
    </row>
    <row r="65" spans="1:21">
      <c r="A65" s="85" t="s">
        <v>1350</v>
      </c>
      <c r="B65" s="85" t="s">
        <v>455</v>
      </c>
      <c r="C65" t="str">
        <f t="shared" si="0"/>
        <v>7Z030SB485</v>
      </c>
      <c r="D65" s="85">
        <v>0</v>
      </c>
      <c r="E65" s="85">
        <v>0</v>
      </c>
      <c r="F65" s="85">
        <v>0</v>
      </c>
      <c r="G65" s="85">
        <v>0</v>
      </c>
      <c r="H65" s="85">
        <v>0</v>
      </c>
      <c r="I65" s="85">
        <v>0</v>
      </c>
      <c r="J65" s="85">
        <v>0</v>
      </c>
      <c r="K65" s="85">
        <v>0</v>
      </c>
      <c r="L65" s="85">
        <v>0</v>
      </c>
      <c r="M65" s="85">
        <v>0</v>
      </c>
      <c r="N65">
        <v>0</v>
      </c>
      <c r="O65">
        <v>0</v>
      </c>
      <c r="P65">
        <v>1</v>
      </c>
      <c r="Q65">
        <v>0</v>
      </c>
    </row>
    <row r="66" spans="1:21">
      <c r="A66" t="s">
        <v>1313</v>
      </c>
      <c r="B66" s="6" t="s">
        <v>1192</v>
      </c>
      <c r="C66" t="str">
        <f t="shared" si="0"/>
        <v>7Z035FB676</v>
      </c>
      <c r="D66" s="85">
        <v>0</v>
      </c>
      <c r="E66" s="85">
        <v>0</v>
      </c>
      <c r="F66" s="85">
        <v>0</v>
      </c>
      <c r="G66" s="85">
        <v>0</v>
      </c>
      <c r="H66" s="85">
        <v>0</v>
      </c>
      <c r="I66" s="85">
        <v>0</v>
      </c>
      <c r="J66" s="85">
        <v>0</v>
      </c>
      <c r="K66" s="85">
        <v>0</v>
      </c>
      <c r="L66" s="85">
        <v>0</v>
      </c>
      <c r="M66" s="85">
        <v>0</v>
      </c>
      <c r="N66">
        <v>0</v>
      </c>
      <c r="O66">
        <v>1</v>
      </c>
      <c r="P66">
        <v>1</v>
      </c>
      <c r="Q66">
        <v>0</v>
      </c>
    </row>
    <row r="67" spans="1:21">
      <c r="A67" t="s">
        <v>1317</v>
      </c>
      <c r="B67" s="6" t="s">
        <v>1192</v>
      </c>
      <c r="C67" t="str">
        <f t="shared" si="0"/>
        <v>7Z035FF676</v>
      </c>
      <c r="D67" s="85">
        <v>0</v>
      </c>
      <c r="E67" s="85">
        <v>0</v>
      </c>
      <c r="F67" s="85">
        <v>0</v>
      </c>
      <c r="G67" s="85">
        <v>0</v>
      </c>
      <c r="H67" s="85">
        <v>0</v>
      </c>
      <c r="I67" s="85">
        <v>0</v>
      </c>
      <c r="J67" s="85">
        <v>0</v>
      </c>
      <c r="K67" s="85">
        <v>0</v>
      </c>
      <c r="L67" s="85">
        <v>0</v>
      </c>
      <c r="M67" s="85">
        <v>0</v>
      </c>
      <c r="N67">
        <v>0</v>
      </c>
      <c r="O67">
        <v>1</v>
      </c>
      <c r="P67">
        <v>1</v>
      </c>
      <c r="Q67">
        <v>0</v>
      </c>
    </row>
    <row r="68" spans="1:21">
      <c r="A68" t="s">
        <v>1318</v>
      </c>
      <c r="B68" s="6" t="s">
        <v>1192</v>
      </c>
      <c r="C68" t="str">
        <f t="shared" ref="C68:C74" si="1">B68&amp;A68</f>
        <v>7Z035FF900</v>
      </c>
      <c r="D68" s="85">
        <v>0</v>
      </c>
      <c r="E68" s="85">
        <v>0</v>
      </c>
      <c r="F68" s="85">
        <v>0</v>
      </c>
      <c r="G68" s="85">
        <v>0</v>
      </c>
      <c r="H68" s="85">
        <v>0</v>
      </c>
      <c r="I68" s="85">
        <v>0</v>
      </c>
      <c r="J68" s="85">
        <v>0</v>
      </c>
      <c r="K68" s="85">
        <v>0</v>
      </c>
      <c r="L68" s="85">
        <v>0</v>
      </c>
      <c r="M68" s="85">
        <v>0</v>
      </c>
      <c r="N68">
        <v>0</v>
      </c>
      <c r="O68">
        <v>1</v>
      </c>
      <c r="P68">
        <v>1</v>
      </c>
      <c r="Q68">
        <v>0</v>
      </c>
    </row>
    <row r="69" spans="1:21">
      <c r="A69" t="s">
        <v>1313</v>
      </c>
      <c r="B69" t="s">
        <v>456</v>
      </c>
      <c r="C69" t="str">
        <f t="shared" si="1"/>
        <v>7Z045FB676</v>
      </c>
      <c r="D69" s="85">
        <v>0</v>
      </c>
      <c r="E69" s="85">
        <v>0</v>
      </c>
      <c r="F69" s="85">
        <v>0</v>
      </c>
      <c r="G69" s="85">
        <v>0</v>
      </c>
      <c r="H69" s="85">
        <v>0</v>
      </c>
      <c r="I69" s="85">
        <v>0</v>
      </c>
      <c r="J69" s="85">
        <v>0</v>
      </c>
      <c r="K69" s="85">
        <v>0</v>
      </c>
      <c r="L69" s="85">
        <v>0</v>
      </c>
      <c r="M69" s="85">
        <v>0</v>
      </c>
      <c r="N69">
        <v>1</v>
      </c>
      <c r="O69">
        <v>0</v>
      </c>
      <c r="P69">
        <v>1</v>
      </c>
      <c r="Q69">
        <v>0</v>
      </c>
    </row>
    <row r="70" spans="1:21">
      <c r="A70" t="s">
        <v>1317</v>
      </c>
      <c r="B70" t="s">
        <v>456</v>
      </c>
      <c r="C70" t="str">
        <f t="shared" si="1"/>
        <v>7Z045FF676</v>
      </c>
      <c r="D70" s="85">
        <v>0</v>
      </c>
      <c r="E70" s="85">
        <v>0</v>
      </c>
      <c r="F70" s="85">
        <v>0</v>
      </c>
      <c r="G70" s="85">
        <v>0</v>
      </c>
      <c r="H70" s="85">
        <v>0</v>
      </c>
      <c r="I70" s="85">
        <v>0</v>
      </c>
      <c r="J70" s="85">
        <v>0</v>
      </c>
      <c r="K70" s="85">
        <v>0</v>
      </c>
      <c r="L70" s="85">
        <v>0</v>
      </c>
      <c r="M70" s="85">
        <v>0</v>
      </c>
      <c r="N70">
        <v>1</v>
      </c>
      <c r="O70">
        <v>0</v>
      </c>
      <c r="P70">
        <v>1</v>
      </c>
      <c r="Q70">
        <v>0</v>
      </c>
    </row>
    <row r="71" spans="1:21">
      <c r="A71" t="s">
        <v>1318</v>
      </c>
      <c r="B71" t="s">
        <v>456</v>
      </c>
      <c r="C71" t="str">
        <f t="shared" si="1"/>
        <v>7Z045FF900</v>
      </c>
      <c r="D71" s="85">
        <v>0</v>
      </c>
      <c r="E71" s="85">
        <v>0</v>
      </c>
      <c r="F71" s="85">
        <v>0</v>
      </c>
      <c r="G71" s="85">
        <v>0</v>
      </c>
      <c r="H71" s="85">
        <v>0</v>
      </c>
      <c r="I71" s="85">
        <v>0</v>
      </c>
      <c r="J71" s="85">
        <v>0</v>
      </c>
      <c r="K71" s="85">
        <v>0</v>
      </c>
      <c r="L71" s="85">
        <v>0</v>
      </c>
      <c r="M71" s="85">
        <v>0</v>
      </c>
      <c r="N71">
        <v>1</v>
      </c>
      <c r="O71">
        <v>0</v>
      </c>
      <c r="P71">
        <v>1</v>
      </c>
      <c r="Q71">
        <v>0</v>
      </c>
    </row>
    <row r="72" spans="1:21">
      <c r="A72" t="s">
        <v>1316</v>
      </c>
      <c r="B72" t="s">
        <v>782</v>
      </c>
      <c r="C72" t="str">
        <f t="shared" si="1"/>
        <v>7Z100FF1156</v>
      </c>
      <c r="D72" s="85">
        <v>0</v>
      </c>
      <c r="E72" s="85">
        <v>0</v>
      </c>
      <c r="F72" s="85">
        <v>0</v>
      </c>
      <c r="G72" s="85">
        <v>0</v>
      </c>
      <c r="H72" s="85">
        <v>0</v>
      </c>
      <c r="I72" s="85">
        <v>0</v>
      </c>
      <c r="J72" s="85">
        <v>0</v>
      </c>
      <c r="K72" s="85">
        <v>0</v>
      </c>
      <c r="L72" s="85">
        <v>0</v>
      </c>
      <c r="M72" s="85">
        <v>0</v>
      </c>
      <c r="N72">
        <v>1</v>
      </c>
      <c r="O72">
        <v>0</v>
      </c>
      <c r="P72">
        <v>1</v>
      </c>
      <c r="Q72">
        <v>0</v>
      </c>
    </row>
    <row r="73" spans="1:21">
      <c r="A73" t="s">
        <v>1318</v>
      </c>
      <c r="B73" t="s">
        <v>782</v>
      </c>
      <c r="C73" t="str">
        <f t="shared" si="1"/>
        <v>7Z100FF900</v>
      </c>
      <c r="D73" s="85">
        <v>0</v>
      </c>
      <c r="E73" s="85">
        <v>0</v>
      </c>
      <c r="F73" s="85">
        <v>0</v>
      </c>
      <c r="G73" s="85">
        <v>0</v>
      </c>
      <c r="H73" s="85">
        <v>0</v>
      </c>
      <c r="I73" s="85">
        <v>0</v>
      </c>
      <c r="J73" s="85">
        <v>0</v>
      </c>
      <c r="K73" s="85">
        <v>0</v>
      </c>
      <c r="L73" s="85">
        <v>0</v>
      </c>
      <c r="M73" s="85">
        <v>0</v>
      </c>
      <c r="N73">
        <v>1</v>
      </c>
      <c r="O73">
        <v>0</v>
      </c>
      <c r="P73">
        <v>1</v>
      </c>
      <c r="Q73">
        <v>0</v>
      </c>
    </row>
    <row r="74" spans="1:21">
      <c r="A74" t="s">
        <v>1342</v>
      </c>
      <c r="B74" t="s">
        <v>1463</v>
      </c>
      <c r="C74" t="str">
        <f t="shared" si="1"/>
        <v>7Z012SCL485</v>
      </c>
      <c r="D74" s="85">
        <v>0</v>
      </c>
      <c r="E74" s="85">
        <v>0</v>
      </c>
      <c r="F74" s="85">
        <v>0</v>
      </c>
      <c r="G74" s="85">
        <v>0</v>
      </c>
      <c r="H74" s="85">
        <v>0</v>
      </c>
      <c r="I74" s="85">
        <v>0</v>
      </c>
      <c r="J74" s="85">
        <v>0</v>
      </c>
      <c r="K74" s="85">
        <v>0</v>
      </c>
      <c r="L74" s="85">
        <v>0</v>
      </c>
      <c r="M74" s="85">
        <v>0</v>
      </c>
      <c r="N74">
        <v>0</v>
      </c>
      <c r="O74">
        <v>0</v>
      </c>
      <c r="P74">
        <v>1</v>
      </c>
      <c r="Q74">
        <v>0</v>
      </c>
    </row>
    <row r="75" spans="1:21">
      <c r="R75" s="86"/>
      <c r="S75" s="86"/>
      <c r="T75" s="86"/>
      <c r="U75" s="85"/>
    </row>
    <row r="76" spans="1:21">
      <c r="R76" s="86"/>
      <c r="S76" s="86"/>
      <c r="T76" s="86"/>
      <c r="U76" s="85"/>
    </row>
    <row r="77" spans="1:21">
      <c r="R77" s="86"/>
      <c r="S77" s="86"/>
      <c r="T77" s="86"/>
      <c r="U77" s="85"/>
    </row>
    <row r="101" spans="1:35">
      <c r="C101">
        <v>1</v>
      </c>
      <c r="D101">
        <v>2</v>
      </c>
      <c r="E101">
        <v>3</v>
      </c>
      <c r="F101">
        <v>4</v>
      </c>
      <c r="G101">
        <v>5</v>
      </c>
      <c r="H101">
        <v>6</v>
      </c>
      <c r="I101">
        <v>7</v>
      </c>
      <c r="J101">
        <v>8</v>
      </c>
      <c r="K101">
        <v>9</v>
      </c>
      <c r="L101">
        <v>10</v>
      </c>
      <c r="M101">
        <v>11</v>
      </c>
      <c r="N101">
        <v>12</v>
      </c>
      <c r="O101">
        <v>13</v>
      </c>
      <c r="P101">
        <v>14</v>
      </c>
      <c r="Q101">
        <v>15</v>
      </c>
      <c r="R101">
        <v>16</v>
      </c>
      <c r="S101">
        <v>17</v>
      </c>
      <c r="T101">
        <v>18</v>
      </c>
      <c r="U101">
        <v>19</v>
      </c>
      <c r="V101">
        <v>20</v>
      </c>
      <c r="W101">
        <v>21</v>
      </c>
      <c r="X101">
        <v>22</v>
      </c>
      <c r="Y101">
        <v>23</v>
      </c>
      <c r="Z101">
        <v>24</v>
      </c>
      <c r="AA101">
        <v>25</v>
      </c>
      <c r="AB101">
        <v>26</v>
      </c>
      <c r="AC101">
        <v>27</v>
      </c>
      <c r="AD101">
        <v>28</v>
      </c>
      <c r="AE101">
        <v>29</v>
      </c>
      <c r="AF101">
        <v>30</v>
      </c>
      <c r="AG101">
        <v>31</v>
      </c>
      <c r="AH101">
        <v>32</v>
      </c>
      <c r="AI101">
        <v>33</v>
      </c>
    </row>
    <row r="102" spans="1:35">
      <c r="A102" s="2"/>
      <c r="B102" s="2"/>
      <c r="C102" s="2"/>
      <c r="D102" s="90" t="s">
        <v>272</v>
      </c>
      <c r="E102" s="90"/>
      <c r="F102" s="90"/>
      <c r="G102" s="90"/>
      <c r="H102" s="90"/>
      <c r="I102" s="90"/>
      <c r="J102" s="90" t="s">
        <v>105</v>
      </c>
      <c r="K102" s="2"/>
      <c r="L102" s="90"/>
      <c r="M102" s="90"/>
      <c r="N102" s="90" t="s">
        <v>273</v>
      </c>
      <c r="O102" s="90"/>
      <c r="P102" s="2"/>
      <c r="Q102" s="90" t="s">
        <v>274</v>
      </c>
      <c r="R102" s="90"/>
      <c r="S102" s="90"/>
      <c r="T102" s="91" t="s">
        <v>232</v>
      </c>
      <c r="U102" t="s">
        <v>457</v>
      </c>
      <c r="X102" t="s">
        <v>458</v>
      </c>
      <c r="AA102" t="s">
        <v>459</v>
      </c>
      <c r="AD102" t="s">
        <v>460</v>
      </c>
      <c r="AG102" t="s">
        <v>461</v>
      </c>
    </row>
    <row r="103" spans="1:35">
      <c r="A103" s="88" t="s">
        <v>106</v>
      </c>
      <c r="B103" s="88" t="s">
        <v>107</v>
      </c>
      <c r="C103" s="6" t="s">
        <v>12</v>
      </c>
      <c r="D103" s="2" t="s">
        <v>275</v>
      </c>
      <c r="E103" s="2" t="s">
        <v>276</v>
      </c>
      <c r="F103" s="89" t="s">
        <v>277</v>
      </c>
      <c r="G103" s="89" t="s">
        <v>278</v>
      </c>
      <c r="H103" s="2" t="s">
        <v>279</v>
      </c>
      <c r="I103" s="89" t="s">
        <v>280</v>
      </c>
      <c r="J103" s="2" t="s">
        <v>277</v>
      </c>
      <c r="K103" s="2" t="s">
        <v>278</v>
      </c>
      <c r="L103" s="89" t="s">
        <v>279</v>
      </c>
      <c r="M103" s="2" t="s">
        <v>280</v>
      </c>
      <c r="N103" s="2" t="s">
        <v>278</v>
      </c>
      <c r="O103" s="2" t="s">
        <v>279</v>
      </c>
      <c r="P103" s="89" t="s">
        <v>280</v>
      </c>
      <c r="Q103" s="2" t="s">
        <v>1206</v>
      </c>
      <c r="R103" s="2" t="s">
        <v>279</v>
      </c>
      <c r="S103" s="2" t="s">
        <v>280</v>
      </c>
      <c r="T103" s="89" t="s">
        <v>281</v>
      </c>
      <c r="U103" t="s">
        <v>277</v>
      </c>
      <c r="V103" t="s">
        <v>279</v>
      </c>
      <c r="W103" t="s">
        <v>280</v>
      </c>
      <c r="X103" t="s">
        <v>277</v>
      </c>
      <c r="Y103" t="s">
        <v>279</v>
      </c>
      <c r="Z103" t="s">
        <v>280</v>
      </c>
      <c r="AA103" t="s">
        <v>277</v>
      </c>
      <c r="AB103" t="s">
        <v>279</v>
      </c>
      <c r="AC103" t="s">
        <v>280</v>
      </c>
      <c r="AD103" t="s">
        <v>277</v>
      </c>
      <c r="AE103" t="s">
        <v>279</v>
      </c>
      <c r="AF103" t="s">
        <v>280</v>
      </c>
      <c r="AG103" t="s">
        <v>277</v>
      </c>
      <c r="AH103" t="s">
        <v>279</v>
      </c>
      <c r="AI103" t="s">
        <v>280</v>
      </c>
    </row>
    <row r="104" spans="1:35" ht="15">
      <c r="A104" t="s">
        <v>1335</v>
      </c>
      <c r="B104" t="s">
        <v>51</v>
      </c>
      <c r="C104" t="str">
        <f t="shared" ref="C104:C167" si="2">B104&amp;A104</f>
        <v>7A100TCS324</v>
      </c>
      <c r="D104" s="180">
        <v>0</v>
      </c>
      <c r="E104" s="180">
        <v>1</v>
      </c>
      <c r="F104" s="180">
        <v>0</v>
      </c>
      <c r="G104" s="180">
        <v>0</v>
      </c>
      <c r="H104" s="180">
        <v>6</v>
      </c>
      <c r="I104" s="180">
        <v>8</v>
      </c>
      <c r="J104" s="180">
        <v>1</v>
      </c>
      <c r="K104" s="180">
        <v>0</v>
      </c>
      <c r="L104" s="180">
        <v>0</v>
      </c>
      <c r="M104" s="180">
        <v>2</v>
      </c>
      <c r="N104" s="180">
        <v>1</v>
      </c>
      <c r="O104" s="180">
        <v>2</v>
      </c>
      <c r="P104" s="180">
        <v>4</v>
      </c>
      <c r="Q104" s="180">
        <v>1</v>
      </c>
      <c r="R104" s="180">
        <v>2</v>
      </c>
      <c r="S104" s="180">
        <v>4</v>
      </c>
      <c r="T104" s="180">
        <v>1</v>
      </c>
    </row>
    <row r="105" spans="1:35" ht="15">
      <c r="A105" t="s">
        <v>1339</v>
      </c>
      <c r="B105" t="s">
        <v>51</v>
      </c>
      <c r="C105" t="str">
        <f t="shared" si="2"/>
        <v>7A100TFG484</v>
      </c>
      <c r="D105" s="180">
        <v>0</v>
      </c>
      <c r="E105" s="180">
        <v>1</v>
      </c>
      <c r="F105" s="180">
        <v>0</v>
      </c>
      <c r="G105" s="180">
        <v>0</v>
      </c>
      <c r="H105" s="180">
        <v>6</v>
      </c>
      <c r="I105" s="180">
        <v>8</v>
      </c>
      <c r="J105" s="180">
        <v>1</v>
      </c>
      <c r="K105" s="180">
        <v>0</v>
      </c>
      <c r="L105" s="180">
        <v>0</v>
      </c>
      <c r="M105" s="180">
        <v>2</v>
      </c>
      <c r="N105" s="180">
        <v>1</v>
      </c>
      <c r="O105" s="180">
        <v>3</v>
      </c>
      <c r="P105" s="180">
        <v>5</v>
      </c>
      <c r="Q105" s="180">
        <v>1</v>
      </c>
      <c r="R105" s="180">
        <v>2</v>
      </c>
      <c r="S105" s="180">
        <v>4</v>
      </c>
      <c r="T105" s="180">
        <v>1</v>
      </c>
    </row>
    <row r="106" spans="1:35" ht="15">
      <c r="A106" t="s">
        <v>1340</v>
      </c>
      <c r="B106" t="s">
        <v>51</v>
      </c>
      <c r="C106" t="str">
        <f t="shared" si="2"/>
        <v>7A100TFG676</v>
      </c>
      <c r="D106" s="180">
        <v>0</v>
      </c>
      <c r="E106" s="180">
        <v>1</v>
      </c>
      <c r="F106" s="180">
        <v>0</v>
      </c>
      <c r="G106" s="180">
        <v>0</v>
      </c>
      <c r="H106" s="180">
        <v>6</v>
      </c>
      <c r="I106" s="180">
        <v>8</v>
      </c>
      <c r="J106" s="180">
        <v>1</v>
      </c>
      <c r="K106" s="180">
        <v>0</v>
      </c>
      <c r="L106" s="180">
        <v>0</v>
      </c>
      <c r="M106" s="180">
        <v>2</v>
      </c>
      <c r="N106" s="180">
        <v>1</v>
      </c>
      <c r="O106" s="180">
        <v>3</v>
      </c>
      <c r="P106" s="180">
        <v>5</v>
      </c>
      <c r="Q106" s="180">
        <v>1</v>
      </c>
      <c r="R106" s="180">
        <v>2</v>
      </c>
      <c r="S106" s="180">
        <v>4</v>
      </c>
      <c r="T106" s="180">
        <v>1</v>
      </c>
    </row>
    <row r="107" spans="1:35" ht="15">
      <c r="A107" t="s">
        <v>1338</v>
      </c>
      <c r="B107" t="s">
        <v>51</v>
      </c>
      <c r="C107" t="str">
        <f t="shared" si="2"/>
        <v>7A100TFT256</v>
      </c>
      <c r="D107" s="180">
        <v>0</v>
      </c>
      <c r="E107" s="180">
        <v>1</v>
      </c>
      <c r="F107" s="180">
        <v>0</v>
      </c>
      <c r="G107" s="180">
        <v>0</v>
      </c>
      <c r="H107" s="180">
        <v>6</v>
      </c>
      <c r="I107" s="180">
        <v>8</v>
      </c>
      <c r="J107" s="180">
        <v>1</v>
      </c>
      <c r="K107" s="180">
        <v>0</v>
      </c>
      <c r="L107" s="180">
        <v>0</v>
      </c>
      <c r="M107" s="180">
        <v>2</v>
      </c>
      <c r="N107" s="180">
        <v>1</v>
      </c>
      <c r="O107" s="180">
        <v>2</v>
      </c>
      <c r="P107" s="180">
        <v>3</v>
      </c>
      <c r="Q107" s="180">
        <v>1</v>
      </c>
      <c r="R107" s="180">
        <v>2</v>
      </c>
      <c r="S107" s="180">
        <v>4</v>
      </c>
      <c r="T107" s="180">
        <v>1</v>
      </c>
    </row>
    <row r="108" spans="1:35" ht="15">
      <c r="A108" s="76" t="s">
        <v>1351</v>
      </c>
      <c r="B108" s="16" t="s">
        <v>1193</v>
      </c>
      <c r="C108" t="str">
        <f t="shared" si="2"/>
        <v>7A15TCP236</v>
      </c>
      <c r="D108" s="180">
        <v>0</v>
      </c>
      <c r="E108" s="180">
        <v>0</v>
      </c>
      <c r="F108" s="180">
        <v>1</v>
      </c>
      <c r="G108" s="180">
        <v>0</v>
      </c>
      <c r="H108" s="180">
        <v>2</v>
      </c>
      <c r="I108" s="180">
        <v>2</v>
      </c>
      <c r="J108" s="180">
        <v>0</v>
      </c>
      <c r="K108" s="180">
        <v>1</v>
      </c>
      <c r="L108" s="180">
        <v>0</v>
      </c>
      <c r="M108" s="180">
        <v>1</v>
      </c>
      <c r="N108" s="180">
        <v>1</v>
      </c>
      <c r="O108" s="180">
        <v>1</v>
      </c>
      <c r="P108" s="180">
        <v>2</v>
      </c>
      <c r="Q108" s="180">
        <v>1</v>
      </c>
      <c r="R108" s="180">
        <v>2</v>
      </c>
      <c r="S108" s="180">
        <v>4</v>
      </c>
      <c r="T108" s="180">
        <v>1</v>
      </c>
    </row>
    <row r="109" spans="1:35" ht="15">
      <c r="A109" s="76" t="s">
        <v>1335</v>
      </c>
      <c r="B109" s="16" t="s">
        <v>1193</v>
      </c>
      <c r="C109" t="str">
        <f t="shared" si="2"/>
        <v>7A15TCS324</v>
      </c>
      <c r="D109" s="180">
        <v>0</v>
      </c>
      <c r="E109" s="180">
        <v>0</v>
      </c>
      <c r="F109" s="180">
        <v>1</v>
      </c>
      <c r="G109" s="180">
        <v>0</v>
      </c>
      <c r="H109" s="180">
        <v>2</v>
      </c>
      <c r="I109" s="180">
        <v>2</v>
      </c>
      <c r="J109" s="180">
        <v>0</v>
      </c>
      <c r="K109" s="180">
        <v>1</v>
      </c>
      <c r="L109" s="180">
        <v>0</v>
      </c>
      <c r="M109" s="180">
        <v>1</v>
      </c>
      <c r="N109" s="180">
        <v>1</v>
      </c>
      <c r="O109" s="180">
        <v>2</v>
      </c>
      <c r="P109" s="180">
        <v>4</v>
      </c>
      <c r="Q109" s="180">
        <v>1</v>
      </c>
      <c r="R109" s="180">
        <v>2</v>
      </c>
      <c r="S109" s="180">
        <v>4</v>
      </c>
      <c r="T109" s="180">
        <v>1</v>
      </c>
    </row>
    <row r="110" spans="1:35" ht="15">
      <c r="A110" s="76" t="s">
        <v>1337</v>
      </c>
      <c r="B110" s="16" t="s">
        <v>1193</v>
      </c>
      <c r="C110" t="str">
        <f t="shared" si="2"/>
        <v>7A15TCS325</v>
      </c>
      <c r="D110" s="180">
        <v>0</v>
      </c>
      <c r="E110" s="180">
        <v>0</v>
      </c>
      <c r="F110" s="180">
        <v>1</v>
      </c>
      <c r="G110" s="180">
        <v>0</v>
      </c>
      <c r="H110" s="180">
        <v>2</v>
      </c>
      <c r="I110" s="180">
        <v>2</v>
      </c>
      <c r="J110" s="180">
        <v>0</v>
      </c>
      <c r="K110" s="180">
        <v>1</v>
      </c>
      <c r="L110" s="180">
        <v>0</v>
      </c>
      <c r="M110" s="180">
        <v>1</v>
      </c>
      <c r="N110" s="180">
        <v>1</v>
      </c>
      <c r="O110" s="180">
        <v>2</v>
      </c>
      <c r="P110" s="180">
        <v>3</v>
      </c>
      <c r="Q110" s="180">
        <v>1</v>
      </c>
      <c r="R110" s="180">
        <v>2</v>
      </c>
      <c r="S110" s="180">
        <v>4</v>
      </c>
      <c r="T110" s="180">
        <v>1</v>
      </c>
    </row>
    <row r="111" spans="1:35" ht="15">
      <c r="A111" s="2" t="s">
        <v>1339</v>
      </c>
      <c r="B111" s="16" t="s">
        <v>1193</v>
      </c>
      <c r="C111" t="str">
        <f t="shared" si="2"/>
        <v>7A15TFG484</v>
      </c>
      <c r="D111" s="180">
        <v>0</v>
      </c>
      <c r="E111" s="180">
        <v>0</v>
      </c>
      <c r="F111" s="180">
        <v>1</v>
      </c>
      <c r="G111" s="180">
        <v>0</v>
      </c>
      <c r="H111" s="180">
        <v>2</v>
      </c>
      <c r="I111" s="180">
        <v>2</v>
      </c>
      <c r="J111" s="180">
        <v>0</v>
      </c>
      <c r="K111" s="180">
        <v>1</v>
      </c>
      <c r="L111" s="180">
        <v>0</v>
      </c>
      <c r="M111" s="180">
        <v>1</v>
      </c>
      <c r="N111" s="180">
        <v>1</v>
      </c>
      <c r="O111" s="180">
        <v>2</v>
      </c>
      <c r="P111" s="180">
        <v>5</v>
      </c>
      <c r="Q111" s="180">
        <v>1</v>
      </c>
      <c r="R111" s="180">
        <v>2</v>
      </c>
      <c r="S111" s="180">
        <v>4</v>
      </c>
      <c r="T111" s="180">
        <v>1</v>
      </c>
    </row>
    <row r="112" spans="1:35" ht="15">
      <c r="A112" s="171" t="s">
        <v>1338</v>
      </c>
      <c r="B112" s="16" t="s">
        <v>1193</v>
      </c>
      <c r="C112" t="str">
        <f t="shared" si="2"/>
        <v>7A15TFT256</v>
      </c>
      <c r="D112" s="180">
        <v>0</v>
      </c>
      <c r="E112" s="180">
        <v>0</v>
      </c>
      <c r="F112" s="180">
        <v>1</v>
      </c>
      <c r="G112" s="180">
        <v>0</v>
      </c>
      <c r="H112" s="180">
        <v>2</v>
      </c>
      <c r="I112" s="180">
        <v>2</v>
      </c>
      <c r="J112" s="180">
        <v>0</v>
      </c>
      <c r="K112" s="180">
        <v>1</v>
      </c>
      <c r="L112" s="180">
        <v>0</v>
      </c>
      <c r="M112" s="180">
        <v>1</v>
      </c>
      <c r="N112" s="180">
        <v>1</v>
      </c>
      <c r="O112" s="180">
        <v>2</v>
      </c>
      <c r="P112" s="180">
        <v>3</v>
      </c>
      <c r="Q112" s="180">
        <v>1</v>
      </c>
      <c r="R112" s="180">
        <v>2</v>
      </c>
      <c r="S112" s="180">
        <v>4</v>
      </c>
      <c r="T112" s="180">
        <v>1</v>
      </c>
    </row>
    <row r="113" spans="1:36" ht="15">
      <c r="A113" t="s">
        <v>1312</v>
      </c>
      <c r="B113" t="s">
        <v>282</v>
      </c>
      <c r="C113" t="str">
        <f t="shared" si="2"/>
        <v>7A200TFB484</v>
      </c>
      <c r="D113" s="180">
        <v>1</v>
      </c>
      <c r="E113" s="180">
        <v>0</v>
      </c>
      <c r="F113" s="180">
        <v>0</v>
      </c>
      <c r="G113" s="180">
        <v>0</v>
      </c>
      <c r="H113" s="180">
        <v>12</v>
      </c>
      <c r="I113" s="180">
        <v>14</v>
      </c>
      <c r="J113" s="180">
        <v>1</v>
      </c>
      <c r="K113" s="180">
        <v>0</v>
      </c>
      <c r="L113" s="180">
        <v>0</v>
      </c>
      <c r="M113" s="180">
        <v>3</v>
      </c>
      <c r="N113" s="180">
        <v>1</v>
      </c>
      <c r="O113" s="180">
        <v>3</v>
      </c>
      <c r="P113" s="180">
        <v>5</v>
      </c>
      <c r="Q113" s="180">
        <v>1</v>
      </c>
      <c r="R113" s="180">
        <v>2</v>
      </c>
      <c r="S113" s="180">
        <v>4</v>
      </c>
      <c r="T113" s="180">
        <v>1</v>
      </c>
    </row>
    <row r="114" spans="1:36" ht="15">
      <c r="A114" t="s">
        <v>1313</v>
      </c>
      <c r="B114" t="s">
        <v>282</v>
      </c>
      <c r="C114" t="str">
        <f t="shared" si="2"/>
        <v>7A200TFB676</v>
      </c>
      <c r="D114" s="180">
        <v>1</v>
      </c>
      <c r="E114" s="180">
        <v>0</v>
      </c>
      <c r="F114" s="180">
        <v>0</v>
      </c>
      <c r="G114" s="180">
        <v>0</v>
      </c>
      <c r="H114" s="180">
        <v>12</v>
      </c>
      <c r="I114" s="180">
        <v>14</v>
      </c>
      <c r="J114" s="180">
        <v>1</v>
      </c>
      <c r="K114" s="180">
        <v>0</v>
      </c>
      <c r="L114" s="180">
        <v>0</v>
      </c>
      <c r="M114" s="180">
        <v>3</v>
      </c>
      <c r="N114" s="180">
        <v>1</v>
      </c>
      <c r="O114" s="180">
        <v>4</v>
      </c>
      <c r="P114" s="180">
        <v>7</v>
      </c>
      <c r="Q114" s="180">
        <v>1</v>
      </c>
      <c r="R114" s="180">
        <v>2</v>
      </c>
      <c r="S114" s="180">
        <v>4</v>
      </c>
      <c r="T114" s="180">
        <v>1</v>
      </c>
    </row>
    <row r="115" spans="1:36" ht="15">
      <c r="A115" t="s">
        <v>1316</v>
      </c>
      <c r="B115" t="s">
        <v>282</v>
      </c>
      <c r="C115" t="str">
        <f t="shared" si="2"/>
        <v>7A200TFF1156</v>
      </c>
      <c r="D115" s="180">
        <v>1</v>
      </c>
      <c r="E115" s="180">
        <v>0</v>
      </c>
      <c r="F115" s="180">
        <v>0</v>
      </c>
      <c r="G115" s="180">
        <v>0</v>
      </c>
      <c r="H115" s="180">
        <v>12</v>
      </c>
      <c r="I115" s="180">
        <v>14</v>
      </c>
      <c r="J115" s="180">
        <v>1</v>
      </c>
      <c r="K115" s="180">
        <v>0</v>
      </c>
      <c r="L115" s="180">
        <v>0</v>
      </c>
      <c r="M115" s="180">
        <v>3</v>
      </c>
      <c r="N115" s="180">
        <v>1</v>
      </c>
      <c r="O115" s="180">
        <v>5</v>
      </c>
      <c r="P115" s="180">
        <v>9</v>
      </c>
      <c r="Q115" s="180">
        <v>1</v>
      </c>
      <c r="R115" s="180">
        <v>2</v>
      </c>
      <c r="S115" s="180">
        <v>4</v>
      </c>
      <c r="T115" s="180">
        <v>1</v>
      </c>
    </row>
    <row r="116" spans="1:36" ht="15">
      <c r="A116" t="s">
        <v>1336</v>
      </c>
      <c r="B116" t="s">
        <v>282</v>
      </c>
      <c r="C116" t="str">
        <f t="shared" si="2"/>
        <v>7A200TSB484</v>
      </c>
      <c r="D116" s="180">
        <v>1</v>
      </c>
      <c r="E116" s="180">
        <v>0</v>
      </c>
      <c r="F116" s="180">
        <v>0</v>
      </c>
      <c r="G116" s="180">
        <v>0</v>
      </c>
      <c r="H116" s="180">
        <v>12</v>
      </c>
      <c r="I116" s="180">
        <v>14</v>
      </c>
      <c r="J116" s="180">
        <v>1</v>
      </c>
      <c r="K116" s="180">
        <v>0</v>
      </c>
      <c r="L116" s="180">
        <v>0</v>
      </c>
      <c r="M116" s="180">
        <v>3</v>
      </c>
      <c r="N116" s="180">
        <v>1</v>
      </c>
      <c r="O116" s="180">
        <v>3</v>
      </c>
      <c r="P116" s="180">
        <v>5</v>
      </c>
      <c r="Q116" s="180">
        <v>1</v>
      </c>
      <c r="R116" s="180">
        <v>2</v>
      </c>
      <c r="S116" s="180">
        <v>4</v>
      </c>
      <c r="T116" s="180">
        <v>1</v>
      </c>
    </row>
    <row r="117" spans="1:36" ht="15">
      <c r="A117" s="76" t="s">
        <v>1351</v>
      </c>
      <c r="B117" s="9" t="s">
        <v>867</v>
      </c>
      <c r="C117" t="str">
        <f t="shared" si="2"/>
        <v>7A35TCP236</v>
      </c>
      <c r="D117" s="180">
        <v>0</v>
      </c>
      <c r="E117" s="180">
        <v>0</v>
      </c>
      <c r="F117" s="180">
        <v>1</v>
      </c>
      <c r="G117" s="180">
        <v>0</v>
      </c>
      <c r="H117" s="180">
        <v>2</v>
      </c>
      <c r="I117" s="180">
        <v>3</v>
      </c>
      <c r="J117" s="180">
        <v>0</v>
      </c>
      <c r="K117" s="180">
        <v>1</v>
      </c>
      <c r="L117" s="180">
        <v>0</v>
      </c>
      <c r="M117" s="180">
        <v>1</v>
      </c>
      <c r="N117" s="180">
        <v>1</v>
      </c>
      <c r="O117" s="180">
        <v>1</v>
      </c>
      <c r="P117" s="180">
        <v>2</v>
      </c>
      <c r="Q117" s="180">
        <v>1</v>
      </c>
      <c r="R117" s="180">
        <v>2</v>
      </c>
      <c r="S117" s="180">
        <v>4</v>
      </c>
      <c r="T117" s="180">
        <v>1</v>
      </c>
    </row>
    <row r="118" spans="1:36" ht="15">
      <c r="A118" s="76" t="s">
        <v>1335</v>
      </c>
      <c r="B118" s="9" t="s">
        <v>867</v>
      </c>
      <c r="C118" t="str">
        <f t="shared" si="2"/>
        <v>7A35TCS324</v>
      </c>
      <c r="D118" s="180">
        <v>0</v>
      </c>
      <c r="E118" s="180">
        <v>0</v>
      </c>
      <c r="F118" s="180">
        <v>1</v>
      </c>
      <c r="G118" s="180">
        <v>0</v>
      </c>
      <c r="H118" s="180">
        <v>2</v>
      </c>
      <c r="I118" s="180">
        <v>3</v>
      </c>
      <c r="J118" s="180">
        <v>0</v>
      </c>
      <c r="K118" s="180">
        <v>1</v>
      </c>
      <c r="L118" s="180">
        <v>0</v>
      </c>
      <c r="M118" s="180">
        <v>1</v>
      </c>
      <c r="N118" s="180">
        <v>1</v>
      </c>
      <c r="O118" s="180">
        <v>2</v>
      </c>
      <c r="P118" s="180">
        <v>4</v>
      </c>
      <c r="Q118" s="180">
        <v>1</v>
      </c>
      <c r="R118" s="180">
        <v>2</v>
      </c>
      <c r="S118" s="180">
        <v>4</v>
      </c>
      <c r="T118" s="180">
        <v>1</v>
      </c>
    </row>
    <row r="119" spans="1:36" ht="15">
      <c r="A119" s="76" t="s">
        <v>1337</v>
      </c>
      <c r="B119" s="9" t="s">
        <v>867</v>
      </c>
      <c r="C119" t="str">
        <f t="shared" si="2"/>
        <v>7A35TCS325</v>
      </c>
      <c r="D119" s="180">
        <v>0</v>
      </c>
      <c r="E119" s="180">
        <v>0</v>
      </c>
      <c r="F119" s="180">
        <v>1</v>
      </c>
      <c r="G119" s="180">
        <v>0</v>
      </c>
      <c r="H119" s="180">
        <v>2</v>
      </c>
      <c r="I119" s="180">
        <v>3</v>
      </c>
      <c r="J119" s="180">
        <v>0</v>
      </c>
      <c r="K119" s="180">
        <v>1</v>
      </c>
      <c r="L119" s="180">
        <v>0</v>
      </c>
      <c r="M119" s="180">
        <v>1</v>
      </c>
      <c r="N119" s="180">
        <v>1</v>
      </c>
      <c r="O119" s="180">
        <v>2</v>
      </c>
      <c r="P119" s="180">
        <v>3</v>
      </c>
      <c r="Q119" s="180">
        <v>1</v>
      </c>
      <c r="R119" s="180">
        <v>2</v>
      </c>
      <c r="S119" s="180">
        <v>4</v>
      </c>
      <c r="T119" s="180">
        <v>1</v>
      </c>
    </row>
    <row r="120" spans="1:36" ht="15">
      <c r="A120" s="2" t="s">
        <v>1339</v>
      </c>
      <c r="B120" s="9" t="s">
        <v>867</v>
      </c>
      <c r="C120" t="str">
        <f t="shared" si="2"/>
        <v>7A35TFG484</v>
      </c>
      <c r="D120" s="180">
        <v>0</v>
      </c>
      <c r="E120" s="180">
        <v>0</v>
      </c>
      <c r="F120" s="180">
        <v>1</v>
      </c>
      <c r="G120" s="180">
        <v>0</v>
      </c>
      <c r="H120" s="180">
        <v>2</v>
      </c>
      <c r="I120" s="180">
        <v>3</v>
      </c>
      <c r="J120" s="180">
        <v>0</v>
      </c>
      <c r="K120" s="180">
        <v>1</v>
      </c>
      <c r="L120" s="180">
        <v>0</v>
      </c>
      <c r="M120" s="180">
        <v>1</v>
      </c>
      <c r="N120" s="180">
        <v>1</v>
      </c>
      <c r="O120" s="180">
        <v>2</v>
      </c>
      <c r="P120" s="180">
        <v>5</v>
      </c>
      <c r="Q120" s="180">
        <v>1</v>
      </c>
      <c r="R120" s="180">
        <v>2</v>
      </c>
      <c r="S120" s="180">
        <v>4</v>
      </c>
      <c r="T120" s="180">
        <v>1</v>
      </c>
    </row>
    <row r="121" spans="1:36" ht="15">
      <c r="A121" s="171" t="s">
        <v>1338</v>
      </c>
      <c r="B121" s="9" t="s">
        <v>867</v>
      </c>
      <c r="C121" t="str">
        <f t="shared" si="2"/>
        <v>7A35TFT256</v>
      </c>
      <c r="D121" s="180">
        <v>0</v>
      </c>
      <c r="E121" s="180">
        <v>0</v>
      </c>
      <c r="F121" s="180">
        <v>1</v>
      </c>
      <c r="G121" s="180">
        <v>0</v>
      </c>
      <c r="H121" s="180">
        <v>2</v>
      </c>
      <c r="I121" s="180">
        <v>3</v>
      </c>
      <c r="J121" s="180">
        <v>0</v>
      </c>
      <c r="K121" s="180">
        <v>1</v>
      </c>
      <c r="L121" s="180">
        <v>0</v>
      </c>
      <c r="M121" s="180">
        <v>1</v>
      </c>
      <c r="N121" s="180">
        <v>1</v>
      </c>
      <c r="O121" s="180">
        <v>2</v>
      </c>
      <c r="P121" s="180">
        <v>3</v>
      </c>
      <c r="Q121" s="180">
        <v>1</v>
      </c>
      <c r="R121" s="180">
        <v>2</v>
      </c>
      <c r="S121" s="180">
        <v>4</v>
      </c>
      <c r="T121" s="180">
        <v>1</v>
      </c>
    </row>
    <row r="122" spans="1:36" ht="15">
      <c r="A122" s="107" t="s">
        <v>1351</v>
      </c>
      <c r="B122" s="9" t="s">
        <v>868</v>
      </c>
      <c r="C122" t="str">
        <f t="shared" si="2"/>
        <v>7A50TCP236</v>
      </c>
      <c r="D122" s="180">
        <v>0</v>
      </c>
      <c r="E122" s="180">
        <v>1</v>
      </c>
      <c r="F122" s="180">
        <v>0</v>
      </c>
      <c r="G122" s="180">
        <v>0</v>
      </c>
      <c r="H122" s="180">
        <v>3</v>
      </c>
      <c r="I122" s="180">
        <v>5</v>
      </c>
      <c r="J122" s="180">
        <v>1</v>
      </c>
      <c r="K122" s="180">
        <v>0</v>
      </c>
      <c r="L122" s="180">
        <v>0</v>
      </c>
      <c r="M122" s="180">
        <v>1</v>
      </c>
      <c r="N122" s="180">
        <v>1</v>
      </c>
      <c r="O122" s="180">
        <v>1</v>
      </c>
      <c r="P122" s="180">
        <v>2</v>
      </c>
      <c r="Q122" s="180">
        <v>1</v>
      </c>
      <c r="R122" s="180">
        <v>2</v>
      </c>
      <c r="S122" s="180">
        <v>4</v>
      </c>
      <c r="T122" s="180">
        <v>1</v>
      </c>
    </row>
    <row r="123" spans="1:36" ht="15">
      <c r="A123" s="76" t="s">
        <v>1335</v>
      </c>
      <c r="B123" s="9" t="s">
        <v>868</v>
      </c>
      <c r="C123" t="str">
        <f t="shared" si="2"/>
        <v>7A50TCS324</v>
      </c>
      <c r="D123" s="180">
        <v>0</v>
      </c>
      <c r="E123" s="180">
        <v>1</v>
      </c>
      <c r="F123" s="180">
        <v>0</v>
      </c>
      <c r="G123" s="180">
        <v>0</v>
      </c>
      <c r="H123" s="180">
        <v>3</v>
      </c>
      <c r="I123" s="180">
        <v>5</v>
      </c>
      <c r="J123" s="180">
        <v>1</v>
      </c>
      <c r="K123" s="180">
        <v>0</v>
      </c>
      <c r="L123" s="180">
        <v>0</v>
      </c>
      <c r="M123" s="180">
        <v>1</v>
      </c>
      <c r="N123" s="180">
        <v>1</v>
      </c>
      <c r="O123" s="180">
        <v>2</v>
      </c>
      <c r="P123" s="180">
        <v>4</v>
      </c>
      <c r="Q123" s="180">
        <v>1</v>
      </c>
      <c r="R123" s="180">
        <v>2</v>
      </c>
      <c r="S123" s="180">
        <v>4</v>
      </c>
      <c r="T123" s="180">
        <v>1</v>
      </c>
    </row>
    <row r="124" spans="1:36" ht="15">
      <c r="A124" s="76" t="s">
        <v>1337</v>
      </c>
      <c r="B124" s="9" t="s">
        <v>868</v>
      </c>
      <c r="C124" t="str">
        <f t="shared" si="2"/>
        <v>7A50TCS325</v>
      </c>
      <c r="D124" s="180">
        <v>0</v>
      </c>
      <c r="E124" s="180">
        <v>1</v>
      </c>
      <c r="F124" s="180">
        <v>0</v>
      </c>
      <c r="G124" s="180">
        <v>0</v>
      </c>
      <c r="H124" s="180">
        <v>3</v>
      </c>
      <c r="I124" s="180">
        <v>5</v>
      </c>
      <c r="J124" s="180">
        <v>1</v>
      </c>
      <c r="K124" s="180">
        <v>0</v>
      </c>
      <c r="L124" s="180">
        <v>0</v>
      </c>
      <c r="M124" s="180">
        <v>1</v>
      </c>
      <c r="N124" s="180">
        <v>1</v>
      </c>
      <c r="O124" s="180">
        <v>2</v>
      </c>
      <c r="P124" s="180">
        <v>3</v>
      </c>
      <c r="Q124" s="180">
        <v>1</v>
      </c>
      <c r="R124" s="180">
        <v>2</v>
      </c>
      <c r="S124" s="180">
        <v>4</v>
      </c>
      <c r="T124" s="180">
        <v>1</v>
      </c>
    </row>
    <row r="125" spans="1:36" ht="15">
      <c r="A125" s="2" t="s">
        <v>1339</v>
      </c>
      <c r="B125" s="9" t="s">
        <v>868</v>
      </c>
      <c r="C125" t="str">
        <f t="shared" si="2"/>
        <v>7A50TFG484</v>
      </c>
      <c r="D125" s="180">
        <v>0</v>
      </c>
      <c r="E125" s="180">
        <v>1</v>
      </c>
      <c r="F125" s="180">
        <v>0</v>
      </c>
      <c r="G125" s="180">
        <v>0</v>
      </c>
      <c r="H125" s="180">
        <v>3</v>
      </c>
      <c r="I125" s="180">
        <v>5</v>
      </c>
      <c r="J125" s="180">
        <v>1</v>
      </c>
      <c r="K125" s="180">
        <v>0</v>
      </c>
      <c r="L125" s="180">
        <v>0</v>
      </c>
      <c r="M125" s="180">
        <v>1</v>
      </c>
      <c r="N125" s="180">
        <v>1</v>
      </c>
      <c r="O125" s="180">
        <v>2</v>
      </c>
      <c r="P125" s="180">
        <v>5</v>
      </c>
      <c r="Q125" s="180">
        <v>1</v>
      </c>
      <c r="R125" s="180">
        <v>2</v>
      </c>
      <c r="S125" s="180">
        <v>4</v>
      </c>
      <c r="T125" s="180">
        <v>1</v>
      </c>
    </row>
    <row r="126" spans="1:36" ht="15">
      <c r="A126" s="171" t="s">
        <v>1338</v>
      </c>
      <c r="B126" s="9" t="s">
        <v>868</v>
      </c>
      <c r="C126" t="str">
        <f t="shared" si="2"/>
        <v>7A50TFT256</v>
      </c>
      <c r="D126" s="180">
        <v>0</v>
      </c>
      <c r="E126" s="180">
        <v>1</v>
      </c>
      <c r="F126" s="180">
        <v>0</v>
      </c>
      <c r="G126" s="180">
        <v>0</v>
      </c>
      <c r="H126" s="180">
        <v>3</v>
      </c>
      <c r="I126" s="180">
        <v>5</v>
      </c>
      <c r="J126" s="180">
        <v>1</v>
      </c>
      <c r="K126" s="180">
        <v>0</v>
      </c>
      <c r="L126" s="180">
        <v>0</v>
      </c>
      <c r="M126" s="180">
        <v>1</v>
      </c>
      <c r="N126" s="180">
        <v>1</v>
      </c>
      <c r="O126" s="180">
        <v>2</v>
      </c>
      <c r="P126" s="180">
        <v>3</v>
      </c>
      <c r="Q126" s="180">
        <v>1</v>
      </c>
      <c r="R126" s="180">
        <v>2</v>
      </c>
      <c r="S126" s="180">
        <v>4</v>
      </c>
      <c r="T126" s="180">
        <v>1</v>
      </c>
      <c r="AJ126" s="174"/>
    </row>
    <row r="127" spans="1:36" ht="15">
      <c r="A127" s="76" t="s">
        <v>1335</v>
      </c>
      <c r="B127" t="s">
        <v>869</v>
      </c>
      <c r="C127" t="str">
        <f t="shared" si="2"/>
        <v>7A75TCS324</v>
      </c>
      <c r="D127" s="180">
        <v>0</v>
      </c>
      <c r="E127" s="180">
        <v>1</v>
      </c>
      <c r="F127" s="180">
        <v>0</v>
      </c>
      <c r="G127" s="180">
        <v>0</v>
      </c>
      <c r="H127" s="180">
        <v>4</v>
      </c>
      <c r="I127" s="180">
        <v>6</v>
      </c>
      <c r="J127" s="180">
        <v>1</v>
      </c>
      <c r="K127" s="180">
        <v>0</v>
      </c>
      <c r="L127" s="180">
        <v>0</v>
      </c>
      <c r="M127" s="180">
        <v>2</v>
      </c>
      <c r="N127" s="180">
        <v>1</v>
      </c>
      <c r="O127" s="180">
        <v>2</v>
      </c>
      <c r="P127" s="180">
        <v>4</v>
      </c>
      <c r="Q127" s="180">
        <v>1</v>
      </c>
      <c r="R127" s="180">
        <v>2</v>
      </c>
      <c r="S127" s="180">
        <v>4</v>
      </c>
      <c r="T127" s="180">
        <v>1</v>
      </c>
      <c r="AJ127" s="174"/>
    </row>
    <row r="128" spans="1:36" ht="15">
      <c r="A128" s="2" t="s">
        <v>1339</v>
      </c>
      <c r="B128" t="s">
        <v>869</v>
      </c>
      <c r="C128" t="str">
        <f t="shared" si="2"/>
        <v>7A75TFG484</v>
      </c>
      <c r="D128" s="180">
        <v>0</v>
      </c>
      <c r="E128" s="180">
        <v>1</v>
      </c>
      <c r="F128" s="180">
        <v>0</v>
      </c>
      <c r="G128" s="180">
        <v>0</v>
      </c>
      <c r="H128" s="180">
        <v>4</v>
      </c>
      <c r="I128" s="180">
        <v>6</v>
      </c>
      <c r="J128" s="180">
        <v>1</v>
      </c>
      <c r="K128" s="180">
        <v>0</v>
      </c>
      <c r="L128" s="180">
        <v>0</v>
      </c>
      <c r="M128" s="180">
        <v>2</v>
      </c>
      <c r="N128" s="180">
        <v>1</v>
      </c>
      <c r="O128" s="180">
        <v>3</v>
      </c>
      <c r="P128" s="180">
        <v>5</v>
      </c>
      <c r="Q128" s="180">
        <v>1</v>
      </c>
      <c r="R128" s="180">
        <v>2</v>
      </c>
      <c r="S128" s="180">
        <v>4</v>
      </c>
      <c r="T128" s="180">
        <v>1</v>
      </c>
      <c r="AJ128" s="174"/>
    </row>
    <row r="129" spans="1:36" ht="15">
      <c r="A129" s="76" t="s">
        <v>1340</v>
      </c>
      <c r="B129" t="s">
        <v>869</v>
      </c>
      <c r="C129" t="str">
        <f t="shared" si="2"/>
        <v>7A75TFG676</v>
      </c>
      <c r="D129" s="180">
        <v>0</v>
      </c>
      <c r="E129" s="180">
        <v>1</v>
      </c>
      <c r="F129" s="180">
        <v>0</v>
      </c>
      <c r="G129" s="180">
        <v>0</v>
      </c>
      <c r="H129" s="180">
        <v>4</v>
      </c>
      <c r="I129" s="180">
        <v>6</v>
      </c>
      <c r="J129" s="180">
        <v>1</v>
      </c>
      <c r="K129" s="180">
        <v>0</v>
      </c>
      <c r="L129" s="180">
        <v>0</v>
      </c>
      <c r="M129" s="180">
        <v>2</v>
      </c>
      <c r="N129" s="180">
        <v>1</v>
      </c>
      <c r="O129" s="180">
        <v>3</v>
      </c>
      <c r="P129" s="180">
        <v>5</v>
      </c>
      <c r="Q129" s="180">
        <v>1</v>
      </c>
      <c r="R129" s="180">
        <v>2</v>
      </c>
      <c r="S129" s="180">
        <v>4</v>
      </c>
      <c r="T129" s="180">
        <v>1</v>
      </c>
      <c r="AJ129" s="174"/>
    </row>
    <row r="130" spans="1:36" ht="15">
      <c r="A130" s="76" t="s">
        <v>1338</v>
      </c>
      <c r="B130" t="s">
        <v>869</v>
      </c>
      <c r="C130" t="str">
        <f t="shared" si="2"/>
        <v>7A75TFT256</v>
      </c>
      <c r="D130" s="180">
        <v>0</v>
      </c>
      <c r="E130" s="180">
        <v>1</v>
      </c>
      <c r="F130" s="180">
        <v>0</v>
      </c>
      <c r="G130" s="180">
        <v>0</v>
      </c>
      <c r="H130" s="180">
        <v>4</v>
      </c>
      <c r="I130" s="180">
        <v>6</v>
      </c>
      <c r="J130" s="180">
        <v>1</v>
      </c>
      <c r="K130" s="180">
        <v>0</v>
      </c>
      <c r="L130" s="180">
        <v>0</v>
      </c>
      <c r="M130" s="180">
        <v>2</v>
      </c>
      <c r="N130" s="180">
        <v>1</v>
      </c>
      <c r="O130" s="180">
        <v>2</v>
      </c>
      <c r="P130" s="180">
        <v>3</v>
      </c>
      <c r="Q130" s="180">
        <v>1</v>
      </c>
      <c r="R130" s="180">
        <v>2</v>
      </c>
      <c r="S130" s="180">
        <v>4</v>
      </c>
      <c r="T130" s="180">
        <v>1</v>
      </c>
      <c r="AJ130" s="174"/>
    </row>
    <row r="131" spans="1:36" ht="15">
      <c r="A131" t="s">
        <v>1341</v>
      </c>
      <c r="B131" t="s">
        <v>285</v>
      </c>
      <c r="C131" t="str">
        <f t="shared" si="2"/>
        <v>7Z010CL225</v>
      </c>
      <c r="D131" s="193">
        <v>0</v>
      </c>
      <c r="E131" s="193">
        <v>0</v>
      </c>
      <c r="F131" s="193">
        <v>1</v>
      </c>
      <c r="G131" s="194">
        <v>0</v>
      </c>
      <c r="H131" s="193">
        <v>1</v>
      </c>
      <c r="I131" s="193">
        <v>2</v>
      </c>
      <c r="J131" s="193">
        <v>0</v>
      </c>
      <c r="K131" s="193">
        <v>0</v>
      </c>
      <c r="L131" s="193">
        <v>0</v>
      </c>
      <c r="M131" s="193">
        <v>0</v>
      </c>
      <c r="N131" s="193">
        <v>1</v>
      </c>
      <c r="O131" s="193">
        <v>1</v>
      </c>
      <c r="P131" s="193">
        <v>1</v>
      </c>
      <c r="Q131" s="193">
        <v>1</v>
      </c>
      <c r="R131" s="193">
        <v>2</v>
      </c>
      <c r="S131" s="193">
        <v>4</v>
      </c>
      <c r="T131" s="193">
        <v>1</v>
      </c>
      <c r="U131" s="196">
        <v>1</v>
      </c>
      <c r="V131" s="195">
        <v>1</v>
      </c>
      <c r="W131" s="195">
        <v>3</v>
      </c>
      <c r="X131" s="195">
        <v>1</v>
      </c>
      <c r="Y131" s="196">
        <v>1</v>
      </c>
      <c r="Z131" s="195">
        <v>1</v>
      </c>
      <c r="AA131" s="195">
        <v>1</v>
      </c>
      <c r="AB131" s="195">
        <v>1</v>
      </c>
      <c r="AC131" s="195">
        <v>4</v>
      </c>
      <c r="AD131" s="195">
        <v>1</v>
      </c>
      <c r="AE131" s="195">
        <v>1</v>
      </c>
      <c r="AF131" s="195">
        <v>1</v>
      </c>
      <c r="AG131" s="195">
        <v>1</v>
      </c>
      <c r="AH131" s="195">
        <v>1</v>
      </c>
      <c r="AI131" s="195">
        <v>1</v>
      </c>
      <c r="AJ131" s="174"/>
    </row>
    <row r="132" spans="1:36" ht="15">
      <c r="A132" t="s">
        <v>1343</v>
      </c>
      <c r="B132" t="s">
        <v>285</v>
      </c>
      <c r="C132" t="str">
        <f t="shared" si="2"/>
        <v>7Z010CL400</v>
      </c>
      <c r="D132" s="193">
        <v>0</v>
      </c>
      <c r="E132" s="193">
        <v>0</v>
      </c>
      <c r="F132" s="193">
        <v>1</v>
      </c>
      <c r="G132" s="194">
        <v>0</v>
      </c>
      <c r="H132" s="193">
        <v>1</v>
      </c>
      <c r="I132" s="193">
        <v>2</v>
      </c>
      <c r="J132" s="193">
        <v>0</v>
      </c>
      <c r="K132" s="193">
        <v>1</v>
      </c>
      <c r="L132" s="193">
        <v>1</v>
      </c>
      <c r="M132" s="193">
        <v>1</v>
      </c>
      <c r="N132" s="193">
        <v>1</v>
      </c>
      <c r="O132" s="193">
        <v>1</v>
      </c>
      <c r="P132" s="193">
        <v>1</v>
      </c>
      <c r="Q132" s="193">
        <v>1</v>
      </c>
      <c r="R132" s="193">
        <v>2</v>
      </c>
      <c r="S132" s="193">
        <v>4</v>
      </c>
      <c r="T132" s="193">
        <v>1</v>
      </c>
      <c r="U132" s="196">
        <v>1</v>
      </c>
      <c r="V132" s="195">
        <v>1</v>
      </c>
      <c r="W132" s="195">
        <v>3</v>
      </c>
      <c r="X132" s="195">
        <v>1</v>
      </c>
      <c r="Y132" s="196">
        <v>1</v>
      </c>
      <c r="Z132" s="195">
        <v>1</v>
      </c>
      <c r="AA132" s="195">
        <v>1</v>
      </c>
      <c r="AB132" s="195">
        <v>1</v>
      </c>
      <c r="AC132" s="195">
        <v>4</v>
      </c>
      <c r="AD132" s="195">
        <v>1</v>
      </c>
      <c r="AE132" s="195">
        <v>1</v>
      </c>
      <c r="AF132" s="195">
        <v>1</v>
      </c>
      <c r="AG132" s="195">
        <v>1</v>
      </c>
      <c r="AH132" s="195">
        <v>1</v>
      </c>
      <c r="AI132" s="195">
        <v>1</v>
      </c>
      <c r="AJ132" s="174"/>
    </row>
    <row r="133" spans="1:36" ht="15">
      <c r="A133" s="85" t="s">
        <v>1342</v>
      </c>
      <c r="B133" s="85" t="s">
        <v>826</v>
      </c>
      <c r="C133" t="str">
        <f t="shared" si="2"/>
        <v>7Z015CL485</v>
      </c>
      <c r="D133" s="193">
        <v>0</v>
      </c>
      <c r="E133" s="193">
        <v>1</v>
      </c>
      <c r="F133" s="193">
        <v>0</v>
      </c>
      <c r="G133" s="194">
        <v>0</v>
      </c>
      <c r="H133" s="193">
        <v>2</v>
      </c>
      <c r="I133" s="193">
        <v>4</v>
      </c>
      <c r="J133" s="193">
        <v>1</v>
      </c>
      <c r="K133" s="193">
        <v>0</v>
      </c>
      <c r="L133" s="193">
        <v>1</v>
      </c>
      <c r="M133" s="193">
        <v>1</v>
      </c>
      <c r="N133" s="193">
        <v>1</v>
      </c>
      <c r="O133" s="193">
        <v>1</v>
      </c>
      <c r="P133" s="193">
        <v>2</v>
      </c>
      <c r="Q133" s="193">
        <v>1</v>
      </c>
      <c r="R133" s="193">
        <v>2</v>
      </c>
      <c r="S133" s="193">
        <v>4</v>
      </c>
      <c r="T133" s="193">
        <v>1</v>
      </c>
      <c r="U133" s="197">
        <v>1</v>
      </c>
      <c r="V133" s="195">
        <v>1</v>
      </c>
      <c r="W133" s="195">
        <v>3</v>
      </c>
      <c r="X133" s="195">
        <v>1</v>
      </c>
      <c r="Y133" s="196">
        <v>1</v>
      </c>
      <c r="Z133" s="195">
        <v>1</v>
      </c>
      <c r="AA133" s="195">
        <v>1</v>
      </c>
      <c r="AB133" s="195">
        <v>1</v>
      </c>
      <c r="AC133" s="195">
        <v>4</v>
      </c>
      <c r="AD133" s="195">
        <v>1</v>
      </c>
      <c r="AE133" s="195">
        <v>1</v>
      </c>
      <c r="AF133" s="195">
        <v>1</v>
      </c>
      <c r="AG133" s="195">
        <v>1</v>
      </c>
      <c r="AH133" s="195">
        <v>1</v>
      </c>
      <c r="AI133" s="195">
        <v>1</v>
      </c>
      <c r="AJ133" s="174"/>
    </row>
    <row r="134" spans="1:36" ht="15">
      <c r="A134" t="s">
        <v>1343</v>
      </c>
      <c r="B134" t="s">
        <v>286</v>
      </c>
      <c r="C134" t="str">
        <f t="shared" si="2"/>
        <v>7Z020CL400</v>
      </c>
      <c r="D134" s="193">
        <v>0</v>
      </c>
      <c r="E134" s="193">
        <v>1</v>
      </c>
      <c r="F134" s="193">
        <v>0</v>
      </c>
      <c r="G134" s="194">
        <v>0</v>
      </c>
      <c r="H134" s="193">
        <v>2</v>
      </c>
      <c r="I134" s="193">
        <v>4</v>
      </c>
      <c r="J134" s="193">
        <v>1</v>
      </c>
      <c r="K134" s="193">
        <v>0</v>
      </c>
      <c r="L134" s="193">
        <v>1</v>
      </c>
      <c r="M134" s="193">
        <v>1</v>
      </c>
      <c r="N134" s="193">
        <v>1</v>
      </c>
      <c r="O134" s="193">
        <v>1</v>
      </c>
      <c r="P134" s="193">
        <v>1</v>
      </c>
      <c r="Q134" s="193">
        <v>1</v>
      </c>
      <c r="R134" s="193">
        <v>2</v>
      </c>
      <c r="S134" s="193">
        <v>4</v>
      </c>
      <c r="T134" s="193">
        <v>1</v>
      </c>
      <c r="U134" s="196">
        <v>1</v>
      </c>
      <c r="V134" s="195">
        <v>1</v>
      </c>
      <c r="W134" s="195">
        <v>3</v>
      </c>
      <c r="X134" s="195">
        <v>1</v>
      </c>
      <c r="Y134" s="196">
        <v>1</v>
      </c>
      <c r="Z134" s="195">
        <v>1</v>
      </c>
      <c r="AA134" s="195">
        <v>1</v>
      </c>
      <c r="AB134" s="195">
        <v>1</v>
      </c>
      <c r="AC134" s="195">
        <v>4</v>
      </c>
      <c r="AD134" s="195">
        <v>1</v>
      </c>
      <c r="AE134" s="195">
        <v>1</v>
      </c>
      <c r="AF134" s="195">
        <v>1</v>
      </c>
      <c r="AG134" s="195">
        <v>1</v>
      </c>
      <c r="AH134" s="195">
        <v>1</v>
      </c>
      <c r="AI134" s="195">
        <v>1</v>
      </c>
      <c r="AJ134" s="174"/>
    </row>
    <row r="135" spans="1:36" ht="15">
      <c r="A135" t="s">
        <v>1344</v>
      </c>
      <c r="B135" t="s">
        <v>286</v>
      </c>
      <c r="C135" t="str">
        <f t="shared" si="2"/>
        <v>7Z020CL484</v>
      </c>
      <c r="D135" s="193">
        <v>0</v>
      </c>
      <c r="E135" s="193">
        <v>1</v>
      </c>
      <c r="F135" s="193">
        <v>0</v>
      </c>
      <c r="G135" s="194">
        <v>0</v>
      </c>
      <c r="H135" s="193">
        <v>2</v>
      </c>
      <c r="I135" s="193">
        <v>4</v>
      </c>
      <c r="J135" s="193">
        <v>1</v>
      </c>
      <c r="K135" s="193">
        <v>0</v>
      </c>
      <c r="L135" s="193">
        <v>1</v>
      </c>
      <c r="M135" s="193">
        <v>1</v>
      </c>
      <c r="N135" s="193">
        <v>1</v>
      </c>
      <c r="O135" s="193">
        <v>1</v>
      </c>
      <c r="P135" s="193">
        <v>2</v>
      </c>
      <c r="Q135" s="193">
        <v>1</v>
      </c>
      <c r="R135" s="193">
        <v>2</v>
      </c>
      <c r="S135" s="193">
        <v>4</v>
      </c>
      <c r="T135" s="193">
        <v>1</v>
      </c>
      <c r="U135" s="196">
        <v>1</v>
      </c>
      <c r="V135" s="195">
        <v>1</v>
      </c>
      <c r="W135" s="195">
        <v>3</v>
      </c>
      <c r="X135" s="195">
        <v>1</v>
      </c>
      <c r="Y135" s="196">
        <v>1</v>
      </c>
      <c r="Z135" s="195">
        <v>1</v>
      </c>
      <c r="AA135" s="195">
        <v>1</v>
      </c>
      <c r="AB135" s="195">
        <v>1</v>
      </c>
      <c r="AC135" s="195">
        <v>4</v>
      </c>
      <c r="AD135" s="195">
        <v>1</v>
      </c>
      <c r="AE135" s="195">
        <v>1</v>
      </c>
      <c r="AF135" s="195">
        <v>1</v>
      </c>
      <c r="AG135" s="195">
        <v>1</v>
      </c>
      <c r="AH135" s="195">
        <v>1</v>
      </c>
      <c r="AI135" s="195">
        <v>1</v>
      </c>
      <c r="AJ135" s="174"/>
    </row>
    <row r="136" spans="1:36" ht="15">
      <c r="A136" t="s">
        <v>1312</v>
      </c>
      <c r="B136" t="s">
        <v>455</v>
      </c>
      <c r="C136" t="str">
        <f t="shared" si="2"/>
        <v>7Z030FB484</v>
      </c>
      <c r="D136" s="193">
        <v>0</v>
      </c>
      <c r="E136" s="193">
        <v>1</v>
      </c>
      <c r="F136" s="193">
        <v>0</v>
      </c>
      <c r="G136" s="194">
        <v>0</v>
      </c>
      <c r="H136" s="193">
        <v>1</v>
      </c>
      <c r="I136" s="193">
        <v>0</v>
      </c>
      <c r="J136" s="193">
        <v>1</v>
      </c>
      <c r="K136" s="193">
        <v>0</v>
      </c>
      <c r="L136" s="193">
        <v>1</v>
      </c>
      <c r="M136" s="193">
        <v>2</v>
      </c>
      <c r="N136" s="193">
        <v>1</v>
      </c>
      <c r="O136" s="193">
        <v>0</v>
      </c>
      <c r="P136" s="193">
        <v>0</v>
      </c>
      <c r="Q136" s="193">
        <v>1</v>
      </c>
      <c r="R136" s="193">
        <v>0</v>
      </c>
      <c r="S136" s="193">
        <v>0</v>
      </c>
      <c r="T136" s="193">
        <v>1</v>
      </c>
      <c r="U136" s="196">
        <v>1</v>
      </c>
      <c r="V136" s="195">
        <v>0</v>
      </c>
      <c r="W136" s="195">
        <v>0</v>
      </c>
      <c r="X136" s="195">
        <v>1</v>
      </c>
      <c r="Y136" s="196">
        <v>1</v>
      </c>
      <c r="Z136" s="195">
        <v>1</v>
      </c>
      <c r="AA136" s="195">
        <v>1</v>
      </c>
      <c r="AB136" s="195">
        <v>0</v>
      </c>
      <c r="AC136" s="195">
        <v>0</v>
      </c>
      <c r="AD136" s="195">
        <v>1</v>
      </c>
      <c r="AE136" s="195">
        <v>1</v>
      </c>
      <c r="AF136" s="195">
        <v>1</v>
      </c>
      <c r="AG136" s="195">
        <v>1</v>
      </c>
      <c r="AH136" s="195">
        <v>1</v>
      </c>
      <c r="AI136" s="195">
        <v>1</v>
      </c>
      <c r="AJ136" s="174"/>
    </row>
    <row r="137" spans="1:36" ht="15">
      <c r="A137" t="s">
        <v>1313</v>
      </c>
      <c r="B137" t="s">
        <v>455</v>
      </c>
      <c r="C137" t="str">
        <f t="shared" si="2"/>
        <v>7Z030FB676</v>
      </c>
      <c r="D137" s="193">
        <v>0</v>
      </c>
      <c r="E137" s="193">
        <v>1</v>
      </c>
      <c r="F137" s="193">
        <v>0</v>
      </c>
      <c r="G137" s="194">
        <v>0</v>
      </c>
      <c r="H137" s="193">
        <v>1</v>
      </c>
      <c r="I137" s="193">
        <v>0</v>
      </c>
      <c r="J137" s="193">
        <v>1</v>
      </c>
      <c r="K137" s="193">
        <v>0</v>
      </c>
      <c r="L137" s="193">
        <v>1</v>
      </c>
      <c r="M137" s="193">
        <v>2</v>
      </c>
      <c r="N137" s="193">
        <v>1</v>
      </c>
      <c r="O137" s="193">
        <v>0</v>
      </c>
      <c r="P137" s="193">
        <v>0</v>
      </c>
      <c r="Q137" s="193">
        <v>1</v>
      </c>
      <c r="R137" s="193">
        <v>0</v>
      </c>
      <c r="S137" s="193">
        <v>0</v>
      </c>
      <c r="T137" s="193">
        <v>1</v>
      </c>
      <c r="U137" s="196">
        <v>1</v>
      </c>
      <c r="V137" s="195">
        <v>0</v>
      </c>
      <c r="W137" s="195">
        <v>0</v>
      </c>
      <c r="X137" s="195">
        <v>1</v>
      </c>
      <c r="Y137" s="196">
        <v>1</v>
      </c>
      <c r="Z137" s="195">
        <v>1</v>
      </c>
      <c r="AA137" s="195">
        <v>1</v>
      </c>
      <c r="AB137" s="195">
        <v>0</v>
      </c>
      <c r="AC137" s="195">
        <v>0</v>
      </c>
      <c r="AD137" s="195">
        <v>1</v>
      </c>
      <c r="AE137" s="195">
        <v>1</v>
      </c>
      <c r="AF137" s="195">
        <v>1</v>
      </c>
      <c r="AG137" s="195">
        <v>1</v>
      </c>
      <c r="AH137" s="195">
        <v>1</v>
      </c>
      <c r="AI137" s="195">
        <v>1</v>
      </c>
      <c r="AJ137" s="174"/>
    </row>
    <row r="138" spans="1:36" ht="15">
      <c r="A138" t="s">
        <v>1317</v>
      </c>
      <c r="B138" t="s">
        <v>455</v>
      </c>
      <c r="C138" t="str">
        <f t="shared" si="2"/>
        <v>7Z030FF676</v>
      </c>
      <c r="D138" s="193">
        <v>0</v>
      </c>
      <c r="E138" s="193">
        <v>1</v>
      </c>
      <c r="F138" s="193">
        <v>0</v>
      </c>
      <c r="G138" s="194">
        <v>0</v>
      </c>
      <c r="H138" s="193">
        <v>1</v>
      </c>
      <c r="I138" s="193">
        <v>0</v>
      </c>
      <c r="J138" s="193">
        <v>1</v>
      </c>
      <c r="K138" s="193">
        <v>0</v>
      </c>
      <c r="L138" s="193">
        <v>1</v>
      </c>
      <c r="M138" s="193">
        <v>2</v>
      </c>
      <c r="N138" s="193">
        <v>1</v>
      </c>
      <c r="O138" s="193">
        <v>0</v>
      </c>
      <c r="P138" s="193">
        <v>0</v>
      </c>
      <c r="Q138" s="193">
        <v>1</v>
      </c>
      <c r="R138" s="193">
        <v>0</v>
      </c>
      <c r="S138" s="193">
        <v>0</v>
      </c>
      <c r="T138" s="193">
        <v>1</v>
      </c>
      <c r="U138" s="196">
        <v>1</v>
      </c>
      <c r="V138" s="195">
        <v>0</v>
      </c>
      <c r="W138" s="195">
        <v>0</v>
      </c>
      <c r="X138" s="195">
        <v>1</v>
      </c>
      <c r="Y138" s="196">
        <v>1</v>
      </c>
      <c r="Z138" s="195">
        <v>1</v>
      </c>
      <c r="AA138" s="195">
        <v>1</v>
      </c>
      <c r="AB138" s="195">
        <v>0</v>
      </c>
      <c r="AC138" s="195">
        <v>0</v>
      </c>
      <c r="AD138" s="195">
        <v>1</v>
      </c>
      <c r="AE138" s="195">
        <v>1</v>
      </c>
      <c r="AF138" s="195">
        <v>1</v>
      </c>
      <c r="AG138" s="195">
        <v>1</v>
      </c>
      <c r="AH138" s="195">
        <v>1</v>
      </c>
      <c r="AI138" s="195">
        <v>1</v>
      </c>
      <c r="AJ138" s="174"/>
    </row>
    <row r="139" spans="1:36" ht="15">
      <c r="A139" s="85" t="s">
        <v>1350</v>
      </c>
      <c r="B139" s="85" t="s">
        <v>455</v>
      </c>
      <c r="C139" t="str">
        <f t="shared" si="2"/>
        <v>7Z030SB485</v>
      </c>
      <c r="D139" s="193">
        <v>0</v>
      </c>
      <c r="E139" s="193">
        <v>1</v>
      </c>
      <c r="F139" s="193">
        <v>0</v>
      </c>
      <c r="G139" s="194">
        <v>0</v>
      </c>
      <c r="H139" s="193">
        <v>1</v>
      </c>
      <c r="I139" s="193">
        <v>0</v>
      </c>
      <c r="J139" s="193">
        <v>1</v>
      </c>
      <c r="K139" s="193">
        <v>0</v>
      </c>
      <c r="L139" s="193">
        <v>1</v>
      </c>
      <c r="M139" s="193">
        <v>2</v>
      </c>
      <c r="N139" s="193">
        <v>1</v>
      </c>
      <c r="O139" s="193">
        <v>0</v>
      </c>
      <c r="P139" s="193">
        <v>0</v>
      </c>
      <c r="Q139" s="193">
        <v>1</v>
      </c>
      <c r="R139" s="193">
        <v>0</v>
      </c>
      <c r="S139" s="193">
        <v>0</v>
      </c>
      <c r="T139" s="193">
        <v>1</v>
      </c>
      <c r="U139" s="196">
        <v>1</v>
      </c>
      <c r="V139" s="195">
        <v>0</v>
      </c>
      <c r="W139" s="195">
        <v>0</v>
      </c>
      <c r="X139" s="195">
        <v>1</v>
      </c>
      <c r="Y139" s="196">
        <v>1</v>
      </c>
      <c r="Z139" s="195">
        <v>1</v>
      </c>
      <c r="AA139" s="195">
        <v>1</v>
      </c>
      <c r="AB139" s="195">
        <v>0</v>
      </c>
      <c r="AC139" s="195">
        <v>0</v>
      </c>
      <c r="AD139" s="195">
        <v>1</v>
      </c>
      <c r="AE139" s="195">
        <v>1</v>
      </c>
      <c r="AF139" s="195">
        <v>1</v>
      </c>
      <c r="AG139" s="195">
        <v>1</v>
      </c>
      <c r="AH139" s="195">
        <v>1</v>
      </c>
      <c r="AI139" s="195">
        <v>1</v>
      </c>
      <c r="AJ139" s="174"/>
    </row>
    <row r="140" spans="1:36" ht="15">
      <c r="A140" t="s">
        <v>1313</v>
      </c>
      <c r="B140" s="6" t="s">
        <v>1192</v>
      </c>
      <c r="C140" t="str">
        <f t="shared" si="2"/>
        <v>7Z035FB676</v>
      </c>
      <c r="D140" s="193">
        <v>2</v>
      </c>
      <c r="E140" s="193">
        <v>0</v>
      </c>
      <c r="F140" s="193">
        <v>0</v>
      </c>
      <c r="G140" s="194">
        <v>0</v>
      </c>
      <c r="H140" s="193">
        <v>2</v>
      </c>
      <c r="I140" s="193">
        <v>1</v>
      </c>
      <c r="J140" s="193">
        <v>0</v>
      </c>
      <c r="K140" s="193">
        <v>2</v>
      </c>
      <c r="L140" s="193">
        <v>4</v>
      </c>
      <c r="M140" s="193">
        <v>1</v>
      </c>
      <c r="N140" s="193">
        <v>0</v>
      </c>
      <c r="O140" s="193">
        <v>1</v>
      </c>
      <c r="P140" s="193">
        <v>1</v>
      </c>
      <c r="Q140" s="193">
        <v>0</v>
      </c>
      <c r="R140" s="193">
        <v>0</v>
      </c>
      <c r="S140" s="193">
        <v>1</v>
      </c>
      <c r="T140" s="193">
        <v>1</v>
      </c>
      <c r="U140" s="196">
        <v>1</v>
      </c>
      <c r="V140" s="195">
        <v>0</v>
      </c>
      <c r="W140" s="195">
        <v>0</v>
      </c>
      <c r="X140" s="195">
        <v>1</v>
      </c>
      <c r="Y140" s="196">
        <v>1</v>
      </c>
      <c r="Z140" s="195">
        <v>1</v>
      </c>
      <c r="AA140" s="195">
        <v>1</v>
      </c>
      <c r="AB140" s="195">
        <v>0</v>
      </c>
      <c r="AC140" s="195">
        <v>0</v>
      </c>
      <c r="AD140" s="195">
        <v>1</v>
      </c>
      <c r="AE140" s="195">
        <v>1</v>
      </c>
      <c r="AF140" s="195">
        <v>1</v>
      </c>
      <c r="AG140" s="195">
        <v>1</v>
      </c>
      <c r="AH140" s="195">
        <v>1</v>
      </c>
      <c r="AI140" s="195">
        <v>1</v>
      </c>
      <c r="AJ140" s="174"/>
    </row>
    <row r="141" spans="1:36" ht="15">
      <c r="A141" t="s">
        <v>1317</v>
      </c>
      <c r="B141" s="6" t="s">
        <v>1192</v>
      </c>
      <c r="C141" t="str">
        <f t="shared" si="2"/>
        <v>7Z035FF676</v>
      </c>
      <c r="D141" s="193">
        <v>2</v>
      </c>
      <c r="E141" s="193">
        <v>0</v>
      </c>
      <c r="F141" s="193">
        <v>0</v>
      </c>
      <c r="G141" s="194">
        <v>0</v>
      </c>
      <c r="H141" s="193">
        <v>2</v>
      </c>
      <c r="I141" s="193">
        <v>1</v>
      </c>
      <c r="J141" s="193">
        <v>0</v>
      </c>
      <c r="K141" s="193">
        <v>2</v>
      </c>
      <c r="L141" s="193">
        <v>4</v>
      </c>
      <c r="M141" s="193">
        <v>1</v>
      </c>
      <c r="N141" s="193">
        <v>0</v>
      </c>
      <c r="O141" s="193">
        <v>1</v>
      </c>
      <c r="P141" s="193">
        <v>1</v>
      </c>
      <c r="Q141" s="193">
        <v>0</v>
      </c>
      <c r="R141" s="193">
        <v>0</v>
      </c>
      <c r="S141" s="193">
        <v>1</v>
      </c>
      <c r="T141" s="193">
        <v>1</v>
      </c>
      <c r="U141" s="196">
        <v>1</v>
      </c>
      <c r="V141" s="195">
        <v>0</v>
      </c>
      <c r="W141" s="195">
        <v>0</v>
      </c>
      <c r="X141" s="195">
        <v>1</v>
      </c>
      <c r="Y141" s="196">
        <v>1</v>
      </c>
      <c r="Z141" s="195">
        <v>1</v>
      </c>
      <c r="AA141" s="195">
        <v>1</v>
      </c>
      <c r="AB141" s="195">
        <v>0</v>
      </c>
      <c r="AC141" s="195">
        <v>0</v>
      </c>
      <c r="AD141" s="195">
        <v>1</v>
      </c>
      <c r="AE141" s="195">
        <v>1</v>
      </c>
      <c r="AF141" s="195">
        <v>1</v>
      </c>
      <c r="AG141" s="195">
        <v>1</v>
      </c>
      <c r="AH141" s="195">
        <v>1</v>
      </c>
      <c r="AI141" s="195">
        <v>1</v>
      </c>
      <c r="AJ141" s="174"/>
    </row>
    <row r="142" spans="1:36" ht="15">
      <c r="A142" t="s">
        <v>1318</v>
      </c>
      <c r="B142" s="6" t="s">
        <v>1192</v>
      </c>
      <c r="C142" t="str">
        <f t="shared" si="2"/>
        <v>7Z035FF900</v>
      </c>
      <c r="D142" s="193">
        <v>2</v>
      </c>
      <c r="E142" s="193">
        <v>0</v>
      </c>
      <c r="F142" s="193">
        <v>0</v>
      </c>
      <c r="G142" s="194">
        <v>0</v>
      </c>
      <c r="H142" s="193">
        <v>1</v>
      </c>
      <c r="I142" s="193">
        <v>1</v>
      </c>
      <c r="J142" s="193">
        <v>0</v>
      </c>
      <c r="K142" s="193">
        <v>2</v>
      </c>
      <c r="L142" s="193">
        <v>4</v>
      </c>
      <c r="M142" s="193">
        <v>1</v>
      </c>
      <c r="N142" s="193">
        <v>0</v>
      </c>
      <c r="O142" s="193">
        <v>0</v>
      </c>
      <c r="P142" s="193">
        <v>1</v>
      </c>
      <c r="Q142" s="193">
        <v>0</v>
      </c>
      <c r="R142" s="193">
        <v>0</v>
      </c>
      <c r="S142" s="193">
        <v>1</v>
      </c>
      <c r="T142" s="193">
        <v>1</v>
      </c>
      <c r="U142" s="196">
        <v>1</v>
      </c>
      <c r="V142" s="196">
        <v>0</v>
      </c>
      <c r="W142" s="196">
        <v>0</v>
      </c>
      <c r="X142" s="196">
        <v>1</v>
      </c>
      <c r="Y142" s="196">
        <v>1</v>
      </c>
      <c r="Z142" s="196">
        <v>1</v>
      </c>
      <c r="AA142" s="196">
        <v>1</v>
      </c>
      <c r="AB142" s="196">
        <v>0</v>
      </c>
      <c r="AC142" s="196">
        <v>0</v>
      </c>
      <c r="AD142" s="196">
        <v>1</v>
      </c>
      <c r="AE142" s="196">
        <v>1</v>
      </c>
      <c r="AF142" s="196">
        <v>1</v>
      </c>
      <c r="AG142" s="196">
        <v>1</v>
      </c>
      <c r="AH142" s="196">
        <v>1</v>
      </c>
      <c r="AI142" s="196">
        <v>1</v>
      </c>
      <c r="AJ142" s="174"/>
    </row>
    <row r="143" spans="1:36" ht="15">
      <c r="A143" t="s">
        <v>1313</v>
      </c>
      <c r="B143" t="s">
        <v>456</v>
      </c>
      <c r="C143" t="str">
        <f t="shared" si="2"/>
        <v>7Z045FB676</v>
      </c>
      <c r="D143" s="193">
        <v>2</v>
      </c>
      <c r="E143" s="193">
        <v>0</v>
      </c>
      <c r="F143" s="193">
        <v>0</v>
      </c>
      <c r="G143" s="194">
        <v>0</v>
      </c>
      <c r="H143" s="193">
        <v>2</v>
      </c>
      <c r="I143" s="193">
        <v>0</v>
      </c>
      <c r="J143" s="193">
        <v>1</v>
      </c>
      <c r="K143" s="193">
        <v>0</v>
      </c>
      <c r="L143" s="193">
        <v>2</v>
      </c>
      <c r="M143" s="193">
        <v>4</v>
      </c>
      <c r="N143" s="193">
        <v>1</v>
      </c>
      <c r="O143" s="193">
        <v>0</v>
      </c>
      <c r="P143" s="193">
        <v>0</v>
      </c>
      <c r="Q143" s="193">
        <v>1</v>
      </c>
      <c r="R143" s="193">
        <v>0</v>
      </c>
      <c r="S143" s="193">
        <v>0</v>
      </c>
      <c r="T143" s="193">
        <v>1</v>
      </c>
      <c r="U143" s="196">
        <v>1</v>
      </c>
      <c r="V143" s="195">
        <v>0</v>
      </c>
      <c r="W143" s="195">
        <v>0</v>
      </c>
      <c r="X143" s="195">
        <v>1</v>
      </c>
      <c r="Y143" s="196">
        <v>1</v>
      </c>
      <c r="Z143" s="195">
        <v>1</v>
      </c>
      <c r="AA143" s="195">
        <v>1</v>
      </c>
      <c r="AB143" s="195">
        <v>0</v>
      </c>
      <c r="AC143" s="195">
        <v>0</v>
      </c>
      <c r="AD143" s="195">
        <v>1</v>
      </c>
      <c r="AE143" s="195">
        <v>1</v>
      </c>
      <c r="AF143" s="195">
        <v>1</v>
      </c>
      <c r="AG143" s="195">
        <v>1</v>
      </c>
      <c r="AH143" s="195">
        <v>1</v>
      </c>
      <c r="AI143" s="195">
        <v>1</v>
      </c>
    </row>
    <row r="144" spans="1:36" ht="15">
      <c r="A144" t="s">
        <v>1317</v>
      </c>
      <c r="B144" t="s">
        <v>456</v>
      </c>
      <c r="C144" t="str">
        <f t="shared" si="2"/>
        <v>7Z045FF676</v>
      </c>
      <c r="D144" s="193">
        <v>2</v>
      </c>
      <c r="E144" s="193">
        <v>0</v>
      </c>
      <c r="F144" s="193">
        <v>0</v>
      </c>
      <c r="G144" s="194">
        <v>0</v>
      </c>
      <c r="H144" s="193">
        <v>2</v>
      </c>
      <c r="I144" s="193">
        <v>0</v>
      </c>
      <c r="J144" s="193">
        <v>1</v>
      </c>
      <c r="K144" s="193">
        <v>0</v>
      </c>
      <c r="L144" s="193">
        <v>2</v>
      </c>
      <c r="M144" s="193">
        <v>4</v>
      </c>
      <c r="N144" s="193">
        <v>1</v>
      </c>
      <c r="O144" s="193">
        <v>0</v>
      </c>
      <c r="P144" s="193">
        <v>0</v>
      </c>
      <c r="Q144" s="193">
        <v>1</v>
      </c>
      <c r="R144" s="193">
        <v>0</v>
      </c>
      <c r="S144" s="193">
        <v>0</v>
      </c>
      <c r="T144" s="193">
        <v>1</v>
      </c>
      <c r="U144" s="195">
        <v>1</v>
      </c>
      <c r="V144" s="195">
        <v>0</v>
      </c>
      <c r="W144" s="195">
        <v>0</v>
      </c>
      <c r="X144" s="195">
        <v>1</v>
      </c>
      <c r="Y144" s="195">
        <v>1</v>
      </c>
      <c r="Z144" s="195">
        <v>1</v>
      </c>
      <c r="AA144" s="195">
        <v>1</v>
      </c>
      <c r="AB144" s="195">
        <v>0</v>
      </c>
      <c r="AC144" s="195">
        <v>0</v>
      </c>
      <c r="AD144" s="195">
        <v>1</v>
      </c>
      <c r="AE144" s="195">
        <v>1</v>
      </c>
      <c r="AF144" s="195">
        <v>1</v>
      </c>
      <c r="AG144" s="195">
        <v>1</v>
      </c>
      <c r="AH144" s="195">
        <v>1</v>
      </c>
      <c r="AI144" s="195">
        <v>1</v>
      </c>
    </row>
    <row r="145" spans="1:35" ht="15">
      <c r="A145" t="s">
        <v>1318</v>
      </c>
      <c r="B145" t="s">
        <v>456</v>
      </c>
      <c r="C145" t="str">
        <f t="shared" si="2"/>
        <v>7Z045FF900</v>
      </c>
      <c r="D145" s="193">
        <v>2</v>
      </c>
      <c r="E145" s="193">
        <v>0</v>
      </c>
      <c r="F145" s="193">
        <v>0</v>
      </c>
      <c r="G145" s="194">
        <v>0</v>
      </c>
      <c r="H145" s="193">
        <v>1</v>
      </c>
      <c r="I145" s="193">
        <v>0</v>
      </c>
      <c r="J145" s="193">
        <v>1</v>
      </c>
      <c r="K145" s="193">
        <v>0</v>
      </c>
      <c r="L145" s="193">
        <v>2</v>
      </c>
      <c r="M145" s="193">
        <v>4</v>
      </c>
      <c r="N145" s="193">
        <v>1</v>
      </c>
      <c r="O145" s="193">
        <v>0</v>
      </c>
      <c r="P145" s="193">
        <v>0</v>
      </c>
      <c r="Q145" s="193">
        <v>1</v>
      </c>
      <c r="R145" s="193">
        <v>0</v>
      </c>
      <c r="S145" s="193">
        <v>0</v>
      </c>
      <c r="T145" s="193">
        <v>1</v>
      </c>
      <c r="U145" s="195">
        <v>1</v>
      </c>
      <c r="V145" s="195">
        <v>0</v>
      </c>
      <c r="W145" s="195">
        <v>0</v>
      </c>
      <c r="X145" s="195">
        <v>1</v>
      </c>
      <c r="Y145" s="195">
        <v>1</v>
      </c>
      <c r="Z145" s="195">
        <v>1</v>
      </c>
      <c r="AA145" s="195">
        <v>1</v>
      </c>
      <c r="AB145" s="195">
        <v>0</v>
      </c>
      <c r="AC145" s="195">
        <v>0</v>
      </c>
      <c r="AD145" s="195">
        <v>1</v>
      </c>
      <c r="AE145" s="195">
        <v>1</v>
      </c>
      <c r="AF145" s="195">
        <v>1</v>
      </c>
      <c r="AG145" s="195">
        <v>1</v>
      </c>
      <c r="AH145" s="195">
        <v>1</v>
      </c>
      <c r="AI145" s="195">
        <v>1</v>
      </c>
    </row>
    <row r="146" spans="1:35" ht="15">
      <c r="A146" t="s">
        <v>1316</v>
      </c>
      <c r="B146" t="s">
        <v>782</v>
      </c>
      <c r="C146" t="str">
        <f t="shared" si="2"/>
        <v>7Z100FF1156</v>
      </c>
      <c r="D146" s="194">
        <v>3</v>
      </c>
      <c r="E146" s="194">
        <v>0</v>
      </c>
      <c r="F146" s="194">
        <v>0</v>
      </c>
      <c r="G146" s="194">
        <v>0</v>
      </c>
      <c r="H146" s="194">
        <v>2</v>
      </c>
      <c r="I146" s="194">
        <v>0</v>
      </c>
      <c r="J146" s="194">
        <v>2</v>
      </c>
      <c r="K146" s="194">
        <v>0</v>
      </c>
      <c r="L146" s="194">
        <v>4</v>
      </c>
      <c r="M146" s="194">
        <v>8</v>
      </c>
      <c r="N146" s="194">
        <v>1</v>
      </c>
      <c r="O146" s="194">
        <v>0</v>
      </c>
      <c r="P146" s="194">
        <v>0</v>
      </c>
      <c r="Q146" s="194">
        <v>1</v>
      </c>
      <c r="R146" s="194">
        <v>0</v>
      </c>
      <c r="S146" s="194">
        <v>0</v>
      </c>
      <c r="T146" s="194">
        <v>1</v>
      </c>
      <c r="U146" s="195">
        <v>1</v>
      </c>
      <c r="V146" s="195">
        <v>0</v>
      </c>
      <c r="W146" s="195">
        <v>0</v>
      </c>
      <c r="X146" s="195">
        <v>1</v>
      </c>
      <c r="Y146" s="195">
        <v>1</v>
      </c>
      <c r="Z146" s="195">
        <v>1</v>
      </c>
      <c r="AA146" s="195">
        <v>1</v>
      </c>
      <c r="AB146" s="195">
        <v>0</v>
      </c>
      <c r="AC146" s="195">
        <v>0</v>
      </c>
      <c r="AD146" s="195">
        <v>1</v>
      </c>
      <c r="AE146" s="195">
        <v>1</v>
      </c>
      <c r="AF146" s="195">
        <v>1</v>
      </c>
      <c r="AG146" s="195">
        <v>1</v>
      </c>
      <c r="AH146" s="195">
        <v>1</v>
      </c>
      <c r="AI146" s="195">
        <v>1</v>
      </c>
    </row>
    <row r="147" spans="1:35" ht="15">
      <c r="A147" t="s">
        <v>1318</v>
      </c>
      <c r="B147" t="s">
        <v>782</v>
      </c>
      <c r="C147" t="str">
        <f t="shared" si="2"/>
        <v>7Z100FF900</v>
      </c>
      <c r="D147" s="193">
        <v>3</v>
      </c>
      <c r="E147" s="193">
        <v>0</v>
      </c>
      <c r="F147" s="193">
        <v>0</v>
      </c>
      <c r="G147" s="194">
        <v>0</v>
      </c>
      <c r="H147" s="193">
        <v>2</v>
      </c>
      <c r="I147" s="193">
        <v>0</v>
      </c>
      <c r="J147" s="193">
        <v>2</v>
      </c>
      <c r="K147" s="193">
        <v>0</v>
      </c>
      <c r="L147" s="193">
        <v>4</v>
      </c>
      <c r="M147" s="193">
        <v>8</v>
      </c>
      <c r="N147" s="193">
        <v>1</v>
      </c>
      <c r="O147" s="193">
        <v>0</v>
      </c>
      <c r="P147" s="193">
        <v>0</v>
      </c>
      <c r="Q147" s="193">
        <v>1</v>
      </c>
      <c r="R147" s="193">
        <v>0</v>
      </c>
      <c r="S147" s="193">
        <v>0</v>
      </c>
      <c r="T147" s="195">
        <v>1</v>
      </c>
      <c r="U147" s="195">
        <v>1</v>
      </c>
      <c r="V147" s="195">
        <v>0</v>
      </c>
      <c r="W147" s="195">
        <v>0</v>
      </c>
      <c r="X147" s="195">
        <v>1</v>
      </c>
      <c r="Y147" s="195">
        <v>1</v>
      </c>
      <c r="Z147" s="195">
        <v>1</v>
      </c>
      <c r="AA147" s="195">
        <v>1</v>
      </c>
      <c r="AB147" s="195">
        <v>0</v>
      </c>
      <c r="AC147" s="195">
        <v>0</v>
      </c>
      <c r="AD147" s="195">
        <v>1</v>
      </c>
      <c r="AE147" s="195">
        <v>1</v>
      </c>
      <c r="AF147" s="195">
        <v>1</v>
      </c>
      <c r="AG147" s="195">
        <v>1</v>
      </c>
      <c r="AH147" s="195">
        <v>1</v>
      </c>
      <c r="AI147" s="195">
        <v>1</v>
      </c>
    </row>
    <row r="148" spans="1:35" ht="15">
      <c r="A148" t="s">
        <v>1341</v>
      </c>
      <c r="B148" t="s">
        <v>1462</v>
      </c>
      <c r="C148" t="str">
        <f t="shared" si="2"/>
        <v>7Z007SCL225</v>
      </c>
      <c r="D148" s="195">
        <v>0</v>
      </c>
      <c r="E148" s="195">
        <v>0</v>
      </c>
      <c r="F148" s="195">
        <v>1</v>
      </c>
      <c r="G148" s="196">
        <v>0</v>
      </c>
      <c r="H148" s="195">
        <v>1</v>
      </c>
      <c r="I148" s="195">
        <v>2</v>
      </c>
      <c r="J148" s="195">
        <v>0</v>
      </c>
      <c r="K148" s="195">
        <v>0</v>
      </c>
      <c r="L148" s="195">
        <v>0</v>
      </c>
      <c r="M148" s="195">
        <v>0</v>
      </c>
      <c r="N148" s="195">
        <v>1</v>
      </c>
      <c r="O148" s="195">
        <v>1</v>
      </c>
      <c r="P148" s="195">
        <v>1</v>
      </c>
      <c r="Q148" s="195">
        <v>1</v>
      </c>
      <c r="R148" s="195">
        <v>2</v>
      </c>
      <c r="S148" s="195">
        <v>4</v>
      </c>
      <c r="T148" s="195">
        <v>1</v>
      </c>
      <c r="U148" s="196">
        <v>1</v>
      </c>
      <c r="V148" s="195">
        <v>1</v>
      </c>
      <c r="W148" s="195">
        <v>3</v>
      </c>
      <c r="X148" s="195">
        <v>1</v>
      </c>
      <c r="Y148" s="196">
        <v>1</v>
      </c>
      <c r="Z148" s="195">
        <v>1</v>
      </c>
      <c r="AA148" s="195">
        <v>1</v>
      </c>
      <c r="AB148" s="195">
        <v>1</v>
      </c>
      <c r="AC148" s="195">
        <v>4</v>
      </c>
      <c r="AD148" s="195">
        <v>1</v>
      </c>
      <c r="AE148" s="195">
        <v>1</v>
      </c>
      <c r="AF148" s="195">
        <v>1</v>
      </c>
      <c r="AG148" s="195">
        <v>1</v>
      </c>
      <c r="AH148" s="195">
        <v>1</v>
      </c>
      <c r="AI148" s="195">
        <v>1</v>
      </c>
    </row>
    <row r="149" spans="1:35" ht="15">
      <c r="A149" t="s">
        <v>1343</v>
      </c>
      <c r="B149" t="s">
        <v>1462</v>
      </c>
      <c r="C149" t="str">
        <f t="shared" si="2"/>
        <v>7Z007SCL400</v>
      </c>
      <c r="D149" s="195">
        <v>0</v>
      </c>
      <c r="E149" s="195">
        <v>0</v>
      </c>
      <c r="F149" s="195">
        <v>1</v>
      </c>
      <c r="G149" s="196">
        <v>0</v>
      </c>
      <c r="H149" s="195">
        <v>1</v>
      </c>
      <c r="I149" s="195">
        <v>2</v>
      </c>
      <c r="J149" s="195">
        <v>0</v>
      </c>
      <c r="K149" s="195">
        <v>1</v>
      </c>
      <c r="L149" s="195">
        <v>1</v>
      </c>
      <c r="M149" s="195">
        <v>1</v>
      </c>
      <c r="N149" s="195">
        <v>1</v>
      </c>
      <c r="O149" s="195">
        <v>1</v>
      </c>
      <c r="P149" s="195">
        <v>1</v>
      </c>
      <c r="Q149" s="195">
        <v>1</v>
      </c>
      <c r="R149" s="195">
        <v>2</v>
      </c>
      <c r="S149" s="195">
        <v>4</v>
      </c>
      <c r="T149" s="195">
        <v>1</v>
      </c>
      <c r="U149" s="196">
        <v>1</v>
      </c>
      <c r="V149" s="195">
        <v>1</v>
      </c>
      <c r="W149" s="195">
        <v>3</v>
      </c>
      <c r="X149" s="195">
        <v>1</v>
      </c>
      <c r="Y149" s="196">
        <v>1</v>
      </c>
      <c r="Z149" s="195">
        <v>1</v>
      </c>
      <c r="AA149" s="195">
        <v>1</v>
      </c>
      <c r="AB149" s="195">
        <v>1</v>
      </c>
      <c r="AC149" s="195">
        <v>4</v>
      </c>
      <c r="AD149" s="195">
        <v>1</v>
      </c>
      <c r="AE149" s="195">
        <v>1</v>
      </c>
      <c r="AF149" s="195">
        <v>1</v>
      </c>
      <c r="AG149" s="195">
        <v>1</v>
      </c>
      <c r="AH149" s="195">
        <v>1</v>
      </c>
      <c r="AI149" s="195">
        <v>1</v>
      </c>
    </row>
    <row r="150" spans="1:35" ht="15">
      <c r="A150" t="s">
        <v>1342</v>
      </c>
      <c r="B150" t="s">
        <v>1463</v>
      </c>
      <c r="C150" t="str">
        <f t="shared" si="2"/>
        <v>7Z012SCL485</v>
      </c>
      <c r="D150" s="195">
        <v>0</v>
      </c>
      <c r="E150" s="195">
        <v>1</v>
      </c>
      <c r="F150" s="195">
        <v>0</v>
      </c>
      <c r="G150" s="196">
        <v>0</v>
      </c>
      <c r="H150" s="195">
        <v>2</v>
      </c>
      <c r="I150" s="195">
        <v>4</v>
      </c>
      <c r="J150" s="195">
        <v>1</v>
      </c>
      <c r="K150" s="195">
        <v>0</v>
      </c>
      <c r="L150" s="195">
        <v>1</v>
      </c>
      <c r="M150" s="195">
        <v>1</v>
      </c>
      <c r="N150" s="195">
        <v>1</v>
      </c>
      <c r="O150" s="195">
        <v>1</v>
      </c>
      <c r="P150" s="195">
        <v>2</v>
      </c>
      <c r="Q150" s="195">
        <v>1</v>
      </c>
      <c r="R150" s="195">
        <v>2</v>
      </c>
      <c r="S150" s="195">
        <v>4</v>
      </c>
      <c r="T150" s="195">
        <v>1</v>
      </c>
      <c r="U150" s="197">
        <v>1</v>
      </c>
      <c r="V150" s="195">
        <v>1</v>
      </c>
      <c r="W150" s="195">
        <v>3</v>
      </c>
      <c r="X150" s="195">
        <v>1</v>
      </c>
      <c r="Y150" s="196">
        <v>1</v>
      </c>
      <c r="Z150" s="195">
        <v>1</v>
      </c>
      <c r="AA150" s="195">
        <v>1</v>
      </c>
      <c r="AB150" s="195">
        <v>1</v>
      </c>
      <c r="AC150" s="195">
        <v>4</v>
      </c>
      <c r="AD150" s="195">
        <v>1</v>
      </c>
      <c r="AE150" s="195">
        <v>1</v>
      </c>
      <c r="AF150" s="195">
        <v>1</v>
      </c>
      <c r="AG150" s="195">
        <v>1</v>
      </c>
      <c r="AH150" s="195">
        <v>1</v>
      </c>
      <c r="AI150" s="195">
        <v>1</v>
      </c>
    </row>
    <row r="151" spans="1:35" ht="15">
      <c r="A151" t="s">
        <v>1343</v>
      </c>
      <c r="B151" t="s">
        <v>1464</v>
      </c>
      <c r="C151" t="str">
        <f t="shared" si="2"/>
        <v>7Z014SCL400</v>
      </c>
      <c r="D151" s="195">
        <v>0</v>
      </c>
      <c r="E151" s="195">
        <v>1</v>
      </c>
      <c r="F151" s="195">
        <v>0</v>
      </c>
      <c r="G151" s="196">
        <v>0</v>
      </c>
      <c r="H151" s="195">
        <v>2</v>
      </c>
      <c r="I151" s="195">
        <v>4</v>
      </c>
      <c r="J151" s="195">
        <v>1</v>
      </c>
      <c r="K151" s="195">
        <v>0</v>
      </c>
      <c r="L151" s="195">
        <v>1</v>
      </c>
      <c r="M151" s="195">
        <v>1</v>
      </c>
      <c r="N151" s="195">
        <v>1</v>
      </c>
      <c r="O151" s="195">
        <v>1</v>
      </c>
      <c r="P151" s="195">
        <v>1</v>
      </c>
      <c r="Q151" s="195">
        <v>1</v>
      </c>
      <c r="R151" s="195">
        <v>2</v>
      </c>
      <c r="S151" s="195">
        <v>4</v>
      </c>
      <c r="T151" s="195">
        <v>1</v>
      </c>
      <c r="U151" s="196">
        <v>1</v>
      </c>
      <c r="V151" s="195">
        <v>1</v>
      </c>
      <c r="W151" s="195">
        <v>3</v>
      </c>
      <c r="X151" s="195">
        <v>1</v>
      </c>
      <c r="Y151" s="196">
        <v>1</v>
      </c>
      <c r="Z151" s="195">
        <v>1</v>
      </c>
      <c r="AA151" s="195">
        <v>1</v>
      </c>
      <c r="AB151" s="195">
        <v>1</v>
      </c>
      <c r="AC151" s="195">
        <v>4</v>
      </c>
      <c r="AD151" s="195">
        <v>1</v>
      </c>
      <c r="AE151" s="195">
        <v>1</v>
      </c>
      <c r="AF151" s="195">
        <v>1</v>
      </c>
      <c r="AG151" s="195">
        <v>1</v>
      </c>
      <c r="AH151" s="195">
        <v>1</v>
      </c>
      <c r="AI151" s="195">
        <v>1</v>
      </c>
    </row>
    <row r="152" spans="1:35" ht="15">
      <c r="A152" t="s">
        <v>1344</v>
      </c>
      <c r="B152" t="s">
        <v>1464</v>
      </c>
      <c r="C152" t="str">
        <f t="shared" si="2"/>
        <v>7Z014SCL484</v>
      </c>
      <c r="D152" s="195">
        <v>0</v>
      </c>
      <c r="E152" s="195">
        <v>1</v>
      </c>
      <c r="F152" s="195">
        <v>0</v>
      </c>
      <c r="G152" s="196">
        <v>0</v>
      </c>
      <c r="H152" s="195">
        <v>2</v>
      </c>
      <c r="I152" s="195">
        <v>4</v>
      </c>
      <c r="J152" s="195">
        <v>1</v>
      </c>
      <c r="K152" s="195">
        <v>0</v>
      </c>
      <c r="L152" s="195">
        <v>1</v>
      </c>
      <c r="M152" s="195">
        <v>1</v>
      </c>
      <c r="N152" s="195">
        <v>1</v>
      </c>
      <c r="O152" s="195">
        <v>1</v>
      </c>
      <c r="P152" s="195">
        <v>2</v>
      </c>
      <c r="Q152" s="195">
        <v>1</v>
      </c>
      <c r="R152" s="195">
        <v>2</v>
      </c>
      <c r="S152" s="195">
        <v>4</v>
      </c>
      <c r="T152" s="195">
        <v>1</v>
      </c>
      <c r="U152" s="196">
        <v>1</v>
      </c>
      <c r="V152" s="195">
        <v>1</v>
      </c>
      <c r="W152" s="195">
        <v>3</v>
      </c>
      <c r="X152" s="195">
        <v>1</v>
      </c>
      <c r="Y152" s="196">
        <v>1</v>
      </c>
      <c r="Z152" s="195">
        <v>1</v>
      </c>
      <c r="AA152" s="195">
        <v>1</v>
      </c>
      <c r="AB152" s="195">
        <v>1</v>
      </c>
      <c r="AC152" s="195">
        <v>4</v>
      </c>
      <c r="AD152" s="195">
        <v>1</v>
      </c>
      <c r="AE152" s="195">
        <v>1</v>
      </c>
      <c r="AF152" s="195">
        <v>1</v>
      </c>
      <c r="AG152" s="195">
        <v>1</v>
      </c>
      <c r="AH152" s="195">
        <v>1</v>
      </c>
      <c r="AI152" s="195">
        <v>1</v>
      </c>
    </row>
    <row r="153" spans="1:35" ht="15">
      <c r="A153" t="s">
        <v>1497</v>
      </c>
      <c r="B153" t="s">
        <v>1460</v>
      </c>
      <c r="C153" t="str">
        <f t="shared" si="2"/>
        <v>7A12TCP238</v>
      </c>
      <c r="D153" s="180">
        <v>0</v>
      </c>
      <c r="E153" s="180">
        <v>0</v>
      </c>
      <c r="F153" s="180">
        <v>1</v>
      </c>
      <c r="G153" s="180">
        <v>0</v>
      </c>
      <c r="H153" s="180">
        <v>2</v>
      </c>
      <c r="I153" s="180">
        <v>3</v>
      </c>
      <c r="J153" s="180">
        <v>0</v>
      </c>
      <c r="K153" s="180">
        <v>1</v>
      </c>
      <c r="L153" s="180">
        <v>0</v>
      </c>
      <c r="M153" s="180">
        <v>1</v>
      </c>
      <c r="N153" s="180">
        <v>1</v>
      </c>
      <c r="O153" s="180">
        <v>1</v>
      </c>
      <c r="P153" s="180">
        <v>2</v>
      </c>
      <c r="Q153" s="180">
        <v>1</v>
      </c>
      <c r="R153" s="180">
        <v>2</v>
      </c>
      <c r="S153" s="180">
        <v>4</v>
      </c>
      <c r="T153" s="195">
        <v>1</v>
      </c>
    </row>
    <row r="154" spans="1:35" ht="15">
      <c r="A154" t="s">
        <v>1337</v>
      </c>
      <c r="B154" t="s">
        <v>1460</v>
      </c>
      <c r="C154" t="str">
        <f t="shared" si="2"/>
        <v>7A12TCS325</v>
      </c>
      <c r="D154" s="180">
        <v>0</v>
      </c>
      <c r="E154" s="180">
        <v>0</v>
      </c>
      <c r="F154" s="180">
        <v>1</v>
      </c>
      <c r="G154" s="180">
        <v>0</v>
      </c>
      <c r="H154" s="180">
        <v>2</v>
      </c>
      <c r="I154" s="180">
        <v>3</v>
      </c>
      <c r="J154" s="180">
        <v>0</v>
      </c>
      <c r="K154" s="180">
        <v>1</v>
      </c>
      <c r="L154" s="180">
        <v>0</v>
      </c>
      <c r="M154" s="180">
        <v>1</v>
      </c>
      <c r="N154" s="180">
        <v>1</v>
      </c>
      <c r="O154" s="180">
        <v>2</v>
      </c>
      <c r="P154" s="180">
        <v>3</v>
      </c>
      <c r="Q154" s="180">
        <v>1</v>
      </c>
      <c r="R154" s="180">
        <v>2</v>
      </c>
      <c r="S154" s="180">
        <v>4</v>
      </c>
      <c r="T154" s="196">
        <v>1</v>
      </c>
    </row>
    <row r="155" spans="1:35" ht="15">
      <c r="A155" t="s">
        <v>1497</v>
      </c>
      <c r="B155" t="s">
        <v>1461</v>
      </c>
      <c r="C155" t="str">
        <f t="shared" si="2"/>
        <v>7A25TCP238</v>
      </c>
      <c r="D155" s="180">
        <v>0</v>
      </c>
      <c r="E155" s="180">
        <v>0</v>
      </c>
      <c r="F155" s="180">
        <v>1</v>
      </c>
      <c r="G155" s="180">
        <v>0</v>
      </c>
      <c r="H155" s="180">
        <v>2</v>
      </c>
      <c r="I155" s="180">
        <v>3</v>
      </c>
      <c r="J155" s="180">
        <v>0</v>
      </c>
      <c r="K155" s="180">
        <v>1</v>
      </c>
      <c r="L155" s="180">
        <v>0</v>
      </c>
      <c r="M155" s="180">
        <v>1</v>
      </c>
      <c r="N155" s="180">
        <v>1</v>
      </c>
      <c r="O155" s="180">
        <v>1</v>
      </c>
      <c r="P155" s="180">
        <v>2</v>
      </c>
      <c r="Q155" s="180">
        <v>1</v>
      </c>
      <c r="R155" s="180">
        <v>2</v>
      </c>
      <c r="S155" s="180">
        <v>4</v>
      </c>
      <c r="T155" s="195">
        <v>1</v>
      </c>
    </row>
    <row r="156" spans="1:35" ht="15">
      <c r="A156" t="s">
        <v>1337</v>
      </c>
      <c r="B156" t="s">
        <v>1461</v>
      </c>
      <c r="C156" t="str">
        <f t="shared" si="2"/>
        <v>7A25TCS325</v>
      </c>
      <c r="D156" s="180">
        <v>0</v>
      </c>
      <c r="E156" s="180">
        <v>0</v>
      </c>
      <c r="F156" s="180">
        <v>1</v>
      </c>
      <c r="G156" s="180">
        <v>0</v>
      </c>
      <c r="H156" s="180">
        <v>2</v>
      </c>
      <c r="I156" s="180">
        <v>3</v>
      </c>
      <c r="J156" s="180">
        <v>0</v>
      </c>
      <c r="K156" s="180">
        <v>1</v>
      </c>
      <c r="L156" s="180">
        <v>0</v>
      </c>
      <c r="M156" s="180">
        <v>1</v>
      </c>
      <c r="N156" s="180">
        <v>1</v>
      </c>
      <c r="O156" s="180">
        <v>2</v>
      </c>
      <c r="P156" s="180">
        <v>3</v>
      </c>
      <c r="Q156" s="180">
        <v>1</v>
      </c>
      <c r="R156" s="180">
        <v>2</v>
      </c>
      <c r="S156" s="180">
        <v>4</v>
      </c>
      <c r="T156" s="195">
        <v>1</v>
      </c>
    </row>
    <row r="157" spans="1:35" ht="15">
      <c r="A157" s="6" t="s">
        <v>1454</v>
      </c>
      <c r="B157" t="s">
        <v>1448</v>
      </c>
      <c r="C157" t="str">
        <f t="shared" si="2"/>
        <v>7S6CPGA196</v>
      </c>
      <c r="D157" s="195">
        <v>0</v>
      </c>
      <c r="E157">
        <v>0</v>
      </c>
      <c r="F157">
        <v>1</v>
      </c>
      <c r="G157" s="180">
        <v>0</v>
      </c>
      <c r="H157">
        <v>1</v>
      </c>
      <c r="I157">
        <v>1</v>
      </c>
      <c r="J157">
        <v>0</v>
      </c>
      <c r="K157">
        <v>1</v>
      </c>
      <c r="L157">
        <v>1</v>
      </c>
      <c r="M157">
        <v>1</v>
      </c>
      <c r="N157">
        <v>1</v>
      </c>
      <c r="O157">
        <v>1</v>
      </c>
      <c r="P157">
        <v>2</v>
      </c>
      <c r="Q157">
        <v>1</v>
      </c>
      <c r="R157">
        <v>2</v>
      </c>
      <c r="S157">
        <v>4</v>
      </c>
      <c r="T157" s="195">
        <v>1</v>
      </c>
    </row>
    <row r="158" spans="1:35" ht="15">
      <c r="A158" s="6" t="s">
        <v>1456</v>
      </c>
      <c r="B158" t="s">
        <v>1448</v>
      </c>
      <c r="C158" t="str">
        <f t="shared" si="2"/>
        <v>7S6FTGB196</v>
      </c>
      <c r="D158" s="180">
        <v>0</v>
      </c>
      <c r="E158">
        <v>0</v>
      </c>
      <c r="F158">
        <v>1</v>
      </c>
      <c r="G158" s="180">
        <v>0</v>
      </c>
      <c r="H158">
        <v>1</v>
      </c>
      <c r="I158">
        <v>1</v>
      </c>
      <c r="J158">
        <v>0</v>
      </c>
      <c r="K158">
        <v>1</v>
      </c>
      <c r="L158">
        <v>1</v>
      </c>
      <c r="M158">
        <v>1</v>
      </c>
      <c r="N158">
        <v>1</v>
      </c>
      <c r="O158">
        <v>1</v>
      </c>
      <c r="P158">
        <v>2</v>
      </c>
      <c r="Q158">
        <v>1</v>
      </c>
      <c r="R158">
        <v>2</v>
      </c>
      <c r="S158">
        <v>4</v>
      </c>
      <c r="T158" s="195">
        <v>1</v>
      </c>
    </row>
    <row r="159" spans="1:35" ht="15">
      <c r="A159" s="6" t="s">
        <v>1455</v>
      </c>
      <c r="B159" t="s">
        <v>1448</v>
      </c>
      <c r="C159" t="str">
        <f t="shared" si="2"/>
        <v>7S6CSGA225</v>
      </c>
      <c r="D159" s="180">
        <v>0</v>
      </c>
      <c r="E159">
        <v>0</v>
      </c>
      <c r="F159">
        <v>1</v>
      </c>
      <c r="G159" s="180">
        <v>0</v>
      </c>
      <c r="H159">
        <v>1</v>
      </c>
      <c r="I159">
        <v>1</v>
      </c>
      <c r="J159">
        <v>0</v>
      </c>
      <c r="K159">
        <v>1</v>
      </c>
      <c r="L159">
        <v>1</v>
      </c>
      <c r="M159">
        <v>1</v>
      </c>
      <c r="N159">
        <v>1</v>
      </c>
      <c r="O159">
        <v>1</v>
      </c>
      <c r="P159">
        <v>2</v>
      </c>
      <c r="Q159">
        <v>1</v>
      </c>
      <c r="R159">
        <v>2</v>
      </c>
      <c r="S159">
        <v>4</v>
      </c>
      <c r="T159" s="195">
        <v>1</v>
      </c>
    </row>
    <row r="160" spans="1:35" ht="15">
      <c r="A160" t="s">
        <v>1454</v>
      </c>
      <c r="B160" t="s">
        <v>1449</v>
      </c>
      <c r="C160" t="str">
        <f t="shared" si="2"/>
        <v>7S15CPGA196</v>
      </c>
      <c r="D160" s="180">
        <v>0</v>
      </c>
      <c r="E160">
        <v>0</v>
      </c>
      <c r="F160">
        <v>1</v>
      </c>
      <c r="G160" s="180">
        <v>0</v>
      </c>
      <c r="H160">
        <v>2</v>
      </c>
      <c r="I160">
        <v>2</v>
      </c>
      <c r="J160">
        <v>0</v>
      </c>
      <c r="K160">
        <v>1</v>
      </c>
      <c r="L160">
        <v>1</v>
      </c>
      <c r="M160">
        <v>1</v>
      </c>
      <c r="N160">
        <v>1</v>
      </c>
      <c r="O160">
        <v>1</v>
      </c>
      <c r="P160">
        <v>2</v>
      </c>
      <c r="Q160">
        <v>1</v>
      </c>
      <c r="R160">
        <v>2</v>
      </c>
      <c r="S160">
        <v>4</v>
      </c>
      <c r="T160" s="195">
        <v>1</v>
      </c>
    </row>
    <row r="161" spans="1:20" ht="15">
      <c r="A161" s="6" t="s">
        <v>1456</v>
      </c>
      <c r="B161" t="s">
        <v>1449</v>
      </c>
      <c r="C161" t="str">
        <f t="shared" si="2"/>
        <v>7S15FTGB196</v>
      </c>
      <c r="D161" s="180">
        <v>0</v>
      </c>
      <c r="E161">
        <v>0</v>
      </c>
      <c r="F161">
        <v>1</v>
      </c>
      <c r="G161" s="180">
        <v>0</v>
      </c>
      <c r="H161">
        <v>2</v>
      </c>
      <c r="I161">
        <v>2</v>
      </c>
      <c r="J161">
        <v>0</v>
      </c>
      <c r="K161">
        <v>1</v>
      </c>
      <c r="L161">
        <v>1</v>
      </c>
      <c r="M161">
        <v>1</v>
      </c>
      <c r="N161">
        <v>1</v>
      </c>
      <c r="O161">
        <v>1</v>
      </c>
      <c r="P161">
        <v>2</v>
      </c>
      <c r="Q161">
        <v>1</v>
      </c>
      <c r="R161">
        <v>2</v>
      </c>
      <c r="S161">
        <v>4</v>
      </c>
      <c r="T161" s="195">
        <v>1</v>
      </c>
    </row>
    <row r="162" spans="1:20" ht="15">
      <c r="A162" s="6" t="s">
        <v>1455</v>
      </c>
      <c r="B162" t="s">
        <v>1449</v>
      </c>
      <c r="C162" t="str">
        <f t="shared" si="2"/>
        <v>7S15CSGA225</v>
      </c>
      <c r="D162" s="195">
        <v>0</v>
      </c>
      <c r="E162">
        <v>0</v>
      </c>
      <c r="F162">
        <v>1</v>
      </c>
      <c r="G162" s="180">
        <v>0</v>
      </c>
      <c r="H162">
        <v>2</v>
      </c>
      <c r="I162">
        <v>2</v>
      </c>
      <c r="J162">
        <v>0</v>
      </c>
      <c r="K162">
        <v>1</v>
      </c>
      <c r="L162">
        <v>1</v>
      </c>
      <c r="M162">
        <v>1</v>
      </c>
      <c r="N162">
        <v>1</v>
      </c>
      <c r="O162">
        <v>1</v>
      </c>
      <c r="P162">
        <v>2</v>
      </c>
      <c r="Q162">
        <v>1</v>
      </c>
      <c r="R162">
        <v>2</v>
      </c>
      <c r="S162">
        <v>4</v>
      </c>
      <c r="T162" s="195">
        <v>1</v>
      </c>
    </row>
    <row r="163" spans="1:20" ht="15">
      <c r="A163" s="6" t="s">
        <v>1456</v>
      </c>
      <c r="B163" t="s">
        <v>1450</v>
      </c>
      <c r="C163" t="str">
        <f t="shared" si="2"/>
        <v>7S25FTGB196</v>
      </c>
      <c r="D163" s="180">
        <v>0</v>
      </c>
      <c r="E163">
        <v>0</v>
      </c>
      <c r="F163">
        <v>1</v>
      </c>
      <c r="G163" s="180">
        <v>0</v>
      </c>
      <c r="H163">
        <v>2</v>
      </c>
      <c r="I163">
        <v>3</v>
      </c>
      <c r="J163">
        <v>0</v>
      </c>
      <c r="K163">
        <v>1</v>
      </c>
      <c r="L163">
        <v>1</v>
      </c>
      <c r="M163">
        <v>1</v>
      </c>
      <c r="N163">
        <v>1</v>
      </c>
      <c r="O163">
        <v>1</v>
      </c>
      <c r="P163">
        <v>2</v>
      </c>
      <c r="Q163">
        <v>1</v>
      </c>
      <c r="R163">
        <v>2</v>
      </c>
      <c r="S163">
        <v>4</v>
      </c>
      <c r="T163" s="195">
        <v>1</v>
      </c>
    </row>
    <row r="164" spans="1:20" ht="15">
      <c r="A164" t="s">
        <v>1455</v>
      </c>
      <c r="B164" t="s">
        <v>1450</v>
      </c>
      <c r="C164" t="str">
        <f t="shared" si="2"/>
        <v>7S25CSGA225</v>
      </c>
      <c r="D164" s="180">
        <v>0</v>
      </c>
      <c r="E164">
        <v>0</v>
      </c>
      <c r="F164">
        <v>1</v>
      </c>
      <c r="G164" s="180">
        <v>0</v>
      </c>
      <c r="H164">
        <v>2</v>
      </c>
      <c r="I164">
        <v>3</v>
      </c>
      <c r="J164">
        <v>0</v>
      </c>
      <c r="K164">
        <v>1</v>
      </c>
      <c r="L164">
        <v>1</v>
      </c>
      <c r="M164">
        <v>1</v>
      </c>
      <c r="N164">
        <v>1</v>
      </c>
      <c r="O164">
        <v>1</v>
      </c>
      <c r="P164">
        <v>2</v>
      </c>
      <c r="Q164">
        <v>1</v>
      </c>
      <c r="R164">
        <v>2</v>
      </c>
      <c r="S164">
        <v>4</v>
      </c>
      <c r="T164" s="196">
        <v>1</v>
      </c>
    </row>
    <row r="165" spans="1:20" ht="15">
      <c r="A165" s="6" t="s">
        <v>1457</v>
      </c>
      <c r="B165" t="s">
        <v>1450</v>
      </c>
      <c r="C165" t="str">
        <f t="shared" si="2"/>
        <v>7S25CSGA324</v>
      </c>
      <c r="D165" s="180">
        <v>0</v>
      </c>
      <c r="E165">
        <v>0</v>
      </c>
      <c r="F165">
        <v>1</v>
      </c>
      <c r="G165" s="180">
        <v>0</v>
      </c>
      <c r="H165">
        <v>2</v>
      </c>
      <c r="I165">
        <v>3</v>
      </c>
      <c r="J165">
        <v>0</v>
      </c>
      <c r="K165">
        <v>1</v>
      </c>
      <c r="L165">
        <v>1</v>
      </c>
      <c r="M165">
        <v>1</v>
      </c>
      <c r="N165">
        <v>1</v>
      </c>
      <c r="O165">
        <v>1</v>
      </c>
      <c r="P165">
        <v>2</v>
      </c>
      <c r="Q165">
        <v>1</v>
      </c>
      <c r="R165">
        <v>2</v>
      </c>
      <c r="S165">
        <v>4</v>
      </c>
      <c r="T165" s="195">
        <v>1</v>
      </c>
    </row>
    <row r="166" spans="1:20" ht="15">
      <c r="A166" s="6" t="s">
        <v>1456</v>
      </c>
      <c r="B166" t="s">
        <v>1451</v>
      </c>
      <c r="C166" t="str">
        <f t="shared" si="2"/>
        <v>7S50FTGB196</v>
      </c>
      <c r="D166" s="180">
        <v>0</v>
      </c>
      <c r="E166">
        <v>0</v>
      </c>
      <c r="F166">
        <v>1</v>
      </c>
      <c r="G166" s="180">
        <v>0</v>
      </c>
      <c r="H166">
        <v>3</v>
      </c>
      <c r="I166">
        <v>5</v>
      </c>
      <c r="J166">
        <v>1</v>
      </c>
      <c r="K166">
        <v>1</v>
      </c>
      <c r="L166">
        <v>1</v>
      </c>
      <c r="M166">
        <v>1</v>
      </c>
      <c r="N166">
        <v>1</v>
      </c>
      <c r="O166">
        <v>1</v>
      </c>
      <c r="P166">
        <v>3</v>
      </c>
      <c r="Q166">
        <v>1</v>
      </c>
      <c r="R166">
        <v>2</v>
      </c>
      <c r="S166">
        <v>4</v>
      </c>
      <c r="T166" s="195">
        <v>1</v>
      </c>
    </row>
    <row r="167" spans="1:20" ht="15">
      <c r="A167" s="6" t="s">
        <v>1457</v>
      </c>
      <c r="B167" t="s">
        <v>1451</v>
      </c>
      <c r="C167" t="str">
        <f t="shared" si="2"/>
        <v>7S50CSGA324</v>
      </c>
      <c r="D167" s="195">
        <v>0</v>
      </c>
      <c r="E167">
        <v>0</v>
      </c>
      <c r="F167">
        <v>1</v>
      </c>
      <c r="G167" s="180">
        <v>0</v>
      </c>
      <c r="H167">
        <v>3</v>
      </c>
      <c r="I167">
        <v>5</v>
      </c>
      <c r="J167">
        <v>1</v>
      </c>
      <c r="K167">
        <v>1</v>
      </c>
      <c r="L167">
        <v>1</v>
      </c>
      <c r="M167">
        <v>1</v>
      </c>
      <c r="N167">
        <v>1</v>
      </c>
      <c r="O167">
        <v>2</v>
      </c>
      <c r="P167">
        <v>3</v>
      </c>
      <c r="Q167">
        <v>1</v>
      </c>
      <c r="R167">
        <v>2</v>
      </c>
      <c r="S167">
        <v>4</v>
      </c>
      <c r="T167" s="195">
        <v>1</v>
      </c>
    </row>
    <row r="168" spans="1:20" ht="15">
      <c r="A168" t="s">
        <v>1458</v>
      </c>
      <c r="B168" t="s">
        <v>1451</v>
      </c>
      <c r="C168" t="str">
        <f t="shared" ref="C168:C172" si="3">B168&amp;A168</f>
        <v>7S50FGGA484</v>
      </c>
      <c r="D168" s="180">
        <v>0</v>
      </c>
      <c r="E168">
        <v>0</v>
      </c>
      <c r="F168">
        <v>1</v>
      </c>
      <c r="G168" s="180">
        <v>0</v>
      </c>
      <c r="H168">
        <v>3</v>
      </c>
      <c r="I168">
        <v>5</v>
      </c>
      <c r="J168">
        <v>1</v>
      </c>
      <c r="K168">
        <v>1</v>
      </c>
      <c r="L168">
        <v>1</v>
      </c>
      <c r="M168">
        <v>1</v>
      </c>
      <c r="N168">
        <v>1</v>
      </c>
      <c r="O168">
        <v>2</v>
      </c>
      <c r="P168">
        <v>4</v>
      </c>
      <c r="Q168">
        <v>1</v>
      </c>
      <c r="R168">
        <v>2</v>
      </c>
      <c r="S168">
        <v>4</v>
      </c>
      <c r="T168" s="195">
        <v>1</v>
      </c>
    </row>
    <row r="169" spans="1:20" ht="15">
      <c r="A169" s="6" t="s">
        <v>1458</v>
      </c>
      <c r="B169" t="s">
        <v>1452</v>
      </c>
      <c r="C169" t="str">
        <f t="shared" si="3"/>
        <v>7S75FGGA484</v>
      </c>
      <c r="D169" s="180">
        <v>0</v>
      </c>
      <c r="E169">
        <v>0</v>
      </c>
      <c r="F169">
        <v>1</v>
      </c>
      <c r="G169" s="180">
        <v>0</v>
      </c>
      <c r="H169">
        <v>4</v>
      </c>
      <c r="I169">
        <v>7</v>
      </c>
      <c r="J169">
        <v>1</v>
      </c>
      <c r="K169">
        <v>1</v>
      </c>
      <c r="L169">
        <v>1</v>
      </c>
      <c r="M169">
        <v>1</v>
      </c>
      <c r="N169">
        <v>1</v>
      </c>
      <c r="O169">
        <v>3</v>
      </c>
      <c r="P169">
        <v>7</v>
      </c>
      <c r="Q169">
        <v>1</v>
      </c>
      <c r="R169">
        <v>2</v>
      </c>
      <c r="S169">
        <v>4</v>
      </c>
      <c r="T169" s="195">
        <v>1</v>
      </c>
    </row>
    <row r="170" spans="1:20" ht="15">
      <c r="A170" s="6" t="s">
        <v>1459</v>
      </c>
      <c r="B170" t="s">
        <v>1452</v>
      </c>
      <c r="C170" t="str">
        <f t="shared" si="3"/>
        <v>7S75FGGA676</v>
      </c>
      <c r="D170" s="180">
        <v>0</v>
      </c>
      <c r="E170">
        <v>0</v>
      </c>
      <c r="F170">
        <v>1</v>
      </c>
      <c r="G170" s="180">
        <v>0</v>
      </c>
      <c r="H170">
        <v>4</v>
      </c>
      <c r="I170">
        <v>7</v>
      </c>
      <c r="J170">
        <v>1</v>
      </c>
      <c r="K170">
        <v>1</v>
      </c>
      <c r="L170">
        <v>1</v>
      </c>
      <c r="M170">
        <v>1</v>
      </c>
      <c r="N170">
        <v>1</v>
      </c>
      <c r="O170">
        <v>3</v>
      </c>
      <c r="P170">
        <v>7</v>
      </c>
      <c r="Q170">
        <v>1</v>
      </c>
      <c r="R170">
        <v>2</v>
      </c>
      <c r="S170">
        <v>4</v>
      </c>
      <c r="T170" s="195">
        <v>1</v>
      </c>
    </row>
    <row r="171" spans="1:20" ht="15">
      <c r="A171" s="6" t="s">
        <v>1458</v>
      </c>
      <c r="B171" t="s">
        <v>1453</v>
      </c>
      <c r="C171" t="str">
        <f t="shared" si="3"/>
        <v>7S100FGGA484</v>
      </c>
      <c r="D171" s="180">
        <v>0</v>
      </c>
      <c r="E171">
        <v>0</v>
      </c>
      <c r="F171">
        <v>1</v>
      </c>
      <c r="G171" s="180">
        <v>0</v>
      </c>
      <c r="H171">
        <v>5</v>
      </c>
      <c r="I171">
        <v>8</v>
      </c>
      <c r="J171">
        <v>1</v>
      </c>
      <c r="K171">
        <v>1</v>
      </c>
      <c r="L171">
        <v>1</v>
      </c>
      <c r="M171">
        <v>1</v>
      </c>
      <c r="N171">
        <v>1</v>
      </c>
      <c r="O171">
        <v>3</v>
      </c>
      <c r="P171">
        <v>7</v>
      </c>
      <c r="Q171">
        <v>1</v>
      </c>
      <c r="R171">
        <v>2</v>
      </c>
      <c r="S171">
        <v>4</v>
      </c>
      <c r="T171" s="195">
        <v>1</v>
      </c>
    </row>
    <row r="172" spans="1:20" ht="15">
      <c r="A172" t="s">
        <v>1459</v>
      </c>
      <c r="B172" t="s">
        <v>1453</v>
      </c>
      <c r="C172" t="str">
        <f t="shared" si="3"/>
        <v>7S100FGGA676</v>
      </c>
      <c r="D172" s="195">
        <v>0</v>
      </c>
      <c r="E172">
        <v>0</v>
      </c>
      <c r="F172">
        <v>1</v>
      </c>
      <c r="G172" s="180">
        <v>0</v>
      </c>
      <c r="H172">
        <v>5</v>
      </c>
      <c r="I172">
        <v>8</v>
      </c>
      <c r="J172">
        <v>1</v>
      </c>
      <c r="K172">
        <v>1</v>
      </c>
      <c r="L172">
        <v>1</v>
      </c>
      <c r="M172">
        <v>1</v>
      </c>
      <c r="N172">
        <v>1</v>
      </c>
      <c r="O172">
        <v>3</v>
      </c>
      <c r="P172">
        <v>7</v>
      </c>
      <c r="Q172">
        <v>1</v>
      </c>
      <c r="R172">
        <v>2</v>
      </c>
      <c r="S172">
        <v>4</v>
      </c>
      <c r="T172" s="196">
        <v>1</v>
      </c>
    </row>
  </sheetData>
  <sortState ref="A3:Q70">
    <sortCondition ref="B3:B70"/>
    <sortCondition ref="A3:A70"/>
  </sortState>
  <phoneticPr fontId="0" type="noConversion"/>
  <pageMargins left="0.75" right="0.75" top="1" bottom="1" header="0.5" footer="0.5"/>
  <pageSetup orientation="landscape"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23"/>
  <sheetViews>
    <sheetView topLeftCell="A82" workbookViewId="0">
      <selection activeCell="A93" sqref="A93:B101"/>
    </sheetView>
  </sheetViews>
  <sheetFormatPr defaultRowHeight="12.75"/>
  <cols>
    <col min="3" max="3" width="17" bestFit="1" customWidth="1"/>
    <col min="4" max="5" width="18.28515625" bestFit="1" customWidth="1"/>
    <col min="6" max="6" width="18.140625" bestFit="1" customWidth="1"/>
    <col min="7" max="8" width="17.28515625" bestFit="1" customWidth="1"/>
    <col min="9" max="9" width="3.5703125" bestFit="1" customWidth="1"/>
  </cols>
  <sheetData>
    <row r="1" spans="1:9">
      <c r="A1" s="6" t="s">
        <v>319</v>
      </c>
    </row>
    <row r="2" spans="1:9">
      <c r="A2" s="8" t="s">
        <v>160</v>
      </c>
      <c r="B2" s="8" t="s">
        <v>106</v>
      </c>
      <c r="C2" s="8" t="s">
        <v>161</v>
      </c>
      <c r="D2" s="9" t="s">
        <v>170</v>
      </c>
      <c r="E2" s="9" t="s">
        <v>171</v>
      </c>
      <c r="F2" s="9" t="s">
        <v>172</v>
      </c>
      <c r="G2" s="9" t="s">
        <v>173</v>
      </c>
      <c r="H2" s="9" t="s">
        <v>174</v>
      </c>
      <c r="I2" s="9" t="s">
        <v>175</v>
      </c>
    </row>
    <row r="3" spans="1:9">
      <c r="A3" s="8" t="s">
        <v>109</v>
      </c>
      <c r="B3" s="9" t="s">
        <v>1312</v>
      </c>
      <c r="C3" s="178" t="str">
        <f t="shared" ref="C3:C4" si="0">CONCATENATE(A3,B3)</f>
        <v>7K160TFB484</v>
      </c>
      <c r="D3" s="9" t="s">
        <v>1352</v>
      </c>
      <c r="E3" s="8"/>
      <c r="F3" s="8"/>
      <c r="G3" s="9"/>
      <c r="H3" s="9"/>
      <c r="I3" s="8"/>
    </row>
    <row r="4" spans="1:9">
      <c r="A4" s="8" t="s">
        <v>109</v>
      </c>
      <c r="B4" s="8" t="s">
        <v>1313</v>
      </c>
      <c r="C4" s="178" t="str">
        <f t="shared" si="0"/>
        <v>7K160TFB676</v>
      </c>
      <c r="D4" s="9" t="s">
        <v>1354</v>
      </c>
      <c r="E4" s="9" t="s">
        <v>1355</v>
      </c>
      <c r="F4" s="9" t="s">
        <v>1356</v>
      </c>
      <c r="G4" s="9" t="s">
        <v>1357</v>
      </c>
      <c r="H4" s="9" t="s">
        <v>1358</v>
      </c>
      <c r="I4" s="9" t="s">
        <v>1359</v>
      </c>
    </row>
    <row r="5" spans="1:9">
      <c r="A5" s="8" t="s">
        <v>109</v>
      </c>
      <c r="B5" s="9" t="s">
        <v>1317</v>
      </c>
      <c r="C5" s="178" t="str">
        <f t="shared" ref="C5:C36" si="1">CONCATENATE(A5,B5)</f>
        <v>7K160TFF676</v>
      </c>
      <c r="D5" s="9" t="s">
        <v>1355</v>
      </c>
      <c r="E5" s="9" t="s">
        <v>1356</v>
      </c>
      <c r="F5" s="9" t="s">
        <v>1357</v>
      </c>
      <c r="G5" s="9" t="s">
        <v>1358</v>
      </c>
      <c r="H5" t="s">
        <v>1354</v>
      </c>
      <c r="I5" t="s">
        <v>1360</v>
      </c>
    </row>
    <row r="6" spans="1:9">
      <c r="A6" s="9" t="s">
        <v>110</v>
      </c>
      <c r="B6" s="8" t="s">
        <v>1313</v>
      </c>
      <c r="C6" s="178" t="str">
        <f t="shared" si="1"/>
        <v>7K325TFB676</v>
      </c>
      <c r="D6" s="9" t="s">
        <v>1354</v>
      </c>
      <c r="E6" s="9" t="s">
        <v>1360</v>
      </c>
      <c r="F6" s="9" t="s">
        <v>1356</v>
      </c>
      <c r="G6" s="9" t="s">
        <v>1359</v>
      </c>
      <c r="H6" s="9" t="s">
        <v>1358</v>
      </c>
      <c r="I6" s="9" t="s">
        <v>1357</v>
      </c>
    </row>
    <row r="7" spans="1:9">
      <c r="A7" s="9" t="s">
        <v>110</v>
      </c>
      <c r="B7" s="9" t="s">
        <v>1315</v>
      </c>
      <c r="C7" s="178" t="str">
        <f t="shared" si="1"/>
        <v>7K325TFB900</v>
      </c>
      <c r="D7" s="9" t="s">
        <v>1361</v>
      </c>
      <c r="E7" s="9" t="s">
        <v>1362</v>
      </c>
      <c r="F7" s="9" t="s">
        <v>1363</v>
      </c>
      <c r="G7" s="9"/>
      <c r="H7" s="9"/>
      <c r="I7" s="9"/>
    </row>
    <row r="8" spans="1:9">
      <c r="A8" s="9" t="s">
        <v>110</v>
      </c>
      <c r="B8" s="9" t="s">
        <v>1317</v>
      </c>
      <c r="C8" s="178" t="str">
        <f t="shared" si="1"/>
        <v>7K325TFF676</v>
      </c>
      <c r="D8" s="9" t="s">
        <v>1360</v>
      </c>
      <c r="E8" s="9" t="s">
        <v>1356</v>
      </c>
      <c r="F8" s="9" t="s">
        <v>1359</v>
      </c>
      <c r="G8" s="9" t="s">
        <v>1358</v>
      </c>
      <c r="H8" t="s">
        <v>1354</v>
      </c>
      <c r="I8" t="s">
        <v>1355</v>
      </c>
    </row>
    <row r="9" spans="1:9">
      <c r="A9" s="9" t="s">
        <v>110</v>
      </c>
      <c r="B9" s="9" t="s">
        <v>1318</v>
      </c>
      <c r="C9" s="178" t="str">
        <f t="shared" si="1"/>
        <v>7K325TFF900</v>
      </c>
      <c r="D9" s="9" t="s">
        <v>1361</v>
      </c>
      <c r="E9" s="9" t="s">
        <v>1362</v>
      </c>
      <c r="F9" t="s">
        <v>1364</v>
      </c>
      <c r="G9" s="9"/>
      <c r="H9" s="9"/>
      <c r="I9" s="9"/>
    </row>
    <row r="10" spans="1:9">
      <c r="A10" s="9" t="s">
        <v>186</v>
      </c>
      <c r="B10" s="9" t="s">
        <v>1314</v>
      </c>
      <c r="C10" s="178" t="str">
        <f t="shared" si="1"/>
        <v>7K355TFF901</v>
      </c>
      <c r="D10" s="9" t="s">
        <v>1397</v>
      </c>
      <c r="E10" s="9" t="s">
        <v>1398</v>
      </c>
      <c r="F10" s="9"/>
      <c r="G10" s="9"/>
      <c r="H10" s="8"/>
      <c r="I10" s="9"/>
    </row>
    <row r="11" spans="1:9">
      <c r="A11" s="9" t="s">
        <v>111</v>
      </c>
      <c r="B11" s="8" t="s">
        <v>1313</v>
      </c>
      <c r="C11" s="178" t="str">
        <f t="shared" si="1"/>
        <v>7K410TFB676</v>
      </c>
      <c r="D11" s="9" t="s">
        <v>1354</v>
      </c>
      <c r="E11" s="9" t="s">
        <v>1360</v>
      </c>
      <c r="F11" s="9" t="s">
        <v>1355</v>
      </c>
      <c r="G11" s="9" t="s">
        <v>1359</v>
      </c>
      <c r="H11" s="9" t="s">
        <v>1357</v>
      </c>
      <c r="I11" s="9" t="s">
        <v>1358</v>
      </c>
    </row>
    <row r="12" spans="1:9">
      <c r="A12" s="9" t="s">
        <v>111</v>
      </c>
      <c r="B12" s="9" t="s">
        <v>1315</v>
      </c>
      <c r="C12" s="178" t="str">
        <f t="shared" si="1"/>
        <v>7K410TFB900</v>
      </c>
      <c r="D12" s="9" t="s">
        <v>1364</v>
      </c>
      <c r="E12" s="9" t="s">
        <v>1363</v>
      </c>
      <c r="F12" s="9" t="s">
        <v>1362</v>
      </c>
      <c r="G12" s="9"/>
      <c r="H12" s="9"/>
      <c r="I12" s="9"/>
    </row>
    <row r="13" spans="1:9">
      <c r="A13" s="9" t="s">
        <v>111</v>
      </c>
      <c r="B13" s="9" t="s">
        <v>1317</v>
      </c>
      <c r="C13" s="178" t="str">
        <f t="shared" si="1"/>
        <v>7K410TFF676</v>
      </c>
      <c r="D13" s="9" t="s">
        <v>1360</v>
      </c>
      <c r="E13" s="9" t="s">
        <v>1355</v>
      </c>
      <c r="F13" s="9" t="s">
        <v>1359</v>
      </c>
      <c r="G13" s="9" t="s">
        <v>1357</v>
      </c>
      <c r="H13" t="s">
        <v>1354</v>
      </c>
      <c r="I13" t="s">
        <v>1356</v>
      </c>
    </row>
    <row r="14" spans="1:9">
      <c r="A14" s="9" t="s">
        <v>111</v>
      </c>
      <c r="B14" s="9" t="s">
        <v>1318</v>
      </c>
      <c r="C14" s="178" t="str">
        <f t="shared" si="1"/>
        <v>7K410TFF900</v>
      </c>
      <c r="D14" s="9" t="s">
        <v>1364</v>
      </c>
      <c r="E14" s="9" t="s">
        <v>1363</v>
      </c>
      <c r="F14" t="s">
        <v>1361</v>
      </c>
      <c r="G14" s="9"/>
      <c r="H14" s="9"/>
      <c r="I14" s="9"/>
    </row>
    <row r="15" spans="1:9">
      <c r="A15" s="9" t="s">
        <v>103</v>
      </c>
      <c r="B15" s="9" t="s">
        <v>1316</v>
      </c>
      <c r="C15" s="178" t="str">
        <f t="shared" si="1"/>
        <v>7K420TFF1156</v>
      </c>
      <c r="D15" s="9" t="s">
        <v>1365</v>
      </c>
      <c r="E15" s="9"/>
      <c r="F15" s="9"/>
      <c r="G15" s="9"/>
      <c r="H15" s="8"/>
      <c r="I15" s="9"/>
    </row>
    <row r="16" spans="1:9">
      <c r="A16" s="9" t="s">
        <v>103</v>
      </c>
      <c r="B16" s="9" t="s">
        <v>1314</v>
      </c>
      <c r="C16" s="178" t="str">
        <f t="shared" si="1"/>
        <v>7K420TFF901</v>
      </c>
      <c r="D16" s="9" t="s">
        <v>1399</v>
      </c>
      <c r="E16" s="9" t="s">
        <v>1398</v>
      </c>
      <c r="F16" s="9"/>
      <c r="G16" s="9"/>
      <c r="H16" s="8"/>
      <c r="I16" s="9"/>
    </row>
    <row r="17" spans="1:9">
      <c r="A17" s="9" t="s">
        <v>190</v>
      </c>
      <c r="B17" s="9" t="s">
        <v>1316</v>
      </c>
      <c r="C17" s="178" t="str">
        <f t="shared" si="1"/>
        <v>7K480TFF1156</v>
      </c>
      <c r="D17" s="9" t="s">
        <v>1366</v>
      </c>
      <c r="E17" s="9"/>
      <c r="F17" s="9"/>
      <c r="G17" s="9"/>
      <c r="H17" s="8"/>
      <c r="I17" s="9"/>
    </row>
    <row r="18" spans="1:9">
      <c r="A18" s="9" t="s">
        <v>190</v>
      </c>
      <c r="B18" s="9" t="s">
        <v>1314</v>
      </c>
      <c r="C18" s="178" t="str">
        <f t="shared" si="1"/>
        <v>7K480TFF901</v>
      </c>
      <c r="D18" s="9" t="s">
        <v>1399</v>
      </c>
      <c r="E18" s="9" t="s">
        <v>1397</v>
      </c>
      <c r="F18" s="9"/>
      <c r="G18" s="9"/>
      <c r="H18" s="8"/>
      <c r="I18" s="9"/>
    </row>
    <row r="19" spans="1:9">
      <c r="A19" s="9" t="s">
        <v>108</v>
      </c>
      <c r="B19" s="8" t="s">
        <v>1312</v>
      </c>
      <c r="C19" s="178" t="str">
        <f t="shared" si="1"/>
        <v>7K70TFB484</v>
      </c>
      <c r="D19" s="9" t="s">
        <v>1353</v>
      </c>
      <c r="E19" s="9"/>
      <c r="F19" s="9"/>
      <c r="G19" s="9"/>
      <c r="H19" s="9"/>
      <c r="I19" s="9"/>
    </row>
    <row r="20" spans="1:9">
      <c r="A20" s="9" t="s">
        <v>108</v>
      </c>
      <c r="B20" s="9" t="s">
        <v>1313</v>
      </c>
      <c r="C20" s="178" t="str">
        <f t="shared" si="1"/>
        <v>7K70TFB676</v>
      </c>
      <c r="D20" s="9" t="s">
        <v>1360</v>
      </c>
      <c r="E20" s="9" t="s">
        <v>1355</v>
      </c>
      <c r="F20" s="9" t="s">
        <v>1356</v>
      </c>
      <c r="G20" s="9" t="s">
        <v>1359</v>
      </c>
      <c r="H20" s="9" t="s">
        <v>1357</v>
      </c>
      <c r="I20" s="9" t="s">
        <v>1358</v>
      </c>
    </row>
    <row r="21" spans="1:9">
      <c r="A21" s="9" t="s">
        <v>112</v>
      </c>
      <c r="B21" s="9" t="s">
        <v>1319</v>
      </c>
      <c r="C21" s="178" t="str">
        <f t="shared" si="1"/>
        <v>7V1500TFL1761</v>
      </c>
      <c r="D21" s="9" t="s">
        <v>1381</v>
      </c>
      <c r="E21" s="9" t="s">
        <v>1383</v>
      </c>
      <c r="F21" s="9" t="s">
        <v>1378</v>
      </c>
      <c r="G21" s="9" t="s">
        <v>1379</v>
      </c>
      <c r="H21" s="9" t="s">
        <v>1380</v>
      </c>
      <c r="I21" s="9"/>
    </row>
    <row r="22" spans="1:9">
      <c r="A22" s="9" t="s">
        <v>113</v>
      </c>
      <c r="B22" s="9" t="s">
        <v>1320</v>
      </c>
      <c r="C22" s="178" t="str">
        <f t="shared" si="1"/>
        <v>7V2000TFH1761</v>
      </c>
      <c r="D22" s="9" t="s">
        <v>1381</v>
      </c>
      <c r="E22" s="9" t="s">
        <v>1382</v>
      </c>
      <c r="F22" s="9" t="s">
        <v>1378</v>
      </c>
      <c r="G22" s="9" t="s">
        <v>1379</v>
      </c>
      <c r="H22" s="9" t="s">
        <v>1380</v>
      </c>
      <c r="I22" s="9"/>
    </row>
    <row r="23" spans="1:9">
      <c r="A23" s="9" t="s">
        <v>113</v>
      </c>
      <c r="B23" s="9" t="s">
        <v>1327</v>
      </c>
      <c r="C23" s="178" t="str">
        <f t="shared" si="1"/>
        <v>7V2000TFL1925</v>
      </c>
      <c r="D23" s="9"/>
      <c r="E23" s="9"/>
      <c r="F23" s="9"/>
      <c r="G23" s="8"/>
      <c r="H23" s="9"/>
      <c r="I23" s="9"/>
    </row>
    <row r="24" spans="1:9">
      <c r="A24" s="9" t="s">
        <v>48</v>
      </c>
      <c r="B24" s="9" t="s">
        <v>1321</v>
      </c>
      <c r="C24" s="178" t="str">
        <f t="shared" si="1"/>
        <v>7V585TFF1157</v>
      </c>
      <c r="D24" s="9" t="s">
        <v>1367</v>
      </c>
      <c r="E24" s="9" t="s">
        <v>1368</v>
      </c>
      <c r="F24" s="9" t="s">
        <v>1369</v>
      </c>
      <c r="G24" s="9" t="s">
        <v>1370</v>
      </c>
    </row>
    <row r="25" spans="1:9">
      <c r="A25" s="9" t="s">
        <v>48</v>
      </c>
      <c r="B25" s="9" t="s">
        <v>1328</v>
      </c>
      <c r="C25" s="178" t="str">
        <f t="shared" si="1"/>
        <v>7V585TFF1761</v>
      </c>
      <c r="D25" s="9" t="s">
        <v>1376</v>
      </c>
      <c r="E25" s="9" t="s">
        <v>1377</v>
      </c>
      <c r="F25" s="9" t="s">
        <v>1378</v>
      </c>
      <c r="G25" s="9" t="s">
        <v>1379</v>
      </c>
      <c r="H25" s="9" t="s">
        <v>1380</v>
      </c>
    </row>
    <row r="26" spans="1:9">
      <c r="A26" s="9" t="s">
        <v>63</v>
      </c>
      <c r="B26" s="16" t="s">
        <v>1325</v>
      </c>
      <c r="C26" s="178" t="str">
        <f t="shared" si="1"/>
        <v>7VH580TFL1155</v>
      </c>
    </row>
    <row r="27" spans="1:9">
      <c r="A27" s="9" t="s">
        <v>63</v>
      </c>
      <c r="B27" s="16" t="s">
        <v>1332</v>
      </c>
      <c r="C27" s="178" t="str">
        <f t="shared" si="1"/>
        <v>7VH580TFL1931</v>
      </c>
      <c r="D27" s="9" t="s">
        <v>1404</v>
      </c>
    </row>
    <row r="28" spans="1:9">
      <c r="A28" s="9" t="s">
        <v>63</v>
      </c>
      <c r="B28" s="16" t="s">
        <v>1326</v>
      </c>
      <c r="C28" s="178" t="str">
        <f t="shared" si="1"/>
        <v>7VH580TFL1932</v>
      </c>
      <c r="D28" s="9" t="s">
        <v>1406</v>
      </c>
    </row>
    <row r="29" spans="1:9">
      <c r="A29" s="9" t="s">
        <v>64</v>
      </c>
      <c r="B29" s="16" t="s">
        <v>1332</v>
      </c>
      <c r="C29" s="178" t="str">
        <f t="shared" si="1"/>
        <v>7VH870TFL1931</v>
      </c>
      <c r="D29" s="9" t="s">
        <v>1405</v>
      </c>
    </row>
    <row r="30" spans="1:9">
      <c r="A30" s="9" t="s">
        <v>64</v>
      </c>
      <c r="B30" s="16" t="s">
        <v>1326</v>
      </c>
      <c r="C30" s="178" t="str">
        <f t="shared" si="1"/>
        <v>7VH870TFL1932</v>
      </c>
      <c r="D30" s="9" t="s">
        <v>1407</v>
      </c>
    </row>
    <row r="31" spans="1:9">
      <c r="A31" s="9" t="s">
        <v>61</v>
      </c>
      <c r="B31" s="9" t="s">
        <v>1324</v>
      </c>
      <c r="C31" s="178" t="str">
        <f t="shared" si="1"/>
        <v>7VX1140TFL1926</v>
      </c>
      <c r="D31" s="9" t="s">
        <v>1386</v>
      </c>
      <c r="E31" s="9" t="s">
        <v>1384</v>
      </c>
      <c r="F31" s="9"/>
      <c r="G31" s="8"/>
      <c r="H31" s="9"/>
      <c r="I31" s="8"/>
    </row>
    <row r="32" spans="1:9">
      <c r="A32" s="9" t="s">
        <v>61</v>
      </c>
      <c r="B32" s="9" t="s">
        <v>1331</v>
      </c>
      <c r="C32" s="178" t="str">
        <f t="shared" si="1"/>
        <v>7VX1140TFL1928</v>
      </c>
      <c r="D32" s="9" t="s">
        <v>1400</v>
      </c>
      <c r="E32" s="9"/>
      <c r="F32" s="9"/>
      <c r="G32" s="8"/>
      <c r="H32" s="9"/>
      <c r="I32" s="8"/>
    </row>
    <row r="33" spans="1:9">
      <c r="A33" s="9" t="s">
        <v>61</v>
      </c>
      <c r="B33" s="9" t="s">
        <v>1334</v>
      </c>
      <c r="C33" s="178" t="str">
        <f t="shared" si="1"/>
        <v>7VX1140TFL1930</v>
      </c>
      <c r="D33" s="9" t="s">
        <v>1401</v>
      </c>
      <c r="E33" s="9" t="s">
        <v>1402</v>
      </c>
      <c r="F33" s="9" t="s">
        <v>1403</v>
      </c>
      <c r="G33" s="8"/>
      <c r="H33" s="9"/>
    </row>
    <row r="34" spans="1:9">
      <c r="A34" s="9" t="s">
        <v>57</v>
      </c>
      <c r="B34" s="9" t="s">
        <v>1321</v>
      </c>
      <c r="C34" s="178" t="str">
        <f t="shared" si="1"/>
        <v>7VX330TFF1157</v>
      </c>
      <c r="D34" s="9" t="s">
        <v>1371</v>
      </c>
      <c r="E34" s="9" t="s">
        <v>1368</v>
      </c>
      <c r="F34" s="9" t="s">
        <v>1369</v>
      </c>
      <c r="G34" s="9" t="s">
        <v>1370</v>
      </c>
      <c r="H34" s="9"/>
      <c r="I34" s="8"/>
    </row>
    <row r="35" spans="1:9">
      <c r="A35" s="9" t="s">
        <v>57</v>
      </c>
      <c r="B35" s="9" t="s">
        <v>1328</v>
      </c>
      <c r="C35" s="178" t="str">
        <f t="shared" si="1"/>
        <v>7VX330TFF1761</v>
      </c>
      <c r="D35" s="9" t="s">
        <v>1381</v>
      </c>
      <c r="E35" s="9" t="s">
        <v>1376</v>
      </c>
      <c r="F35" s="9" t="s">
        <v>1377</v>
      </c>
      <c r="G35" s="9" t="s">
        <v>1379</v>
      </c>
      <c r="H35" s="9" t="s">
        <v>1380</v>
      </c>
      <c r="I35" s="8"/>
    </row>
    <row r="36" spans="1:9">
      <c r="A36" s="9" t="s">
        <v>58</v>
      </c>
      <c r="B36" s="9" t="s">
        <v>1321</v>
      </c>
      <c r="C36" s="178" t="str">
        <f t="shared" si="1"/>
        <v>7VX415TFF1157</v>
      </c>
      <c r="D36" s="9" t="s">
        <v>1371</v>
      </c>
      <c r="E36" s="9" t="s">
        <v>1367</v>
      </c>
      <c r="F36" s="9" t="s">
        <v>1368</v>
      </c>
      <c r="G36" s="9" t="s">
        <v>1370</v>
      </c>
      <c r="H36" s="9"/>
      <c r="I36" s="8"/>
    </row>
    <row r="37" spans="1:9">
      <c r="A37" s="9" t="s">
        <v>58</v>
      </c>
      <c r="B37" s="9" t="s">
        <v>1322</v>
      </c>
      <c r="C37" s="178" t="str">
        <f t="shared" ref="C37:C54" si="2">CONCATENATE(A37,B37)</f>
        <v>7VX415TFF1158</v>
      </c>
      <c r="D37" s="9" t="s">
        <v>1372</v>
      </c>
      <c r="E37" s="9" t="s">
        <v>1373</v>
      </c>
      <c r="F37" s="9" t="s">
        <v>1374</v>
      </c>
      <c r="G37" s="8"/>
      <c r="H37" s="9"/>
      <c r="I37" s="8"/>
    </row>
    <row r="38" spans="1:9">
      <c r="A38" s="9" t="s">
        <v>58</v>
      </c>
      <c r="B38" s="9" t="s">
        <v>1329</v>
      </c>
      <c r="C38" s="178" t="str">
        <f t="shared" si="2"/>
        <v>7VX415TFF1927</v>
      </c>
      <c r="D38" s="9" t="s">
        <v>1387</v>
      </c>
      <c r="E38" s="9" t="s">
        <v>1388</v>
      </c>
      <c r="F38" s="9" t="s">
        <v>1389</v>
      </c>
      <c r="G38" s="8"/>
      <c r="H38" s="9"/>
      <c r="I38" s="8"/>
    </row>
    <row r="39" spans="1:9">
      <c r="A39" s="9" t="s">
        <v>195</v>
      </c>
      <c r="B39" s="9" t="s">
        <v>1321</v>
      </c>
      <c r="C39" s="178" t="str">
        <f t="shared" si="2"/>
        <v>7VX485TFF1157</v>
      </c>
      <c r="D39" s="9" t="s">
        <v>1371</v>
      </c>
      <c r="E39" s="9" t="s">
        <v>1367</v>
      </c>
      <c r="F39" s="9" t="s">
        <v>1369</v>
      </c>
      <c r="G39" s="9" t="s">
        <v>1370</v>
      </c>
      <c r="H39" s="9"/>
      <c r="I39" s="9"/>
    </row>
    <row r="40" spans="1:9">
      <c r="A40" s="9" t="s">
        <v>195</v>
      </c>
      <c r="B40" s="9" t="s">
        <v>1322</v>
      </c>
      <c r="C40" s="178" t="str">
        <f t="shared" si="2"/>
        <v>7VX485TFF1158</v>
      </c>
      <c r="D40" s="9" t="s">
        <v>1375</v>
      </c>
      <c r="E40" s="9" t="s">
        <v>1373</v>
      </c>
      <c r="F40" s="9" t="s">
        <v>1374</v>
      </c>
      <c r="G40" s="8"/>
      <c r="H40" s="9"/>
      <c r="I40" s="9"/>
    </row>
    <row r="41" spans="1:9">
      <c r="A41" s="9" t="s">
        <v>195</v>
      </c>
      <c r="B41" s="9" t="s">
        <v>1328</v>
      </c>
      <c r="C41" s="178" t="str">
        <f t="shared" si="2"/>
        <v>7VX485TFF1761</v>
      </c>
      <c r="D41" s="9" t="s">
        <v>1381</v>
      </c>
      <c r="E41" s="9" t="s">
        <v>1382</v>
      </c>
      <c r="F41" s="9" t="s">
        <v>1383</v>
      </c>
      <c r="G41" s="9" t="s">
        <v>1378</v>
      </c>
      <c r="H41" s="9" t="s">
        <v>1380</v>
      </c>
      <c r="I41" s="9"/>
    </row>
    <row r="42" spans="1:9">
      <c r="A42" s="9" t="s">
        <v>195</v>
      </c>
      <c r="B42" s="9" t="s">
        <v>1329</v>
      </c>
      <c r="C42" s="178" t="str">
        <f t="shared" si="2"/>
        <v>7VX485TFF1927</v>
      </c>
      <c r="D42" s="9" t="s">
        <v>1390</v>
      </c>
      <c r="E42" s="9" t="s">
        <v>1388</v>
      </c>
      <c r="F42" s="9" t="s">
        <v>1389</v>
      </c>
      <c r="G42" s="8"/>
      <c r="H42" s="9"/>
      <c r="I42" s="9"/>
    </row>
    <row r="43" spans="1:9">
      <c r="A43" s="9" t="s">
        <v>195</v>
      </c>
      <c r="B43" s="9" t="s">
        <v>1333</v>
      </c>
      <c r="C43" s="178" t="str">
        <f t="shared" si="2"/>
        <v>7VX485TFF1930</v>
      </c>
      <c r="D43" s="9" t="s">
        <v>1392</v>
      </c>
      <c r="E43" s="9" t="s">
        <v>1393</v>
      </c>
      <c r="F43" s="9" t="s">
        <v>1394</v>
      </c>
      <c r="G43" s="8"/>
      <c r="H43" s="9"/>
      <c r="I43" s="9"/>
    </row>
    <row r="44" spans="1:9">
      <c r="A44" s="9" t="s">
        <v>59</v>
      </c>
      <c r="B44" s="9" t="s">
        <v>1322</v>
      </c>
      <c r="C44" s="178" t="str">
        <f t="shared" si="2"/>
        <v>7VX550TFF1158</v>
      </c>
      <c r="D44" s="9" t="s">
        <v>1372</v>
      </c>
      <c r="E44" s="9" t="s">
        <v>1375</v>
      </c>
      <c r="F44" s="9" t="s">
        <v>1374</v>
      </c>
      <c r="G44" s="8"/>
      <c r="H44" s="9"/>
      <c r="I44" s="8"/>
    </row>
    <row r="45" spans="1:9">
      <c r="A45" s="9" t="s">
        <v>59</v>
      </c>
      <c r="B45" s="9" t="s">
        <v>1329</v>
      </c>
      <c r="C45" s="178" t="str">
        <f t="shared" si="2"/>
        <v>7VX550TFF1927</v>
      </c>
      <c r="D45" s="9" t="s">
        <v>1387</v>
      </c>
      <c r="E45" s="9" t="s">
        <v>1390</v>
      </c>
      <c r="F45" s="9" t="s">
        <v>1389</v>
      </c>
      <c r="G45" s="8"/>
      <c r="H45" s="9"/>
      <c r="I45" s="8"/>
    </row>
    <row r="46" spans="1:9">
      <c r="A46" s="9" t="s">
        <v>60</v>
      </c>
      <c r="B46" s="9" t="s">
        <v>1321</v>
      </c>
      <c r="C46" s="178" t="str">
        <f t="shared" si="2"/>
        <v>7VX690TFF1157</v>
      </c>
      <c r="D46" s="9" t="s">
        <v>1371</v>
      </c>
      <c r="E46" s="9" t="s">
        <v>1367</v>
      </c>
      <c r="F46" s="9" t="s">
        <v>1368</v>
      </c>
      <c r="G46" s="9" t="s">
        <v>1369</v>
      </c>
      <c r="H46" s="9"/>
      <c r="I46" s="8"/>
    </row>
    <row r="47" spans="1:9">
      <c r="A47" s="9" t="s">
        <v>60</v>
      </c>
      <c r="B47" s="9" t="s">
        <v>1322</v>
      </c>
      <c r="C47" s="178" t="str">
        <f t="shared" si="2"/>
        <v>7VX690TFF1158</v>
      </c>
      <c r="D47" s="9" t="s">
        <v>1373</v>
      </c>
      <c r="E47" s="9" t="s">
        <v>1372</v>
      </c>
      <c r="F47" s="9" t="s">
        <v>1375</v>
      </c>
      <c r="I47" s="8"/>
    </row>
    <row r="48" spans="1:9">
      <c r="A48" s="9" t="s">
        <v>60</v>
      </c>
      <c r="B48" s="9" t="s">
        <v>1328</v>
      </c>
      <c r="C48" s="178" t="str">
        <f t="shared" si="2"/>
        <v>7VX690TFF1761</v>
      </c>
      <c r="D48" s="9" t="s">
        <v>1381</v>
      </c>
      <c r="E48" s="9" t="s">
        <v>1376</v>
      </c>
      <c r="F48" s="9" t="s">
        <v>1377</v>
      </c>
      <c r="G48" s="9" t="s">
        <v>1378</v>
      </c>
      <c r="H48" s="9" t="s">
        <v>1379</v>
      </c>
      <c r="I48" s="8"/>
    </row>
    <row r="49" spans="1:9">
      <c r="A49" s="9" t="s">
        <v>60</v>
      </c>
      <c r="B49" s="9" t="s">
        <v>1323</v>
      </c>
      <c r="C49" s="178" t="str">
        <f t="shared" si="2"/>
        <v>7VX690TFF1926</v>
      </c>
      <c r="D49" s="9" t="s">
        <v>1384</v>
      </c>
      <c r="E49" s="9" t="s">
        <v>1385</v>
      </c>
      <c r="F49" s="9"/>
      <c r="G49" s="8"/>
      <c r="H49" s="9"/>
      <c r="I49" s="8"/>
    </row>
    <row r="50" spans="1:9">
      <c r="A50" s="9" t="s">
        <v>60</v>
      </c>
      <c r="B50" s="9" t="s">
        <v>1329</v>
      </c>
      <c r="C50" s="178" t="str">
        <f t="shared" si="2"/>
        <v>7VX690TFF1927</v>
      </c>
      <c r="D50" s="9" t="s">
        <v>1387</v>
      </c>
      <c r="E50" s="9" t="s">
        <v>1390</v>
      </c>
      <c r="F50" s="9" t="s">
        <v>1388</v>
      </c>
      <c r="G50" s="8"/>
      <c r="H50" s="9"/>
      <c r="I50" s="8"/>
    </row>
    <row r="51" spans="1:9">
      <c r="A51" s="9" t="s">
        <v>60</v>
      </c>
      <c r="B51" s="9" t="s">
        <v>1333</v>
      </c>
      <c r="C51" s="178" t="str">
        <f t="shared" si="2"/>
        <v>7VX690TFF1930</v>
      </c>
      <c r="D51" s="9" t="s">
        <v>1393</v>
      </c>
      <c r="E51" s="9" t="s">
        <v>1395</v>
      </c>
      <c r="F51" s="9" t="s">
        <v>1396</v>
      </c>
      <c r="G51" s="8"/>
      <c r="H51" s="9"/>
      <c r="I51" s="8"/>
    </row>
    <row r="52" spans="1:9">
      <c r="A52" s="9" t="s">
        <v>284</v>
      </c>
      <c r="B52" s="9" t="s">
        <v>1323</v>
      </c>
      <c r="C52" s="178" t="str">
        <f t="shared" si="2"/>
        <v>7VX980TFF1926</v>
      </c>
      <c r="D52" s="9" t="s">
        <v>1386</v>
      </c>
      <c r="E52" s="9" t="s">
        <v>1385</v>
      </c>
      <c r="F52" s="9"/>
      <c r="G52" s="8"/>
      <c r="H52" s="9"/>
      <c r="I52" s="8"/>
    </row>
    <row r="53" spans="1:9">
      <c r="A53" s="9" t="s">
        <v>284</v>
      </c>
      <c r="B53" s="9" t="s">
        <v>1330</v>
      </c>
      <c r="C53" s="178" t="str">
        <f t="shared" si="2"/>
        <v>7VX980TFF1928</v>
      </c>
      <c r="D53" s="9" t="s">
        <v>1391</v>
      </c>
      <c r="E53" s="9"/>
      <c r="F53" s="9"/>
      <c r="G53" s="8"/>
      <c r="H53" s="9"/>
      <c r="I53" s="8"/>
    </row>
    <row r="54" spans="1:9">
      <c r="A54" s="9" t="s">
        <v>284</v>
      </c>
      <c r="B54" s="9" t="s">
        <v>1333</v>
      </c>
      <c r="C54" s="178" t="str">
        <f t="shared" si="2"/>
        <v>7VX980TFF1930</v>
      </c>
      <c r="D54" s="9" t="s">
        <v>1392</v>
      </c>
      <c r="E54" s="9" t="s">
        <v>1395</v>
      </c>
      <c r="F54" s="9" t="s">
        <v>1396</v>
      </c>
      <c r="G54" s="8"/>
      <c r="H54" s="9"/>
      <c r="I54" s="8"/>
    </row>
    <row r="55" spans="1:9">
      <c r="A55" t="s">
        <v>1448</v>
      </c>
      <c r="B55" s="6" t="s">
        <v>1454</v>
      </c>
      <c r="C55" t="s">
        <v>1465</v>
      </c>
      <c r="D55" t="s">
        <v>1466</v>
      </c>
    </row>
    <row r="56" spans="1:9">
      <c r="A56" t="s">
        <v>1448</v>
      </c>
      <c r="B56" s="6" t="s">
        <v>1456</v>
      </c>
      <c r="C56" t="s">
        <v>1467</v>
      </c>
      <c r="D56" t="s">
        <v>1468</v>
      </c>
      <c r="E56" t="s">
        <v>1469</v>
      </c>
      <c r="F56" t="s">
        <v>1470</v>
      </c>
    </row>
    <row r="57" spans="1:9">
      <c r="A57" t="s">
        <v>1448</v>
      </c>
      <c r="B57" s="6" t="s">
        <v>1455</v>
      </c>
      <c r="C57" t="s">
        <v>1471</v>
      </c>
      <c r="D57" t="s">
        <v>1472</v>
      </c>
      <c r="E57" t="s">
        <v>1473</v>
      </c>
    </row>
    <row r="58" spans="1:9">
      <c r="A58" t="s">
        <v>1449</v>
      </c>
      <c r="B58" t="s">
        <v>1454</v>
      </c>
      <c r="C58" t="s">
        <v>1474</v>
      </c>
      <c r="D58" t="s">
        <v>1475</v>
      </c>
    </row>
    <row r="59" spans="1:9">
      <c r="A59" t="s">
        <v>1449</v>
      </c>
      <c r="B59" s="6" t="s">
        <v>1456</v>
      </c>
      <c r="C59" t="s">
        <v>1476</v>
      </c>
      <c r="D59" t="s">
        <v>1477</v>
      </c>
      <c r="E59" t="s">
        <v>1469</v>
      </c>
      <c r="F59" t="s">
        <v>1470</v>
      </c>
    </row>
    <row r="60" spans="1:9">
      <c r="A60" t="s">
        <v>1449</v>
      </c>
      <c r="B60" s="6" t="s">
        <v>1455</v>
      </c>
      <c r="C60" t="s">
        <v>1478</v>
      </c>
      <c r="D60" t="s">
        <v>1479</v>
      </c>
      <c r="E60" t="s">
        <v>1473</v>
      </c>
    </row>
    <row r="61" spans="1:9">
      <c r="A61" t="s">
        <v>1450</v>
      </c>
      <c r="B61" s="6" t="s">
        <v>1456</v>
      </c>
      <c r="C61" t="s">
        <v>1480</v>
      </c>
      <c r="D61" t="s">
        <v>1477</v>
      </c>
      <c r="E61" t="s">
        <v>1468</v>
      </c>
      <c r="F61" t="s">
        <v>1470</v>
      </c>
    </row>
    <row r="62" spans="1:9">
      <c r="A62" t="s">
        <v>1450</v>
      </c>
      <c r="B62" t="s">
        <v>1455</v>
      </c>
      <c r="C62" t="s">
        <v>1481</v>
      </c>
      <c r="D62" t="s">
        <v>1479</v>
      </c>
      <c r="E62" t="s">
        <v>1472</v>
      </c>
    </row>
    <row r="63" spans="1:9">
      <c r="A63" t="s">
        <v>1450</v>
      </c>
      <c r="B63" s="6" t="s">
        <v>1457</v>
      </c>
      <c r="C63" t="s">
        <v>1482</v>
      </c>
      <c r="D63" t="s">
        <v>1483</v>
      </c>
    </row>
    <row r="64" spans="1:9">
      <c r="A64" t="s">
        <v>1451</v>
      </c>
      <c r="B64" s="6" t="s">
        <v>1456</v>
      </c>
      <c r="C64" t="s">
        <v>1484</v>
      </c>
      <c r="D64" t="s">
        <v>1477</v>
      </c>
      <c r="E64" t="s">
        <v>1468</v>
      </c>
      <c r="F64" t="s">
        <v>1469</v>
      </c>
    </row>
    <row r="65" spans="1:7">
      <c r="A65" t="s">
        <v>1451</v>
      </c>
      <c r="B65" s="6" t="s">
        <v>1457</v>
      </c>
      <c r="C65" t="s">
        <v>1485</v>
      </c>
      <c r="D65" t="s">
        <v>1486</v>
      </c>
    </row>
    <row r="66" spans="1:7">
      <c r="A66" t="s">
        <v>1451</v>
      </c>
      <c r="B66" t="s">
        <v>1458</v>
      </c>
      <c r="C66" t="s">
        <v>1487</v>
      </c>
      <c r="D66" t="s">
        <v>1488</v>
      </c>
      <c r="E66" t="s">
        <v>1489</v>
      </c>
    </row>
    <row r="67" spans="1:7">
      <c r="A67" t="s">
        <v>1452</v>
      </c>
      <c r="B67" s="6" t="s">
        <v>1458</v>
      </c>
      <c r="C67" t="s">
        <v>1490</v>
      </c>
      <c r="D67" t="s">
        <v>1491</v>
      </c>
      <c r="E67" t="s">
        <v>1489</v>
      </c>
    </row>
    <row r="68" spans="1:7">
      <c r="A68" t="s">
        <v>1452</v>
      </c>
      <c r="B68" s="6" t="s">
        <v>1459</v>
      </c>
      <c r="C68" t="s">
        <v>1492</v>
      </c>
      <c r="D68" t="s">
        <v>1493</v>
      </c>
    </row>
    <row r="69" spans="1:7">
      <c r="A69" t="s">
        <v>1453</v>
      </c>
      <c r="B69" s="6" t="s">
        <v>1458</v>
      </c>
      <c r="C69" t="s">
        <v>1494</v>
      </c>
      <c r="D69" t="s">
        <v>1491</v>
      </c>
      <c r="E69" t="s">
        <v>1488</v>
      </c>
    </row>
    <row r="70" spans="1:7">
      <c r="A70" t="s">
        <v>1453</v>
      </c>
      <c r="B70" t="s">
        <v>1459</v>
      </c>
      <c r="C70" t="s">
        <v>1495</v>
      </c>
      <c r="D70" t="s">
        <v>1496</v>
      </c>
    </row>
    <row r="71" spans="1:7">
      <c r="A71" t="s">
        <v>285</v>
      </c>
      <c r="B71" t="s">
        <v>1341</v>
      </c>
      <c r="C71" t="s">
        <v>1498</v>
      </c>
      <c r="D71" t="s">
        <v>1499</v>
      </c>
    </row>
    <row r="72" spans="1:7">
      <c r="A72" t="s">
        <v>285</v>
      </c>
      <c r="B72" t="s">
        <v>1343</v>
      </c>
      <c r="C72" t="s">
        <v>1500</v>
      </c>
      <c r="D72" t="s">
        <v>1501</v>
      </c>
      <c r="E72" t="s">
        <v>1502</v>
      </c>
      <c r="F72" t="s">
        <v>1503</v>
      </c>
    </row>
    <row r="73" spans="1:7">
      <c r="A73" t="s">
        <v>826</v>
      </c>
      <c r="B73" t="s">
        <v>1342</v>
      </c>
      <c r="C73" t="s">
        <v>1504</v>
      </c>
      <c r="D73" t="s">
        <v>1505</v>
      </c>
      <c r="E73" t="s">
        <v>1506</v>
      </c>
    </row>
    <row r="74" spans="1:7">
      <c r="A74" t="s">
        <v>286</v>
      </c>
      <c r="B74" t="s">
        <v>1343</v>
      </c>
      <c r="C74" t="s">
        <v>1507</v>
      </c>
      <c r="D74" t="s">
        <v>1508</v>
      </c>
      <c r="E74" t="s">
        <v>1502</v>
      </c>
      <c r="F74" t="s">
        <v>1503</v>
      </c>
    </row>
    <row r="75" spans="1:7">
      <c r="A75" t="s">
        <v>286</v>
      </c>
      <c r="B75" t="s">
        <v>1344</v>
      </c>
      <c r="C75" t="s">
        <v>1509</v>
      </c>
      <c r="D75" t="s">
        <v>1510</v>
      </c>
    </row>
    <row r="76" spans="1:7">
      <c r="A76" t="s">
        <v>455</v>
      </c>
      <c r="B76" t="s">
        <v>1312</v>
      </c>
      <c r="C76" t="s">
        <v>1511</v>
      </c>
    </row>
    <row r="77" spans="1:7">
      <c r="A77" t="s">
        <v>455</v>
      </c>
      <c r="B77" t="s">
        <v>1350</v>
      </c>
      <c r="C77" t="s">
        <v>1512</v>
      </c>
      <c r="D77" t="s">
        <v>1513</v>
      </c>
      <c r="E77" t="s">
        <v>1506</v>
      </c>
    </row>
    <row r="78" spans="1:7">
      <c r="A78" t="s">
        <v>455</v>
      </c>
      <c r="B78" t="s">
        <v>1313</v>
      </c>
      <c r="C78" t="s">
        <v>1514</v>
      </c>
      <c r="D78" t="s">
        <v>1515</v>
      </c>
      <c r="E78" t="s">
        <v>1516</v>
      </c>
      <c r="F78" t="s">
        <v>1517</v>
      </c>
      <c r="G78" t="s">
        <v>1518</v>
      </c>
    </row>
    <row r="79" spans="1:7">
      <c r="A79" t="s">
        <v>455</v>
      </c>
      <c r="B79" t="s">
        <v>1317</v>
      </c>
      <c r="C79" t="s">
        <v>1519</v>
      </c>
      <c r="D79" t="s">
        <v>1515</v>
      </c>
      <c r="E79" t="s">
        <v>1516</v>
      </c>
      <c r="F79" t="s">
        <v>1517</v>
      </c>
      <c r="G79" t="s">
        <v>1518</v>
      </c>
    </row>
    <row r="80" spans="1:7">
      <c r="A80" t="s">
        <v>1192</v>
      </c>
      <c r="B80" t="s">
        <v>1313</v>
      </c>
      <c r="C80" t="s">
        <v>1520</v>
      </c>
      <c r="D80" t="s">
        <v>1521</v>
      </c>
      <c r="E80" t="s">
        <v>1522</v>
      </c>
      <c r="F80" t="s">
        <v>1517</v>
      </c>
      <c r="G80" t="s">
        <v>1518</v>
      </c>
    </row>
    <row r="81" spans="1:7">
      <c r="A81" t="s">
        <v>1192</v>
      </c>
      <c r="B81" t="s">
        <v>1317</v>
      </c>
      <c r="C81" t="s">
        <v>1523</v>
      </c>
      <c r="D81" t="s">
        <v>1521</v>
      </c>
      <c r="E81" t="s">
        <v>1522</v>
      </c>
      <c r="F81" t="s">
        <v>1517</v>
      </c>
      <c r="G81" t="s">
        <v>1518</v>
      </c>
    </row>
    <row r="82" spans="1:7">
      <c r="A82" t="s">
        <v>1192</v>
      </c>
      <c r="B82" t="s">
        <v>1318</v>
      </c>
      <c r="C82" t="s">
        <v>1524</v>
      </c>
      <c r="D82" t="s">
        <v>1525</v>
      </c>
      <c r="E82" t="s">
        <v>1526</v>
      </c>
    </row>
    <row r="83" spans="1:7">
      <c r="A83" t="s">
        <v>456</v>
      </c>
      <c r="B83" t="s">
        <v>1313</v>
      </c>
      <c r="C83" t="s">
        <v>1527</v>
      </c>
      <c r="D83" t="s">
        <v>1521</v>
      </c>
      <c r="E83" t="s">
        <v>1522</v>
      </c>
      <c r="F83" t="s">
        <v>1515</v>
      </c>
      <c r="G83" t="s">
        <v>1516</v>
      </c>
    </row>
    <row r="84" spans="1:7">
      <c r="A84" t="s">
        <v>456</v>
      </c>
      <c r="B84" t="s">
        <v>1317</v>
      </c>
      <c r="C84" t="s">
        <v>1528</v>
      </c>
      <c r="D84" t="s">
        <v>1521</v>
      </c>
      <c r="E84" t="s">
        <v>1522</v>
      </c>
      <c r="F84" t="s">
        <v>1515</v>
      </c>
      <c r="G84" t="s">
        <v>1516</v>
      </c>
    </row>
    <row r="85" spans="1:7">
      <c r="A85" t="s">
        <v>456</v>
      </c>
      <c r="B85" t="s">
        <v>1318</v>
      </c>
      <c r="C85" t="s">
        <v>1529</v>
      </c>
      <c r="D85" t="s">
        <v>1530</v>
      </c>
      <c r="E85" t="s">
        <v>1526</v>
      </c>
    </row>
    <row r="86" spans="1:7">
      <c r="A86" t="s">
        <v>782</v>
      </c>
      <c r="B86" t="s">
        <v>1318</v>
      </c>
      <c r="C86" t="s">
        <v>1531</v>
      </c>
      <c r="D86" t="s">
        <v>1530</v>
      </c>
      <c r="E86" t="s">
        <v>1525</v>
      </c>
    </row>
    <row r="87" spans="1:7">
      <c r="A87" t="s">
        <v>782</v>
      </c>
      <c r="B87" t="s">
        <v>1316</v>
      </c>
      <c r="C87" t="s">
        <v>1532</v>
      </c>
    </row>
    <row r="88" spans="1:7">
      <c r="A88" t="s">
        <v>1462</v>
      </c>
      <c r="B88" t="s">
        <v>1341</v>
      </c>
      <c r="C88" t="s">
        <v>1533</v>
      </c>
      <c r="D88" t="s">
        <v>1534</v>
      </c>
    </row>
    <row r="89" spans="1:7">
      <c r="A89" t="s">
        <v>1462</v>
      </c>
      <c r="B89" t="s">
        <v>1343</v>
      </c>
      <c r="C89" t="s">
        <v>1535</v>
      </c>
      <c r="D89" t="s">
        <v>1508</v>
      </c>
      <c r="E89" t="s">
        <v>1501</v>
      </c>
      <c r="F89" t="s">
        <v>1503</v>
      </c>
    </row>
    <row r="90" spans="1:7">
      <c r="A90" t="s">
        <v>1463</v>
      </c>
      <c r="B90" t="s">
        <v>1342</v>
      </c>
      <c r="C90" t="s">
        <v>1536</v>
      </c>
      <c r="D90" t="s">
        <v>1513</v>
      </c>
      <c r="E90" t="s">
        <v>1505</v>
      </c>
    </row>
    <row r="91" spans="1:7">
      <c r="A91" t="s">
        <v>1464</v>
      </c>
      <c r="B91" t="s">
        <v>1343</v>
      </c>
      <c r="C91" t="s">
        <v>1537</v>
      </c>
      <c r="D91" t="s">
        <v>1508</v>
      </c>
      <c r="E91" t="s">
        <v>1501</v>
      </c>
      <c r="F91" t="s">
        <v>1502</v>
      </c>
    </row>
    <row r="92" spans="1:7">
      <c r="A92" t="s">
        <v>1464</v>
      </c>
      <c r="B92" t="s">
        <v>1344</v>
      </c>
      <c r="C92" t="s">
        <v>1538</v>
      </c>
      <c r="D92" t="s">
        <v>1539</v>
      </c>
    </row>
    <row r="93" spans="1:7">
      <c r="A93" t="s">
        <v>1460</v>
      </c>
      <c r="B93" t="s">
        <v>1497</v>
      </c>
      <c r="C93" t="s">
        <v>1540</v>
      </c>
      <c r="D93" t="s">
        <v>1541</v>
      </c>
    </row>
    <row r="94" spans="1:7">
      <c r="A94" t="s">
        <v>1460</v>
      </c>
      <c r="B94" t="s">
        <v>1337</v>
      </c>
      <c r="C94" t="s">
        <v>1542</v>
      </c>
      <c r="D94" t="s">
        <v>1543</v>
      </c>
      <c r="E94" t="s">
        <v>1544</v>
      </c>
      <c r="F94" t="s">
        <v>1545</v>
      </c>
      <c r="G94" t="s">
        <v>1546</v>
      </c>
    </row>
    <row r="95" spans="1:7">
      <c r="A95" t="s">
        <v>1193</v>
      </c>
      <c r="B95" t="s">
        <v>1351</v>
      </c>
      <c r="C95" t="s">
        <v>1547</v>
      </c>
      <c r="D95" t="s">
        <v>1548</v>
      </c>
      <c r="E95" t="s">
        <v>1549</v>
      </c>
    </row>
    <row r="96" spans="1:7">
      <c r="A96" t="s">
        <v>1193</v>
      </c>
      <c r="B96" t="s">
        <v>1335</v>
      </c>
      <c r="C96" t="s">
        <v>1550</v>
      </c>
      <c r="D96" t="s">
        <v>1551</v>
      </c>
      <c r="E96" t="s">
        <v>1552</v>
      </c>
      <c r="F96" t="s">
        <v>1553</v>
      </c>
      <c r="G96" t="s">
        <v>1554</v>
      </c>
    </row>
    <row r="97" spans="1:9">
      <c r="A97" t="s">
        <v>1193</v>
      </c>
      <c r="B97" t="s">
        <v>1337</v>
      </c>
      <c r="C97" t="s">
        <v>1555</v>
      </c>
      <c r="D97" t="s">
        <v>1556</v>
      </c>
      <c r="E97" t="s">
        <v>1544</v>
      </c>
      <c r="F97" t="s">
        <v>1545</v>
      </c>
      <c r="G97" t="s">
        <v>1546</v>
      </c>
    </row>
    <row r="98" spans="1:9">
      <c r="A98" t="s">
        <v>1193</v>
      </c>
      <c r="B98" t="s">
        <v>1339</v>
      </c>
      <c r="C98" t="s">
        <v>1557</v>
      </c>
      <c r="D98" t="s">
        <v>1558</v>
      </c>
      <c r="E98" t="s">
        <v>1559</v>
      </c>
      <c r="F98" t="s">
        <v>1560</v>
      </c>
      <c r="G98" t="s">
        <v>1561</v>
      </c>
      <c r="H98" t="s">
        <v>1562</v>
      </c>
      <c r="I98" t="s">
        <v>1563</v>
      </c>
    </row>
    <row r="99" spans="1:9">
      <c r="A99" t="s">
        <v>1193</v>
      </c>
      <c r="B99" t="s">
        <v>1338</v>
      </c>
      <c r="C99" t="s">
        <v>1564</v>
      </c>
      <c r="D99" t="s">
        <v>1565</v>
      </c>
      <c r="E99" t="s">
        <v>1566</v>
      </c>
      <c r="F99" t="s">
        <v>1567</v>
      </c>
      <c r="G99" t="s">
        <v>1568</v>
      </c>
    </row>
    <row r="100" spans="1:9">
      <c r="A100" t="s">
        <v>1461</v>
      </c>
      <c r="B100" t="s">
        <v>1497</v>
      </c>
      <c r="C100" t="s">
        <v>1569</v>
      </c>
      <c r="D100" t="s">
        <v>1570</v>
      </c>
    </row>
    <row r="101" spans="1:9">
      <c r="A101" t="s">
        <v>1461</v>
      </c>
      <c r="B101" t="s">
        <v>1337</v>
      </c>
      <c r="C101" t="s">
        <v>1571</v>
      </c>
      <c r="D101" t="s">
        <v>1556</v>
      </c>
      <c r="E101" t="s">
        <v>1543</v>
      </c>
      <c r="F101" t="s">
        <v>1545</v>
      </c>
      <c r="G101" t="s">
        <v>1546</v>
      </c>
    </row>
    <row r="102" spans="1:9">
      <c r="A102" t="s">
        <v>867</v>
      </c>
      <c r="B102" t="s">
        <v>1351</v>
      </c>
      <c r="C102" t="s">
        <v>1572</v>
      </c>
      <c r="D102" t="s">
        <v>1573</v>
      </c>
      <c r="E102" t="s">
        <v>1549</v>
      </c>
    </row>
    <row r="103" spans="1:9">
      <c r="A103" t="s">
        <v>867</v>
      </c>
      <c r="B103" t="s">
        <v>1335</v>
      </c>
      <c r="C103" t="s">
        <v>1574</v>
      </c>
      <c r="D103" t="s">
        <v>1575</v>
      </c>
      <c r="E103" t="s">
        <v>1552</v>
      </c>
      <c r="F103" t="s">
        <v>1553</v>
      </c>
      <c r="G103" t="s">
        <v>1554</v>
      </c>
    </row>
    <row r="104" spans="1:9">
      <c r="A104" t="s">
        <v>867</v>
      </c>
      <c r="B104" t="s">
        <v>1337</v>
      </c>
      <c r="C104" t="s">
        <v>1576</v>
      </c>
      <c r="D104" t="s">
        <v>1556</v>
      </c>
      <c r="E104" t="s">
        <v>1543</v>
      </c>
      <c r="F104" t="s">
        <v>1544</v>
      </c>
      <c r="G104" t="s">
        <v>1546</v>
      </c>
    </row>
    <row r="105" spans="1:9">
      <c r="A105" t="s">
        <v>867</v>
      </c>
      <c r="B105" t="s">
        <v>1339</v>
      </c>
      <c r="C105" t="s">
        <v>1577</v>
      </c>
      <c r="D105" t="s">
        <v>1578</v>
      </c>
      <c r="E105" t="s">
        <v>1559</v>
      </c>
      <c r="F105" t="s">
        <v>1560</v>
      </c>
      <c r="G105" t="s">
        <v>1561</v>
      </c>
      <c r="H105" t="s">
        <v>1562</v>
      </c>
      <c r="I105" t="s">
        <v>1563</v>
      </c>
    </row>
    <row r="106" spans="1:9">
      <c r="A106" t="s">
        <v>867</v>
      </c>
      <c r="B106" t="s">
        <v>1338</v>
      </c>
      <c r="C106" t="s">
        <v>1579</v>
      </c>
      <c r="D106" t="s">
        <v>1580</v>
      </c>
      <c r="E106" t="s">
        <v>1566</v>
      </c>
      <c r="F106" t="s">
        <v>1567</v>
      </c>
      <c r="G106" t="s">
        <v>1568</v>
      </c>
    </row>
    <row r="107" spans="1:9">
      <c r="A107" t="s">
        <v>868</v>
      </c>
      <c r="B107" t="s">
        <v>1351</v>
      </c>
      <c r="C107" t="s">
        <v>1581</v>
      </c>
      <c r="D107" t="s">
        <v>1573</v>
      </c>
      <c r="E107" t="s">
        <v>1548</v>
      </c>
    </row>
    <row r="108" spans="1:9">
      <c r="A108" t="s">
        <v>868</v>
      </c>
      <c r="B108" t="s">
        <v>1335</v>
      </c>
      <c r="C108" t="s">
        <v>1582</v>
      </c>
      <c r="D108" t="s">
        <v>1575</v>
      </c>
      <c r="E108" t="s">
        <v>1551</v>
      </c>
      <c r="F108" t="s">
        <v>1553</v>
      </c>
      <c r="G108" t="s">
        <v>1554</v>
      </c>
    </row>
    <row r="109" spans="1:9">
      <c r="A109" t="s">
        <v>868</v>
      </c>
      <c r="B109" t="s">
        <v>1337</v>
      </c>
      <c r="C109" t="s">
        <v>1583</v>
      </c>
      <c r="D109" t="s">
        <v>1556</v>
      </c>
      <c r="E109" t="s">
        <v>1543</v>
      </c>
      <c r="F109" t="s">
        <v>1544</v>
      </c>
      <c r="G109" t="s">
        <v>1545</v>
      </c>
    </row>
    <row r="110" spans="1:9">
      <c r="A110" t="s">
        <v>868</v>
      </c>
      <c r="B110" t="s">
        <v>1339</v>
      </c>
      <c r="C110" t="s">
        <v>1584</v>
      </c>
      <c r="D110" t="s">
        <v>1578</v>
      </c>
      <c r="E110" t="s">
        <v>1558</v>
      </c>
      <c r="F110" t="s">
        <v>1560</v>
      </c>
      <c r="G110" t="s">
        <v>1561</v>
      </c>
      <c r="H110" t="s">
        <v>1562</v>
      </c>
      <c r="I110" t="s">
        <v>1563</v>
      </c>
    </row>
    <row r="111" spans="1:9">
      <c r="A111" t="s">
        <v>868</v>
      </c>
      <c r="B111" t="s">
        <v>1338</v>
      </c>
      <c r="C111" t="s">
        <v>1585</v>
      </c>
      <c r="D111" t="s">
        <v>1580</v>
      </c>
      <c r="E111" t="s">
        <v>1565</v>
      </c>
      <c r="F111" t="s">
        <v>1567</v>
      </c>
      <c r="G111" t="s">
        <v>1568</v>
      </c>
    </row>
    <row r="112" spans="1:9">
      <c r="A112" t="s">
        <v>869</v>
      </c>
      <c r="B112" t="s">
        <v>1335</v>
      </c>
      <c r="C112" t="s">
        <v>1586</v>
      </c>
      <c r="D112" t="s">
        <v>1575</v>
      </c>
      <c r="E112" t="s">
        <v>1551</v>
      </c>
      <c r="F112" t="s">
        <v>1552</v>
      </c>
      <c r="G112" t="s">
        <v>1554</v>
      </c>
    </row>
    <row r="113" spans="1:9">
      <c r="A113" t="s">
        <v>869</v>
      </c>
      <c r="B113" t="s">
        <v>1339</v>
      </c>
      <c r="C113" t="s">
        <v>1587</v>
      </c>
      <c r="D113" t="s">
        <v>1578</v>
      </c>
      <c r="E113" t="s">
        <v>1558</v>
      </c>
      <c r="F113" t="s">
        <v>1559</v>
      </c>
      <c r="G113" t="s">
        <v>1561</v>
      </c>
      <c r="H113" t="s">
        <v>1562</v>
      </c>
      <c r="I113" t="s">
        <v>1563</v>
      </c>
    </row>
    <row r="114" spans="1:9">
      <c r="A114" t="s">
        <v>869</v>
      </c>
      <c r="B114" t="s">
        <v>1340</v>
      </c>
      <c r="C114" t="s">
        <v>1588</v>
      </c>
      <c r="D114" t="s">
        <v>1589</v>
      </c>
      <c r="E114" t="s">
        <v>1590</v>
      </c>
    </row>
    <row r="115" spans="1:9">
      <c r="A115" t="s">
        <v>869</v>
      </c>
      <c r="B115" t="s">
        <v>1338</v>
      </c>
      <c r="C115" t="s">
        <v>1591</v>
      </c>
      <c r="D115" t="s">
        <v>1580</v>
      </c>
      <c r="E115" t="s">
        <v>1565</v>
      </c>
      <c r="F115" t="s">
        <v>1566</v>
      </c>
      <c r="G115" t="s">
        <v>1568</v>
      </c>
    </row>
    <row r="116" spans="1:9">
      <c r="A116" t="s">
        <v>51</v>
      </c>
      <c r="B116" t="s">
        <v>1335</v>
      </c>
      <c r="C116" t="s">
        <v>1592</v>
      </c>
      <c r="D116" t="s">
        <v>1575</v>
      </c>
      <c r="E116" t="s">
        <v>1551</v>
      </c>
      <c r="F116" t="s">
        <v>1552</v>
      </c>
      <c r="G116" t="s">
        <v>1553</v>
      </c>
    </row>
    <row r="117" spans="1:9">
      <c r="A117" t="s">
        <v>51</v>
      </c>
      <c r="B117" t="s">
        <v>1339</v>
      </c>
      <c r="C117" t="s">
        <v>1593</v>
      </c>
      <c r="D117" t="s">
        <v>1578</v>
      </c>
      <c r="E117" t="s">
        <v>1558</v>
      </c>
      <c r="F117" t="s">
        <v>1559</v>
      </c>
      <c r="G117" t="s">
        <v>1560</v>
      </c>
      <c r="H117" t="s">
        <v>1562</v>
      </c>
      <c r="I117" t="s">
        <v>1563</v>
      </c>
    </row>
    <row r="118" spans="1:9">
      <c r="A118" t="s">
        <v>51</v>
      </c>
      <c r="B118" t="s">
        <v>1340</v>
      </c>
      <c r="C118" t="s">
        <v>1594</v>
      </c>
      <c r="D118" t="s">
        <v>1595</v>
      </c>
      <c r="E118" t="s">
        <v>1590</v>
      </c>
    </row>
    <row r="119" spans="1:9">
      <c r="A119" t="s">
        <v>51</v>
      </c>
      <c r="B119" t="s">
        <v>1338</v>
      </c>
      <c r="C119" t="s">
        <v>1596</v>
      </c>
      <c r="D119" t="s">
        <v>1580</v>
      </c>
      <c r="E119" t="s">
        <v>1565</v>
      </c>
      <c r="F119" t="s">
        <v>1566</v>
      </c>
      <c r="G119" t="s">
        <v>1567</v>
      </c>
    </row>
    <row r="120" spans="1:9">
      <c r="A120" t="s">
        <v>282</v>
      </c>
      <c r="B120" t="s">
        <v>1312</v>
      </c>
      <c r="C120" t="s">
        <v>1597</v>
      </c>
      <c r="D120" t="s">
        <v>1578</v>
      </c>
      <c r="E120" t="s">
        <v>1558</v>
      </c>
      <c r="F120" t="s">
        <v>1559</v>
      </c>
      <c r="G120" t="s">
        <v>1560</v>
      </c>
      <c r="H120" t="s">
        <v>1561</v>
      </c>
    </row>
    <row r="121" spans="1:9">
      <c r="A121" t="s">
        <v>282</v>
      </c>
      <c r="B121" t="s">
        <v>1336</v>
      </c>
      <c r="C121" t="s">
        <v>1598</v>
      </c>
      <c r="D121" t="s">
        <v>1578</v>
      </c>
      <c r="E121" t="s">
        <v>1558</v>
      </c>
      <c r="F121" t="s">
        <v>1559</v>
      </c>
      <c r="G121" t="s">
        <v>1560</v>
      </c>
      <c r="H121" t="s">
        <v>1561</v>
      </c>
    </row>
    <row r="122" spans="1:9">
      <c r="A122" t="s">
        <v>282</v>
      </c>
      <c r="B122" t="s">
        <v>1313</v>
      </c>
      <c r="C122" t="s">
        <v>1599</v>
      </c>
      <c r="D122" t="s">
        <v>1595</v>
      </c>
      <c r="E122" t="s">
        <v>1589</v>
      </c>
    </row>
    <row r="123" spans="1:9">
      <c r="A123" t="s">
        <v>282</v>
      </c>
      <c r="B123" t="s">
        <v>1316</v>
      </c>
      <c r="C123" t="s">
        <v>1600</v>
      </c>
    </row>
  </sheetData>
  <sortState ref="A3:I101">
    <sortCondition ref="A3:A101"/>
    <sortCondition ref="B3:B101"/>
  </sortState>
  <phoneticPr fontId="27" type="noConversion"/>
  <pageMargins left="0.7" right="0.7" top="0.75" bottom="0.75" header="0.3" footer="0.3"/>
  <pageSetup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135"/>
  <sheetViews>
    <sheetView topLeftCell="A85" workbookViewId="0">
      <selection activeCell="C111" sqref="C111"/>
    </sheetView>
  </sheetViews>
  <sheetFormatPr defaultRowHeight="12.75"/>
  <cols>
    <col min="1" max="1" width="9.140625" style="8" customWidth="1"/>
    <col min="2" max="2" width="17.5703125" style="8" bestFit="1" customWidth="1"/>
    <col min="3" max="3" width="17" style="188" bestFit="1" customWidth="1"/>
    <col min="4" max="10" width="9.140625" style="8" customWidth="1"/>
    <col min="12" max="12" width="11.140625" bestFit="1" customWidth="1"/>
    <col min="13" max="13" width="27.28515625" bestFit="1" customWidth="1"/>
  </cols>
  <sheetData>
    <row r="1" spans="1:14">
      <c r="A1" s="16" t="s">
        <v>318</v>
      </c>
    </row>
    <row r="2" spans="1:14">
      <c r="A2" s="9" t="s">
        <v>160</v>
      </c>
      <c r="B2" s="8" t="s">
        <v>106</v>
      </c>
      <c r="C2" s="188" t="s">
        <v>161</v>
      </c>
      <c r="D2" s="8" t="s">
        <v>165</v>
      </c>
      <c r="E2" s="8">
        <v>14</v>
      </c>
      <c r="F2" s="8">
        <v>15</v>
      </c>
      <c r="G2" s="8" t="s">
        <v>166</v>
      </c>
      <c r="H2" s="8" t="s">
        <v>167</v>
      </c>
      <c r="I2" s="8" t="s">
        <v>168</v>
      </c>
      <c r="J2" s="8" t="s">
        <v>177</v>
      </c>
      <c r="K2" s="9" t="s">
        <v>287</v>
      </c>
      <c r="L2" s="9" t="s">
        <v>288</v>
      </c>
      <c r="M2" s="9" t="s">
        <v>496</v>
      </c>
      <c r="N2" s="9" t="s">
        <v>857</v>
      </c>
    </row>
    <row r="3" spans="1:14">
      <c r="A3" s="9" t="s">
        <v>51</v>
      </c>
      <c r="B3" s="9" t="s">
        <v>1335</v>
      </c>
      <c r="C3" s="16" t="str">
        <f>A3&amp;B3</f>
        <v>7A100TCS324</v>
      </c>
      <c r="D3" s="9" t="s">
        <v>178</v>
      </c>
      <c r="E3" s="9" t="s">
        <v>166</v>
      </c>
      <c r="F3" s="9" t="s">
        <v>166</v>
      </c>
      <c r="G3" s="9" t="s">
        <v>52</v>
      </c>
      <c r="H3" s="9" t="s">
        <v>223</v>
      </c>
      <c r="I3" s="9" t="s">
        <v>223</v>
      </c>
      <c r="J3" s="9" t="s">
        <v>223</v>
      </c>
      <c r="K3" s="9" t="s">
        <v>223</v>
      </c>
      <c r="L3" s="9" t="s">
        <v>223</v>
      </c>
      <c r="M3" s="9" t="s">
        <v>497</v>
      </c>
      <c r="N3" s="9" t="s">
        <v>223</v>
      </c>
    </row>
    <row r="4" spans="1:14">
      <c r="A4" s="9" t="s">
        <v>51</v>
      </c>
      <c r="B4" s="9" t="s">
        <v>1339</v>
      </c>
      <c r="C4" s="16" t="str">
        <f t="shared" ref="C4:C67" si="0">A4&amp;B4</f>
        <v>7A100TFG484</v>
      </c>
      <c r="D4" s="9" t="s">
        <v>178</v>
      </c>
      <c r="E4" s="9" t="s">
        <v>166</v>
      </c>
      <c r="F4" s="9" t="s">
        <v>166</v>
      </c>
      <c r="G4" s="9" t="s">
        <v>289</v>
      </c>
      <c r="H4" s="9" t="s">
        <v>223</v>
      </c>
      <c r="I4" s="9" t="s">
        <v>223</v>
      </c>
      <c r="J4" s="9" t="s">
        <v>223</v>
      </c>
      <c r="K4" s="9" t="s">
        <v>290</v>
      </c>
      <c r="L4" s="9" t="s">
        <v>223</v>
      </c>
      <c r="M4" s="9" t="s">
        <v>497</v>
      </c>
      <c r="N4" s="9" t="s">
        <v>223</v>
      </c>
    </row>
    <row r="5" spans="1:14">
      <c r="A5" s="9" t="s">
        <v>51</v>
      </c>
      <c r="B5" s="9" t="s">
        <v>1340</v>
      </c>
      <c r="C5" s="16" t="str">
        <f t="shared" si="0"/>
        <v>7A100TFG676</v>
      </c>
      <c r="D5" s="9" t="s">
        <v>178</v>
      </c>
      <c r="E5" s="9" t="s">
        <v>166</v>
      </c>
      <c r="F5" s="9" t="s">
        <v>166</v>
      </c>
      <c r="G5" s="9" t="s">
        <v>289</v>
      </c>
      <c r="H5" s="9" t="s">
        <v>223</v>
      </c>
      <c r="I5" s="9" t="s">
        <v>223</v>
      </c>
      <c r="J5" s="9" t="s">
        <v>223</v>
      </c>
      <c r="K5" s="9" t="s">
        <v>291</v>
      </c>
      <c r="L5" s="9" t="s">
        <v>223</v>
      </c>
      <c r="M5" s="9" t="s">
        <v>497</v>
      </c>
      <c r="N5" s="9" t="s">
        <v>223</v>
      </c>
    </row>
    <row r="6" spans="1:14">
      <c r="A6" s="9" t="s">
        <v>51</v>
      </c>
      <c r="B6" s="9" t="s">
        <v>1338</v>
      </c>
      <c r="C6" s="16" t="str">
        <f t="shared" si="0"/>
        <v>7A100TFT256</v>
      </c>
      <c r="D6" s="9" t="s">
        <v>178</v>
      </c>
      <c r="E6" s="9" t="s">
        <v>166</v>
      </c>
      <c r="F6" s="9" t="s">
        <v>166</v>
      </c>
      <c r="G6" s="9" t="s">
        <v>53</v>
      </c>
      <c r="H6" s="9" t="s">
        <v>223</v>
      </c>
      <c r="I6" s="9" t="s">
        <v>223</v>
      </c>
      <c r="J6" s="9" t="s">
        <v>223</v>
      </c>
      <c r="K6" s="9" t="s">
        <v>223</v>
      </c>
      <c r="L6" s="9" t="s">
        <v>223</v>
      </c>
      <c r="M6" s="9" t="s">
        <v>497</v>
      </c>
      <c r="N6" s="9" t="s">
        <v>223</v>
      </c>
    </row>
    <row r="7" spans="1:14">
      <c r="A7" s="9" t="s">
        <v>282</v>
      </c>
      <c r="B7" s="9" t="s">
        <v>1312</v>
      </c>
      <c r="C7" s="16" t="str">
        <f t="shared" si="0"/>
        <v>7A200TFB484</v>
      </c>
      <c r="D7" s="9" t="s">
        <v>178</v>
      </c>
      <c r="E7" s="9" t="s">
        <v>166</v>
      </c>
      <c r="F7" s="9" t="s">
        <v>166</v>
      </c>
      <c r="G7" s="9" t="s">
        <v>289</v>
      </c>
      <c r="H7" s="9" t="s">
        <v>223</v>
      </c>
      <c r="I7" s="9" t="s">
        <v>223</v>
      </c>
      <c r="J7" s="9" t="s">
        <v>223</v>
      </c>
      <c r="K7" s="9" t="s">
        <v>292</v>
      </c>
      <c r="L7" s="9" t="s">
        <v>223</v>
      </c>
      <c r="M7" s="9" t="s">
        <v>497</v>
      </c>
      <c r="N7" s="9" t="s">
        <v>223</v>
      </c>
    </row>
    <row r="8" spans="1:14">
      <c r="A8" s="9" t="s">
        <v>282</v>
      </c>
      <c r="B8" s="9" t="s">
        <v>1336</v>
      </c>
      <c r="C8" s="16" t="str">
        <f t="shared" si="0"/>
        <v>7A200TSB484</v>
      </c>
      <c r="D8" s="9" t="s">
        <v>178</v>
      </c>
      <c r="E8" s="9" t="s">
        <v>166</v>
      </c>
      <c r="F8" s="9" t="s">
        <v>166</v>
      </c>
      <c r="G8" s="9" t="s">
        <v>289</v>
      </c>
      <c r="H8" s="9" t="s">
        <v>223</v>
      </c>
      <c r="I8" s="9" t="s">
        <v>223</v>
      </c>
      <c r="J8" s="9" t="s">
        <v>223</v>
      </c>
      <c r="K8" s="9" t="s">
        <v>292</v>
      </c>
      <c r="L8" s="9" t="s">
        <v>223</v>
      </c>
      <c r="M8" s="9" t="s">
        <v>497</v>
      </c>
      <c r="N8" s="9" t="s">
        <v>223</v>
      </c>
    </row>
    <row r="9" spans="1:14">
      <c r="A9" s="9" t="s">
        <v>282</v>
      </c>
      <c r="B9" s="9" t="s">
        <v>1313</v>
      </c>
      <c r="C9" s="16" t="str">
        <f t="shared" si="0"/>
        <v>7A200TFB676</v>
      </c>
      <c r="D9" s="9" t="s">
        <v>178</v>
      </c>
      <c r="E9" s="9" t="s">
        <v>166</v>
      </c>
      <c r="F9" s="9" t="s">
        <v>166</v>
      </c>
      <c r="G9" s="9" t="s">
        <v>293</v>
      </c>
      <c r="H9" s="9" t="s">
        <v>223</v>
      </c>
      <c r="I9" s="9" t="s">
        <v>223</v>
      </c>
      <c r="J9" s="9" t="s">
        <v>223</v>
      </c>
      <c r="K9" s="9" t="s">
        <v>294</v>
      </c>
      <c r="L9" s="9" t="s">
        <v>223</v>
      </c>
      <c r="M9" s="9" t="s">
        <v>497</v>
      </c>
      <c r="N9" s="9" t="s">
        <v>223</v>
      </c>
    </row>
    <row r="10" spans="1:14">
      <c r="A10" s="9" t="s">
        <v>282</v>
      </c>
      <c r="B10" s="9" t="s">
        <v>1316</v>
      </c>
      <c r="C10" s="16" t="str">
        <f t="shared" si="0"/>
        <v>7A200TFF1156</v>
      </c>
      <c r="D10" s="9" t="s">
        <v>178</v>
      </c>
      <c r="E10" s="9" t="s">
        <v>166</v>
      </c>
      <c r="F10" s="9" t="s">
        <v>166</v>
      </c>
      <c r="G10" s="9" t="s">
        <v>295</v>
      </c>
      <c r="H10" s="9" t="s">
        <v>223</v>
      </c>
      <c r="I10" s="9" t="s">
        <v>223</v>
      </c>
      <c r="J10" s="9" t="s">
        <v>223</v>
      </c>
      <c r="K10" s="9" t="s">
        <v>296</v>
      </c>
      <c r="L10" s="9" t="s">
        <v>223</v>
      </c>
      <c r="M10" s="9" t="s">
        <v>497</v>
      </c>
      <c r="N10" s="9" t="s">
        <v>223</v>
      </c>
    </row>
    <row r="11" spans="1:14">
      <c r="A11" s="9" t="s">
        <v>283</v>
      </c>
      <c r="B11" s="9" t="s">
        <v>1312</v>
      </c>
      <c r="C11" s="16" t="str">
        <f t="shared" si="0"/>
        <v>7A350TFB484</v>
      </c>
      <c r="D11" s="9" t="s">
        <v>178</v>
      </c>
      <c r="E11" s="9" t="s">
        <v>166</v>
      </c>
      <c r="F11" s="9" t="s">
        <v>166</v>
      </c>
      <c r="G11" s="9" t="s">
        <v>289</v>
      </c>
      <c r="H11" s="9" t="s">
        <v>223</v>
      </c>
      <c r="I11" s="9" t="s">
        <v>223</v>
      </c>
      <c r="J11" s="9" t="s">
        <v>223</v>
      </c>
      <c r="K11" s="9" t="s">
        <v>292</v>
      </c>
      <c r="L11" s="9" t="s">
        <v>223</v>
      </c>
      <c r="M11" s="9" t="s">
        <v>497</v>
      </c>
      <c r="N11" s="9" t="s">
        <v>223</v>
      </c>
    </row>
    <row r="12" spans="1:14">
      <c r="A12" s="9" t="s">
        <v>283</v>
      </c>
      <c r="B12" s="9" t="s">
        <v>1313</v>
      </c>
      <c r="C12" s="16" t="str">
        <f t="shared" si="0"/>
        <v>7A350TFB676</v>
      </c>
      <c r="D12" s="9" t="s">
        <v>178</v>
      </c>
      <c r="E12" s="9" t="s">
        <v>166</v>
      </c>
      <c r="F12" s="9" t="s">
        <v>166</v>
      </c>
      <c r="G12" s="9" t="s">
        <v>293</v>
      </c>
      <c r="H12" s="9" t="s">
        <v>223</v>
      </c>
      <c r="I12" s="9" t="s">
        <v>223</v>
      </c>
      <c r="J12" s="9" t="s">
        <v>223</v>
      </c>
      <c r="K12" s="9" t="s">
        <v>294</v>
      </c>
      <c r="L12" s="9" t="s">
        <v>223</v>
      </c>
      <c r="M12" s="9" t="s">
        <v>497</v>
      </c>
      <c r="N12" s="9" t="s">
        <v>223</v>
      </c>
    </row>
    <row r="13" spans="1:14">
      <c r="A13" s="9" t="s">
        <v>283</v>
      </c>
      <c r="B13" s="9" t="s">
        <v>1316</v>
      </c>
      <c r="C13" s="16" t="str">
        <f t="shared" si="0"/>
        <v>7A350TFF1156</v>
      </c>
      <c r="D13" s="9" t="s">
        <v>178</v>
      </c>
      <c r="E13" s="9" t="s">
        <v>166</v>
      </c>
      <c r="F13" s="9" t="s">
        <v>166</v>
      </c>
      <c r="G13" s="9" t="s">
        <v>297</v>
      </c>
      <c r="H13" s="9" t="s">
        <v>223</v>
      </c>
      <c r="I13" s="9" t="s">
        <v>223</v>
      </c>
      <c r="J13" s="9" t="s">
        <v>223</v>
      </c>
      <c r="K13" s="9" t="s">
        <v>296</v>
      </c>
      <c r="L13" s="9" t="s">
        <v>223</v>
      </c>
      <c r="M13" s="9" t="s">
        <v>497</v>
      </c>
      <c r="N13" s="9" t="s">
        <v>223</v>
      </c>
    </row>
    <row r="14" spans="1:14">
      <c r="A14" s="8" t="s">
        <v>109</v>
      </c>
      <c r="B14" s="8" t="s">
        <v>1312</v>
      </c>
      <c r="C14" s="16" t="str">
        <f t="shared" si="0"/>
        <v>7K160TFB484</v>
      </c>
      <c r="D14" s="8">
        <v>0</v>
      </c>
      <c r="E14" s="8" t="s">
        <v>166</v>
      </c>
      <c r="F14" s="8" t="s">
        <v>166</v>
      </c>
      <c r="G14" s="9" t="s">
        <v>179</v>
      </c>
      <c r="H14" s="9" t="s">
        <v>169</v>
      </c>
      <c r="I14" s="8">
        <v>115</v>
      </c>
      <c r="J14" s="9" t="s">
        <v>223</v>
      </c>
      <c r="K14" s="9" t="s">
        <v>223</v>
      </c>
      <c r="L14" s="9" t="s">
        <v>223</v>
      </c>
      <c r="M14" s="9" t="s">
        <v>497</v>
      </c>
      <c r="N14" s="9" t="s">
        <v>223</v>
      </c>
    </row>
    <row r="15" spans="1:14">
      <c r="A15" s="8" t="s">
        <v>109</v>
      </c>
      <c r="B15" s="8" t="s">
        <v>1313</v>
      </c>
      <c r="C15" s="16" t="str">
        <f t="shared" si="0"/>
        <v>7K160TFB676</v>
      </c>
      <c r="D15" s="8">
        <v>0</v>
      </c>
      <c r="E15" s="8" t="s">
        <v>166</v>
      </c>
      <c r="F15" s="8" t="s">
        <v>166</v>
      </c>
      <c r="G15" s="8" t="s">
        <v>182</v>
      </c>
      <c r="H15" s="8" t="s">
        <v>183</v>
      </c>
      <c r="I15" s="9" t="s">
        <v>181</v>
      </c>
      <c r="J15" s="9" t="s">
        <v>223</v>
      </c>
      <c r="K15" s="9" t="s">
        <v>223</v>
      </c>
      <c r="L15" s="9" t="s">
        <v>223</v>
      </c>
      <c r="M15" s="9" t="s">
        <v>497</v>
      </c>
      <c r="N15" s="9" t="s">
        <v>223</v>
      </c>
    </row>
    <row r="16" spans="1:14">
      <c r="A16" s="8" t="s">
        <v>109</v>
      </c>
      <c r="B16" s="9" t="s">
        <v>1317</v>
      </c>
      <c r="C16" s="16" t="str">
        <f t="shared" si="0"/>
        <v>7K160TFF676</v>
      </c>
      <c r="D16" s="8">
        <v>0</v>
      </c>
      <c r="E16" s="8" t="s">
        <v>166</v>
      </c>
      <c r="F16" s="8" t="s">
        <v>166</v>
      </c>
      <c r="G16" s="8" t="s">
        <v>182</v>
      </c>
      <c r="H16" s="8" t="s">
        <v>183</v>
      </c>
      <c r="I16" s="9" t="s">
        <v>181</v>
      </c>
      <c r="J16" s="9" t="s">
        <v>223</v>
      </c>
      <c r="K16" s="9" t="s">
        <v>223</v>
      </c>
      <c r="L16" s="9" t="s">
        <v>223</v>
      </c>
      <c r="M16">
        <v>1</v>
      </c>
      <c r="N16" s="9" t="s">
        <v>223</v>
      </c>
    </row>
    <row r="17" spans="1:14">
      <c r="A17" s="9" t="s">
        <v>110</v>
      </c>
      <c r="B17" s="8" t="s">
        <v>1313</v>
      </c>
      <c r="C17" s="16" t="str">
        <f t="shared" si="0"/>
        <v>7K325TFB676</v>
      </c>
      <c r="D17" s="9" t="s">
        <v>178</v>
      </c>
      <c r="E17" s="9" t="s">
        <v>166</v>
      </c>
      <c r="F17" s="9" t="s">
        <v>166</v>
      </c>
      <c r="G17" s="9" t="s">
        <v>182</v>
      </c>
      <c r="H17" s="9" t="s">
        <v>183</v>
      </c>
      <c r="I17" s="9" t="s">
        <v>181</v>
      </c>
      <c r="J17" s="9" t="s">
        <v>223</v>
      </c>
      <c r="K17" s="9" t="s">
        <v>223</v>
      </c>
      <c r="L17" s="9" t="s">
        <v>223</v>
      </c>
      <c r="M17" s="9" t="s">
        <v>497</v>
      </c>
      <c r="N17" s="9" t="s">
        <v>223</v>
      </c>
    </row>
    <row r="18" spans="1:14">
      <c r="A18" s="9" t="s">
        <v>110</v>
      </c>
      <c r="B18" s="9" t="s">
        <v>1317</v>
      </c>
      <c r="C18" s="16" t="str">
        <f t="shared" si="0"/>
        <v>7K325TFF676</v>
      </c>
      <c r="D18" s="9" t="s">
        <v>178</v>
      </c>
      <c r="E18" s="9" t="s">
        <v>166</v>
      </c>
      <c r="F18" s="9" t="s">
        <v>166</v>
      </c>
      <c r="G18" s="9" t="s">
        <v>182</v>
      </c>
      <c r="H18" s="9" t="s">
        <v>183</v>
      </c>
      <c r="I18" s="9" t="s">
        <v>181</v>
      </c>
      <c r="J18" s="9" t="s">
        <v>223</v>
      </c>
      <c r="K18" s="9" t="s">
        <v>223</v>
      </c>
      <c r="L18" s="9" t="s">
        <v>223</v>
      </c>
      <c r="M18">
        <v>1</v>
      </c>
      <c r="N18" s="9" t="s">
        <v>223</v>
      </c>
    </row>
    <row r="19" spans="1:14">
      <c r="A19" s="9" t="s">
        <v>110</v>
      </c>
      <c r="B19" s="9" t="s">
        <v>1315</v>
      </c>
      <c r="C19" s="16" t="str">
        <f t="shared" si="0"/>
        <v>7K325TFB900</v>
      </c>
      <c r="D19" s="9" t="s">
        <v>178</v>
      </c>
      <c r="E19" s="9" t="s">
        <v>166</v>
      </c>
      <c r="F19" s="9" t="s">
        <v>166</v>
      </c>
      <c r="G19" s="9" t="s">
        <v>184</v>
      </c>
      <c r="H19" s="9" t="s">
        <v>183</v>
      </c>
      <c r="I19" s="9" t="s">
        <v>185</v>
      </c>
      <c r="J19" s="9" t="s">
        <v>223</v>
      </c>
      <c r="K19" s="9" t="s">
        <v>223</v>
      </c>
      <c r="L19" s="9" t="s">
        <v>223</v>
      </c>
      <c r="M19" s="9" t="s">
        <v>497</v>
      </c>
      <c r="N19" s="9" t="s">
        <v>223</v>
      </c>
    </row>
    <row r="20" spans="1:14">
      <c r="A20" s="9" t="s">
        <v>110</v>
      </c>
      <c r="B20" s="9" t="s">
        <v>1318</v>
      </c>
      <c r="C20" s="16" t="str">
        <f t="shared" si="0"/>
        <v>7K325TFF900</v>
      </c>
      <c r="D20" s="9" t="s">
        <v>178</v>
      </c>
      <c r="E20" s="9" t="s">
        <v>166</v>
      </c>
      <c r="F20" s="9" t="s">
        <v>166</v>
      </c>
      <c r="G20" s="9" t="s">
        <v>184</v>
      </c>
      <c r="H20" s="9" t="s">
        <v>183</v>
      </c>
      <c r="I20" s="9" t="s">
        <v>185</v>
      </c>
      <c r="J20" s="9" t="s">
        <v>223</v>
      </c>
      <c r="K20" s="9" t="s">
        <v>223</v>
      </c>
      <c r="L20" s="9" t="s">
        <v>223</v>
      </c>
      <c r="M20">
        <v>1</v>
      </c>
      <c r="N20" s="9" t="s">
        <v>223</v>
      </c>
    </row>
    <row r="21" spans="1:14">
      <c r="A21" s="9" t="s">
        <v>186</v>
      </c>
      <c r="B21" s="9" t="s">
        <v>1314</v>
      </c>
      <c r="C21" s="16" t="str">
        <f t="shared" si="0"/>
        <v>7K355TFF901</v>
      </c>
      <c r="D21" s="9" t="s">
        <v>178</v>
      </c>
      <c r="E21" s="9" t="s">
        <v>166</v>
      </c>
      <c r="F21" s="9" t="s">
        <v>166</v>
      </c>
      <c r="G21" s="9" t="s">
        <v>187</v>
      </c>
      <c r="H21" s="9" t="s">
        <v>223</v>
      </c>
      <c r="I21" s="9" t="s">
        <v>188</v>
      </c>
      <c r="J21" s="9" t="s">
        <v>223</v>
      </c>
      <c r="K21" s="9" t="s">
        <v>223</v>
      </c>
      <c r="L21" s="9" t="s">
        <v>223</v>
      </c>
      <c r="M21" s="9" t="s">
        <v>497</v>
      </c>
      <c r="N21" s="9" t="s">
        <v>223</v>
      </c>
    </row>
    <row r="22" spans="1:14">
      <c r="A22" s="9" t="s">
        <v>111</v>
      </c>
      <c r="B22" s="8" t="s">
        <v>1313</v>
      </c>
      <c r="C22" s="16" t="str">
        <f t="shared" si="0"/>
        <v>7K410TFB676</v>
      </c>
      <c r="D22" s="9" t="s">
        <v>178</v>
      </c>
      <c r="E22" s="9" t="s">
        <v>166</v>
      </c>
      <c r="F22" s="9" t="s">
        <v>166</v>
      </c>
      <c r="G22" s="9" t="s">
        <v>182</v>
      </c>
      <c r="H22" s="9" t="s">
        <v>183</v>
      </c>
      <c r="I22" s="9" t="s">
        <v>181</v>
      </c>
      <c r="J22" s="9" t="s">
        <v>223</v>
      </c>
      <c r="K22" s="9" t="s">
        <v>223</v>
      </c>
      <c r="L22" s="9" t="s">
        <v>223</v>
      </c>
      <c r="M22" s="9" t="s">
        <v>497</v>
      </c>
      <c r="N22" s="9" t="s">
        <v>223</v>
      </c>
    </row>
    <row r="23" spans="1:14">
      <c r="A23" s="9" t="s">
        <v>111</v>
      </c>
      <c r="B23" s="9" t="s">
        <v>1317</v>
      </c>
      <c r="C23" s="16" t="str">
        <f t="shared" si="0"/>
        <v>7K410TFF676</v>
      </c>
      <c r="D23" s="9" t="s">
        <v>178</v>
      </c>
      <c r="E23" s="9" t="s">
        <v>166</v>
      </c>
      <c r="F23" s="9" t="s">
        <v>166</v>
      </c>
      <c r="G23" s="9" t="s">
        <v>182</v>
      </c>
      <c r="H23" s="9" t="s">
        <v>183</v>
      </c>
      <c r="I23" s="9" t="s">
        <v>181</v>
      </c>
      <c r="J23" s="9" t="s">
        <v>223</v>
      </c>
      <c r="K23" s="9" t="s">
        <v>223</v>
      </c>
      <c r="L23" s="9" t="s">
        <v>223</v>
      </c>
      <c r="M23">
        <v>1</v>
      </c>
      <c r="N23" s="9" t="s">
        <v>223</v>
      </c>
    </row>
    <row r="24" spans="1:14">
      <c r="A24" s="9" t="s">
        <v>111</v>
      </c>
      <c r="B24" s="9" t="s">
        <v>1315</v>
      </c>
      <c r="C24" s="16" t="str">
        <f t="shared" si="0"/>
        <v>7K410TFB900</v>
      </c>
      <c r="D24" s="9" t="s">
        <v>178</v>
      </c>
      <c r="E24" s="9" t="s">
        <v>166</v>
      </c>
      <c r="F24" s="9" t="s">
        <v>166</v>
      </c>
      <c r="G24" s="9" t="s">
        <v>184</v>
      </c>
      <c r="H24" s="9" t="s">
        <v>183</v>
      </c>
      <c r="I24" s="9" t="s">
        <v>185</v>
      </c>
      <c r="J24" s="9" t="s">
        <v>223</v>
      </c>
      <c r="K24" s="9" t="s">
        <v>223</v>
      </c>
      <c r="L24" s="9" t="s">
        <v>223</v>
      </c>
      <c r="M24" s="9" t="s">
        <v>497</v>
      </c>
      <c r="N24" s="9" t="s">
        <v>223</v>
      </c>
    </row>
    <row r="25" spans="1:14">
      <c r="A25" s="9" t="s">
        <v>111</v>
      </c>
      <c r="B25" s="9" t="s">
        <v>1318</v>
      </c>
      <c r="C25" s="16" t="str">
        <f t="shared" si="0"/>
        <v>7K410TFF900</v>
      </c>
      <c r="D25" s="9" t="s">
        <v>178</v>
      </c>
      <c r="E25" s="9" t="s">
        <v>166</v>
      </c>
      <c r="F25" s="9" t="s">
        <v>166</v>
      </c>
      <c r="G25" s="9" t="s">
        <v>184</v>
      </c>
      <c r="H25" s="9" t="s">
        <v>183</v>
      </c>
      <c r="I25" s="9" t="s">
        <v>185</v>
      </c>
      <c r="J25" s="9" t="s">
        <v>223</v>
      </c>
      <c r="K25" s="9" t="s">
        <v>223</v>
      </c>
      <c r="L25" s="9" t="s">
        <v>223</v>
      </c>
      <c r="M25">
        <v>1</v>
      </c>
      <c r="N25" s="9" t="s">
        <v>223</v>
      </c>
    </row>
    <row r="26" spans="1:14">
      <c r="A26" s="9" t="s">
        <v>103</v>
      </c>
      <c r="B26" s="9" t="s">
        <v>1314</v>
      </c>
      <c r="C26" s="16" t="str">
        <f t="shared" si="0"/>
        <v>7K420TFF901</v>
      </c>
      <c r="D26" s="9" t="s">
        <v>178</v>
      </c>
      <c r="E26" s="9" t="s">
        <v>166</v>
      </c>
      <c r="F26" s="9" t="s">
        <v>166</v>
      </c>
      <c r="G26" s="9" t="s">
        <v>191</v>
      </c>
      <c r="H26" s="9" t="s">
        <v>223</v>
      </c>
      <c r="I26" s="9" t="s">
        <v>189</v>
      </c>
      <c r="J26" s="9" t="s">
        <v>223</v>
      </c>
      <c r="K26" s="9" t="s">
        <v>223</v>
      </c>
      <c r="L26" s="9" t="s">
        <v>223</v>
      </c>
      <c r="M26" s="9" t="s">
        <v>497</v>
      </c>
      <c r="N26" s="9" t="s">
        <v>223</v>
      </c>
    </row>
    <row r="27" spans="1:14">
      <c r="A27" s="9" t="s">
        <v>103</v>
      </c>
      <c r="B27" s="9" t="s">
        <v>1316</v>
      </c>
      <c r="C27" s="16" t="str">
        <f t="shared" si="0"/>
        <v>7K420TFF1156</v>
      </c>
      <c r="D27" s="9" t="s">
        <v>178</v>
      </c>
      <c r="E27" s="9" t="s">
        <v>166</v>
      </c>
      <c r="F27" s="9" t="s">
        <v>166</v>
      </c>
      <c r="G27" s="9" t="s">
        <v>191</v>
      </c>
      <c r="H27" s="9" t="s">
        <v>223</v>
      </c>
      <c r="I27" s="9" t="s">
        <v>192</v>
      </c>
      <c r="J27" s="9" t="s">
        <v>223</v>
      </c>
      <c r="K27" s="9" t="s">
        <v>223</v>
      </c>
      <c r="L27" s="9" t="s">
        <v>223</v>
      </c>
      <c r="M27" s="9" t="s">
        <v>497</v>
      </c>
      <c r="N27" s="9" t="s">
        <v>223</v>
      </c>
    </row>
    <row r="28" spans="1:14">
      <c r="A28" s="9" t="s">
        <v>190</v>
      </c>
      <c r="B28" s="9" t="s">
        <v>1314</v>
      </c>
      <c r="C28" s="16" t="str">
        <f t="shared" si="0"/>
        <v>7K480TFF901</v>
      </c>
      <c r="D28" s="9" t="s">
        <v>178</v>
      </c>
      <c r="E28" s="9" t="s">
        <v>166</v>
      </c>
      <c r="F28" s="9" t="s">
        <v>166</v>
      </c>
      <c r="G28" s="9" t="s">
        <v>191</v>
      </c>
      <c r="H28" s="9" t="s">
        <v>223</v>
      </c>
      <c r="I28" s="9" t="s">
        <v>189</v>
      </c>
      <c r="J28" s="9" t="s">
        <v>223</v>
      </c>
      <c r="K28" s="9" t="s">
        <v>223</v>
      </c>
      <c r="L28" s="9" t="s">
        <v>223</v>
      </c>
      <c r="M28" s="9" t="s">
        <v>497</v>
      </c>
      <c r="N28" s="9" t="s">
        <v>223</v>
      </c>
    </row>
    <row r="29" spans="1:14">
      <c r="A29" s="9" t="s">
        <v>190</v>
      </c>
      <c r="B29" s="9" t="s">
        <v>1316</v>
      </c>
      <c r="C29" s="16" t="str">
        <f t="shared" si="0"/>
        <v>7K480TFF1156</v>
      </c>
      <c r="D29" s="9" t="s">
        <v>178</v>
      </c>
      <c r="E29" s="9" t="s">
        <v>166</v>
      </c>
      <c r="F29" s="9" t="s">
        <v>166</v>
      </c>
      <c r="G29" s="9" t="s">
        <v>191</v>
      </c>
      <c r="H29" s="9" t="s">
        <v>223</v>
      </c>
      <c r="I29" s="9" t="s">
        <v>192</v>
      </c>
      <c r="J29" s="9" t="s">
        <v>223</v>
      </c>
      <c r="K29" s="9" t="s">
        <v>223</v>
      </c>
      <c r="L29" s="9" t="s">
        <v>223</v>
      </c>
      <c r="M29" s="9" t="s">
        <v>497</v>
      </c>
      <c r="N29" s="9" t="s">
        <v>223</v>
      </c>
    </row>
    <row r="30" spans="1:14">
      <c r="A30" s="9" t="s">
        <v>108</v>
      </c>
      <c r="B30" s="8" t="s">
        <v>1312</v>
      </c>
      <c r="C30" s="16" t="str">
        <f t="shared" si="0"/>
        <v>7K70TFB484</v>
      </c>
      <c r="D30" s="9" t="s">
        <v>178</v>
      </c>
      <c r="E30" s="9" t="s">
        <v>166</v>
      </c>
      <c r="F30" s="9" t="s">
        <v>166</v>
      </c>
      <c r="G30" s="9" t="s">
        <v>179</v>
      </c>
      <c r="H30" s="9" t="s">
        <v>169</v>
      </c>
      <c r="I30" s="9" t="s">
        <v>180</v>
      </c>
      <c r="J30" s="9" t="s">
        <v>223</v>
      </c>
      <c r="K30" s="9" t="s">
        <v>223</v>
      </c>
      <c r="L30" s="9" t="s">
        <v>223</v>
      </c>
      <c r="M30" s="9" t="s">
        <v>497</v>
      </c>
      <c r="N30" s="9" t="s">
        <v>223</v>
      </c>
    </row>
    <row r="31" spans="1:14">
      <c r="A31" s="9" t="s">
        <v>108</v>
      </c>
      <c r="B31" s="9" t="s">
        <v>1313</v>
      </c>
      <c r="C31" s="16" t="str">
        <f t="shared" si="0"/>
        <v>7K70TFB676</v>
      </c>
      <c r="D31" s="9" t="s">
        <v>178</v>
      </c>
      <c r="E31" s="9" t="s">
        <v>166</v>
      </c>
      <c r="F31" s="9" t="s">
        <v>166</v>
      </c>
      <c r="G31" s="9" t="s">
        <v>179</v>
      </c>
      <c r="H31" s="9" t="s">
        <v>169</v>
      </c>
      <c r="I31" s="9" t="s">
        <v>181</v>
      </c>
      <c r="J31" s="9" t="s">
        <v>223</v>
      </c>
      <c r="K31" s="9" t="s">
        <v>223</v>
      </c>
      <c r="L31" s="9" t="s">
        <v>223</v>
      </c>
      <c r="M31" s="9" t="s">
        <v>497</v>
      </c>
      <c r="N31" s="9" t="s">
        <v>223</v>
      </c>
    </row>
    <row r="32" spans="1:14">
      <c r="A32" s="9" t="s">
        <v>112</v>
      </c>
      <c r="B32" s="9" t="s">
        <v>1319</v>
      </c>
      <c r="C32" s="16" t="str">
        <f t="shared" si="0"/>
        <v>7V1500TFL1761</v>
      </c>
      <c r="D32" s="9" t="s">
        <v>178</v>
      </c>
      <c r="E32" s="9" t="s">
        <v>167</v>
      </c>
      <c r="F32" s="9" t="s">
        <v>167</v>
      </c>
      <c r="G32" s="9" t="s">
        <v>223</v>
      </c>
      <c r="H32" s="9" t="s">
        <v>197</v>
      </c>
      <c r="I32" s="9" t="s">
        <v>196</v>
      </c>
      <c r="J32" s="9" t="s">
        <v>223</v>
      </c>
      <c r="K32" s="9" t="s">
        <v>223</v>
      </c>
      <c r="L32" s="9" t="s">
        <v>223</v>
      </c>
      <c r="M32">
        <v>6</v>
      </c>
      <c r="N32" s="9" t="s">
        <v>223</v>
      </c>
    </row>
    <row r="33" spans="1:14">
      <c r="A33" s="9" t="s">
        <v>113</v>
      </c>
      <c r="B33" s="9" t="s">
        <v>1320</v>
      </c>
      <c r="C33" s="16" t="str">
        <f t="shared" si="0"/>
        <v>7V2000TFH1761</v>
      </c>
      <c r="D33" s="9" t="s">
        <v>178</v>
      </c>
      <c r="E33" s="9" t="s">
        <v>167</v>
      </c>
      <c r="F33" s="9" t="s">
        <v>167</v>
      </c>
      <c r="G33" s="8" t="s">
        <v>223</v>
      </c>
      <c r="H33" s="9" t="s">
        <v>197</v>
      </c>
      <c r="I33" s="9" t="s">
        <v>196</v>
      </c>
      <c r="J33" s="9" t="s">
        <v>223</v>
      </c>
      <c r="K33" s="9" t="s">
        <v>223</v>
      </c>
      <c r="L33" s="9" t="s">
        <v>223</v>
      </c>
      <c r="M33">
        <v>6</v>
      </c>
      <c r="N33" s="9" t="s">
        <v>223</v>
      </c>
    </row>
    <row r="34" spans="1:14">
      <c r="A34" s="9" t="s">
        <v>113</v>
      </c>
      <c r="B34" s="9" t="s">
        <v>1327</v>
      </c>
      <c r="C34" s="16" t="str">
        <f t="shared" si="0"/>
        <v>7V2000TFL1925</v>
      </c>
      <c r="D34" s="9" t="s">
        <v>178</v>
      </c>
      <c r="E34" s="9" t="s">
        <v>167</v>
      </c>
      <c r="F34" s="9" t="s">
        <v>167</v>
      </c>
      <c r="G34" s="8" t="s">
        <v>223</v>
      </c>
      <c r="H34" s="9" t="s">
        <v>200</v>
      </c>
      <c r="I34" s="9" t="s">
        <v>201</v>
      </c>
      <c r="J34" s="9" t="s">
        <v>223</v>
      </c>
      <c r="K34" s="9" t="s">
        <v>223</v>
      </c>
      <c r="L34" s="9" t="s">
        <v>223</v>
      </c>
      <c r="M34">
        <v>8</v>
      </c>
      <c r="N34" s="9" t="s">
        <v>223</v>
      </c>
    </row>
    <row r="35" spans="1:14">
      <c r="A35" s="9" t="s">
        <v>48</v>
      </c>
      <c r="B35" s="9" t="s">
        <v>1321</v>
      </c>
      <c r="C35" s="16" t="str">
        <f t="shared" si="0"/>
        <v>7V585TFF1157</v>
      </c>
      <c r="D35" s="9" t="s">
        <v>178</v>
      </c>
      <c r="E35" s="9" t="s">
        <v>167</v>
      </c>
      <c r="F35" s="9" t="s">
        <v>167</v>
      </c>
      <c r="G35" s="8" t="s">
        <v>223</v>
      </c>
      <c r="H35" s="9" t="s">
        <v>193</v>
      </c>
      <c r="I35" s="9" t="s">
        <v>194</v>
      </c>
      <c r="J35" s="9" t="s">
        <v>223</v>
      </c>
      <c r="K35" s="9" t="s">
        <v>223</v>
      </c>
      <c r="L35" s="9" t="s">
        <v>223</v>
      </c>
      <c r="M35">
        <v>4</v>
      </c>
      <c r="N35" s="9" t="s">
        <v>223</v>
      </c>
    </row>
    <row r="36" spans="1:14">
      <c r="A36" s="9" t="s">
        <v>48</v>
      </c>
      <c r="B36" s="9" t="s">
        <v>1328</v>
      </c>
      <c r="C36" s="16" t="str">
        <f t="shared" si="0"/>
        <v>7V585TFF1761</v>
      </c>
      <c r="D36" s="9" t="s">
        <v>178</v>
      </c>
      <c r="E36" s="9" t="s">
        <v>167</v>
      </c>
      <c r="F36" s="9" t="s">
        <v>167</v>
      </c>
      <c r="G36" s="9" t="s">
        <v>49</v>
      </c>
      <c r="H36" s="9" t="s">
        <v>50</v>
      </c>
      <c r="I36" s="9" t="s">
        <v>196</v>
      </c>
      <c r="J36" s="9" t="s">
        <v>223</v>
      </c>
      <c r="K36" s="9" t="s">
        <v>223</v>
      </c>
      <c r="L36" s="9" t="s">
        <v>223</v>
      </c>
      <c r="M36">
        <v>5</v>
      </c>
      <c r="N36" s="9" t="s">
        <v>223</v>
      </c>
    </row>
    <row r="37" spans="1:14">
      <c r="A37" s="9" t="s">
        <v>61</v>
      </c>
      <c r="B37" s="9" t="s">
        <v>1324</v>
      </c>
      <c r="C37" s="16" t="str">
        <f t="shared" si="0"/>
        <v>7VX1140TFL1926</v>
      </c>
      <c r="D37" s="9" t="s">
        <v>178</v>
      </c>
      <c r="E37" s="9" t="s">
        <v>167</v>
      </c>
      <c r="F37" s="9" t="s">
        <v>167</v>
      </c>
      <c r="G37" s="8" t="s">
        <v>223</v>
      </c>
      <c r="H37" s="9" t="s">
        <v>303</v>
      </c>
      <c r="I37" s="9" t="s">
        <v>223</v>
      </c>
      <c r="J37" s="9" t="s">
        <v>304</v>
      </c>
      <c r="K37" s="9" t="s">
        <v>223</v>
      </c>
      <c r="L37" s="9" t="s">
        <v>223</v>
      </c>
      <c r="M37">
        <v>6</v>
      </c>
      <c r="N37" s="9" t="s">
        <v>223</v>
      </c>
    </row>
    <row r="38" spans="1:14">
      <c r="A38" s="9" t="s">
        <v>61</v>
      </c>
      <c r="B38" s="9" t="s">
        <v>1331</v>
      </c>
      <c r="C38" s="16" t="str">
        <f t="shared" si="0"/>
        <v>7VX1140TFL1928</v>
      </c>
      <c r="D38" s="9" t="s">
        <v>178</v>
      </c>
      <c r="E38" s="9" t="s">
        <v>167</v>
      </c>
      <c r="F38" s="9" t="s">
        <v>167</v>
      </c>
      <c r="G38" s="8" t="s">
        <v>223</v>
      </c>
      <c r="H38" s="9" t="s">
        <v>298</v>
      </c>
      <c r="I38" s="9" t="s">
        <v>223</v>
      </c>
      <c r="J38" s="9" t="s">
        <v>299</v>
      </c>
      <c r="K38" s="9" t="s">
        <v>223</v>
      </c>
      <c r="L38" s="9" t="s">
        <v>223</v>
      </c>
      <c r="M38">
        <v>4</v>
      </c>
      <c r="N38" s="9" t="s">
        <v>223</v>
      </c>
    </row>
    <row r="39" spans="1:14">
      <c r="A39" s="9" t="s">
        <v>61</v>
      </c>
      <c r="B39" s="9" t="s">
        <v>1334</v>
      </c>
      <c r="C39" s="16" t="str">
        <f t="shared" si="0"/>
        <v>7VX1140TFL1930</v>
      </c>
      <c r="D39" s="9" t="s">
        <v>178</v>
      </c>
      <c r="E39" s="9" t="s">
        <v>167</v>
      </c>
      <c r="F39" s="9" t="s">
        <v>167</v>
      </c>
      <c r="G39" s="8" t="s">
        <v>223</v>
      </c>
      <c r="H39" s="9" t="s">
        <v>300</v>
      </c>
      <c r="I39" s="9" t="s">
        <v>223</v>
      </c>
      <c r="J39" s="9" t="s">
        <v>205</v>
      </c>
      <c r="K39" s="9" t="s">
        <v>223</v>
      </c>
      <c r="L39" s="9" t="s">
        <v>223</v>
      </c>
      <c r="M39">
        <v>8</v>
      </c>
      <c r="N39" s="9" t="s">
        <v>223</v>
      </c>
    </row>
    <row r="40" spans="1:14">
      <c r="A40" s="9" t="s">
        <v>57</v>
      </c>
      <c r="B40" s="9" t="s">
        <v>1321</v>
      </c>
      <c r="C40" s="16" t="str">
        <f t="shared" si="0"/>
        <v>7VX330TFF1157</v>
      </c>
      <c r="D40" s="9" t="s">
        <v>178</v>
      </c>
      <c r="E40" s="9" t="s">
        <v>167</v>
      </c>
      <c r="F40" s="9" t="s">
        <v>167</v>
      </c>
      <c r="G40" s="8" t="s">
        <v>223</v>
      </c>
      <c r="H40" s="9" t="s">
        <v>193</v>
      </c>
      <c r="I40" s="9" t="s">
        <v>223</v>
      </c>
      <c r="J40" s="9" t="s">
        <v>194</v>
      </c>
      <c r="K40" s="9" t="s">
        <v>223</v>
      </c>
      <c r="L40" s="9" t="s">
        <v>223</v>
      </c>
      <c r="M40">
        <v>4</v>
      </c>
      <c r="N40" s="9" t="s">
        <v>223</v>
      </c>
    </row>
    <row r="41" spans="1:14">
      <c r="A41" s="9" t="s">
        <v>57</v>
      </c>
      <c r="B41" s="9" t="s">
        <v>1328</v>
      </c>
      <c r="C41" s="16" t="str">
        <f t="shared" si="0"/>
        <v>7VX330TFF1761</v>
      </c>
      <c r="D41" s="9" t="s">
        <v>178</v>
      </c>
      <c r="E41" s="9" t="s">
        <v>167</v>
      </c>
      <c r="F41" s="9" t="s">
        <v>167</v>
      </c>
      <c r="G41" s="9" t="s">
        <v>301</v>
      </c>
      <c r="H41" s="9" t="s">
        <v>302</v>
      </c>
      <c r="I41" s="9" t="s">
        <v>223</v>
      </c>
      <c r="J41" s="9" t="s">
        <v>198</v>
      </c>
      <c r="K41" s="9" t="s">
        <v>223</v>
      </c>
      <c r="L41" s="9" t="s">
        <v>223</v>
      </c>
      <c r="M41">
        <v>5</v>
      </c>
      <c r="N41" s="9" t="s">
        <v>223</v>
      </c>
    </row>
    <row r="42" spans="1:14">
      <c r="A42" s="9" t="s">
        <v>58</v>
      </c>
      <c r="B42" s="9" t="s">
        <v>1321</v>
      </c>
      <c r="C42" s="16" t="str">
        <f t="shared" si="0"/>
        <v>7VX415TFF1157</v>
      </c>
      <c r="D42" s="9" t="s">
        <v>178</v>
      </c>
      <c r="E42" s="9" t="s">
        <v>167</v>
      </c>
      <c r="F42" s="9" t="s">
        <v>167</v>
      </c>
      <c r="G42" s="8" t="s">
        <v>223</v>
      </c>
      <c r="H42" s="9" t="s">
        <v>193</v>
      </c>
      <c r="I42" s="9" t="s">
        <v>223</v>
      </c>
      <c r="J42" s="9" t="s">
        <v>194</v>
      </c>
      <c r="K42" s="9" t="s">
        <v>223</v>
      </c>
      <c r="L42" s="9" t="s">
        <v>223</v>
      </c>
      <c r="M42">
        <v>4</v>
      </c>
      <c r="N42" s="9" t="s">
        <v>223</v>
      </c>
    </row>
    <row r="43" spans="1:14">
      <c r="A43" s="9" t="s">
        <v>58</v>
      </c>
      <c r="B43" s="9" t="s">
        <v>1322</v>
      </c>
      <c r="C43" s="16" t="str">
        <f t="shared" si="0"/>
        <v>7VX415TFF1158</v>
      </c>
      <c r="D43" s="9" t="s">
        <v>178</v>
      </c>
      <c r="E43" s="9" t="s">
        <v>167</v>
      </c>
      <c r="F43" s="9" t="s">
        <v>167</v>
      </c>
      <c r="G43" s="8" t="s">
        <v>223</v>
      </c>
      <c r="H43" s="9" t="s">
        <v>202</v>
      </c>
      <c r="I43" s="9" t="s">
        <v>223</v>
      </c>
      <c r="J43" s="9" t="s">
        <v>203</v>
      </c>
      <c r="K43" s="9" t="s">
        <v>223</v>
      </c>
      <c r="L43" s="9" t="s">
        <v>223</v>
      </c>
      <c r="M43">
        <v>2</v>
      </c>
      <c r="N43" s="9" t="s">
        <v>223</v>
      </c>
    </row>
    <row r="44" spans="1:14">
      <c r="A44" s="9" t="s">
        <v>58</v>
      </c>
      <c r="B44" s="9" t="s">
        <v>1329</v>
      </c>
      <c r="C44" s="16" t="str">
        <f t="shared" si="0"/>
        <v>7VX415TFF1927</v>
      </c>
      <c r="D44" s="9" t="s">
        <v>178</v>
      </c>
      <c r="E44" s="9" t="s">
        <v>167</v>
      </c>
      <c r="F44" s="9" t="s">
        <v>167</v>
      </c>
      <c r="G44" s="8" t="s">
        <v>223</v>
      </c>
      <c r="H44" s="9" t="s">
        <v>193</v>
      </c>
      <c r="I44" s="9" t="s">
        <v>223</v>
      </c>
      <c r="J44" s="9" t="s">
        <v>204</v>
      </c>
      <c r="K44" s="9" t="s">
        <v>223</v>
      </c>
      <c r="L44" s="9" t="s">
        <v>223</v>
      </c>
      <c r="M44">
        <v>4</v>
      </c>
      <c r="N44" s="9" t="s">
        <v>223</v>
      </c>
    </row>
    <row r="45" spans="1:14">
      <c r="A45" s="9" t="s">
        <v>195</v>
      </c>
      <c r="B45" s="9" t="s">
        <v>1321</v>
      </c>
      <c r="C45" s="16" t="str">
        <f t="shared" si="0"/>
        <v>7VX485TFF1157</v>
      </c>
      <c r="D45" s="9" t="s">
        <v>178</v>
      </c>
      <c r="E45" s="9" t="s">
        <v>167</v>
      </c>
      <c r="F45" s="9" t="s">
        <v>167</v>
      </c>
      <c r="G45" s="8" t="s">
        <v>223</v>
      </c>
      <c r="H45" s="9" t="s">
        <v>193</v>
      </c>
      <c r="I45" s="9" t="s">
        <v>194</v>
      </c>
      <c r="J45" s="9" t="s">
        <v>223</v>
      </c>
      <c r="K45" s="9" t="s">
        <v>223</v>
      </c>
      <c r="L45" s="9" t="s">
        <v>223</v>
      </c>
      <c r="M45">
        <v>4</v>
      </c>
      <c r="N45" s="9" t="s">
        <v>223</v>
      </c>
    </row>
    <row r="46" spans="1:14">
      <c r="A46" s="9" t="s">
        <v>195</v>
      </c>
      <c r="B46" s="9" t="s">
        <v>1328</v>
      </c>
      <c r="C46" s="16" t="str">
        <f t="shared" si="0"/>
        <v>7VX485TFF1761</v>
      </c>
      <c r="D46" s="9" t="s">
        <v>178</v>
      </c>
      <c r="E46" s="9" t="s">
        <v>167</v>
      </c>
      <c r="F46" s="9" t="s">
        <v>167</v>
      </c>
      <c r="G46" s="8" t="s">
        <v>223</v>
      </c>
      <c r="H46" s="9" t="s">
        <v>199</v>
      </c>
      <c r="I46" s="9" t="s">
        <v>198</v>
      </c>
      <c r="J46" s="9" t="s">
        <v>223</v>
      </c>
      <c r="K46" s="9" t="s">
        <v>223</v>
      </c>
      <c r="L46" s="9" t="s">
        <v>223</v>
      </c>
      <c r="M46">
        <v>6</v>
      </c>
      <c r="N46" s="9" t="s">
        <v>223</v>
      </c>
    </row>
    <row r="47" spans="1:14">
      <c r="A47" s="9" t="s">
        <v>195</v>
      </c>
      <c r="B47" s="9" t="s">
        <v>1322</v>
      </c>
      <c r="C47" s="16" t="str">
        <f t="shared" si="0"/>
        <v>7VX485TFF1158</v>
      </c>
      <c r="D47" s="9" t="s">
        <v>178</v>
      </c>
      <c r="E47" s="9" t="s">
        <v>167</v>
      </c>
      <c r="F47" s="9" t="s">
        <v>167</v>
      </c>
      <c r="G47" s="8" t="s">
        <v>223</v>
      </c>
      <c r="H47" s="9" t="s">
        <v>202</v>
      </c>
      <c r="I47" s="9" t="s">
        <v>203</v>
      </c>
      <c r="J47" s="9" t="s">
        <v>223</v>
      </c>
      <c r="K47" s="9" t="s">
        <v>223</v>
      </c>
      <c r="L47" s="9" t="s">
        <v>223</v>
      </c>
      <c r="M47">
        <v>2</v>
      </c>
      <c r="N47" s="9" t="s">
        <v>223</v>
      </c>
    </row>
    <row r="48" spans="1:14">
      <c r="A48" s="9" t="s">
        <v>195</v>
      </c>
      <c r="B48" s="9" t="s">
        <v>1329</v>
      </c>
      <c r="C48" s="16" t="str">
        <f t="shared" si="0"/>
        <v>7VX485TFF1927</v>
      </c>
      <c r="D48" s="9" t="s">
        <v>178</v>
      </c>
      <c r="E48" s="9" t="s">
        <v>167</v>
      </c>
      <c r="F48" s="9" t="s">
        <v>167</v>
      </c>
      <c r="G48" s="8" t="s">
        <v>223</v>
      </c>
      <c r="H48" s="9" t="s">
        <v>193</v>
      </c>
      <c r="I48" s="9" t="s">
        <v>204</v>
      </c>
      <c r="J48" s="9" t="s">
        <v>223</v>
      </c>
      <c r="K48" s="9" t="s">
        <v>223</v>
      </c>
      <c r="L48" s="9" t="s">
        <v>223</v>
      </c>
      <c r="M48">
        <v>4</v>
      </c>
      <c r="N48" s="9" t="s">
        <v>223</v>
      </c>
    </row>
    <row r="49" spans="1:14">
      <c r="A49" s="9" t="s">
        <v>195</v>
      </c>
      <c r="B49" s="9" t="s">
        <v>1333</v>
      </c>
      <c r="C49" s="16" t="str">
        <f t="shared" si="0"/>
        <v>7VX485TFF1930</v>
      </c>
      <c r="D49" s="9" t="s">
        <v>178</v>
      </c>
      <c r="E49" s="9" t="s">
        <v>167</v>
      </c>
      <c r="F49" s="9" t="s">
        <v>167</v>
      </c>
      <c r="G49" s="8" t="s">
        <v>223</v>
      </c>
      <c r="H49" s="9" t="s">
        <v>199</v>
      </c>
      <c r="I49" s="9" t="s">
        <v>205</v>
      </c>
      <c r="J49" s="9" t="s">
        <v>223</v>
      </c>
      <c r="K49" s="9" t="s">
        <v>223</v>
      </c>
      <c r="L49" s="9" t="s">
        <v>223</v>
      </c>
      <c r="M49">
        <v>7</v>
      </c>
      <c r="N49" s="9" t="s">
        <v>223</v>
      </c>
    </row>
    <row r="50" spans="1:14">
      <c r="A50" s="9" t="s">
        <v>59</v>
      </c>
      <c r="B50" s="9" t="s">
        <v>1322</v>
      </c>
      <c r="C50" s="16" t="str">
        <f t="shared" si="0"/>
        <v>7VX550TFF1158</v>
      </c>
      <c r="D50" s="9" t="s">
        <v>178</v>
      </c>
      <c r="E50" s="9" t="s">
        <v>167</v>
      </c>
      <c r="F50" s="9" t="s">
        <v>167</v>
      </c>
      <c r="G50" s="8" t="s">
        <v>223</v>
      </c>
      <c r="H50" s="9" t="s">
        <v>202</v>
      </c>
      <c r="I50" s="9" t="s">
        <v>223</v>
      </c>
      <c r="J50" s="9" t="s">
        <v>203</v>
      </c>
      <c r="K50" s="9" t="s">
        <v>223</v>
      </c>
      <c r="L50" s="9" t="s">
        <v>223</v>
      </c>
      <c r="M50">
        <v>2</v>
      </c>
      <c r="N50" s="9" t="s">
        <v>223</v>
      </c>
    </row>
    <row r="51" spans="1:14">
      <c r="A51" s="9" t="s">
        <v>59</v>
      </c>
      <c r="B51" s="9" t="s">
        <v>1329</v>
      </c>
      <c r="C51" s="16" t="str">
        <f t="shared" si="0"/>
        <v>7VX550TFF1927</v>
      </c>
      <c r="D51" s="9" t="s">
        <v>178</v>
      </c>
      <c r="E51" s="9" t="s">
        <v>167</v>
      </c>
      <c r="F51" s="9" t="s">
        <v>167</v>
      </c>
      <c r="G51" s="8" t="s">
        <v>223</v>
      </c>
      <c r="H51" s="9" t="s">
        <v>193</v>
      </c>
      <c r="I51" s="9" t="s">
        <v>223</v>
      </c>
      <c r="J51" s="9" t="s">
        <v>784</v>
      </c>
      <c r="K51" s="9" t="s">
        <v>223</v>
      </c>
      <c r="L51" s="9" t="s">
        <v>223</v>
      </c>
      <c r="M51">
        <v>4</v>
      </c>
      <c r="N51" s="9" t="s">
        <v>223</v>
      </c>
    </row>
    <row r="52" spans="1:14">
      <c r="A52" s="9" t="s">
        <v>60</v>
      </c>
      <c r="B52" s="9" t="s">
        <v>1321</v>
      </c>
      <c r="C52" s="16" t="str">
        <f t="shared" si="0"/>
        <v>7VX690TFF1157</v>
      </c>
      <c r="D52" s="9" t="s">
        <v>178</v>
      </c>
      <c r="E52" s="9" t="s">
        <v>167</v>
      </c>
      <c r="F52" s="9" t="s">
        <v>167</v>
      </c>
      <c r="G52" s="8" t="s">
        <v>223</v>
      </c>
      <c r="H52" s="9" t="s">
        <v>193</v>
      </c>
      <c r="I52" s="9" t="s">
        <v>223</v>
      </c>
      <c r="J52" s="9" t="s">
        <v>194</v>
      </c>
      <c r="K52" s="9" t="s">
        <v>223</v>
      </c>
      <c r="L52" s="9" t="s">
        <v>223</v>
      </c>
      <c r="M52">
        <v>4</v>
      </c>
      <c r="N52" s="9" t="s">
        <v>223</v>
      </c>
    </row>
    <row r="53" spans="1:14">
      <c r="A53" s="9" t="s">
        <v>60</v>
      </c>
      <c r="B53" s="9" t="s">
        <v>1322</v>
      </c>
      <c r="C53" s="16" t="str">
        <f t="shared" si="0"/>
        <v>7VX690TFF1158</v>
      </c>
      <c r="D53" s="9" t="s">
        <v>178</v>
      </c>
      <c r="E53" s="9" t="s">
        <v>167</v>
      </c>
      <c r="F53" s="9" t="s">
        <v>167</v>
      </c>
      <c r="G53" s="8" t="s">
        <v>223</v>
      </c>
      <c r="H53" s="9" t="s">
        <v>202</v>
      </c>
      <c r="I53" s="9" t="s">
        <v>223</v>
      </c>
      <c r="J53" s="9" t="s">
        <v>203</v>
      </c>
      <c r="K53" s="9" t="s">
        <v>223</v>
      </c>
      <c r="L53" s="9" t="s">
        <v>223</v>
      </c>
      <c r="M53">
        <v>2</v>
      </c>
      <c r="N53" s="9" t="s">
        <v>223</v>
      </c>
    </row>
    <row r="54" spans="1:14">
      <c r="A54" s="9" t="s">
        <v>60</v>
      </c>
      <c r="B54" s="9" t="s">
        <v>1328</v>
      </c>
      <c r="C54" s="16" t="str">
        <f t="shared" si="0"/>
        <v>7VX690TFF1761</v>
      </c>
      <c r="D54" s="9" t="s">
        <v>178</v>
      </c>
      <c r="E54" s="9" t="s">
        <v>167</v>
      </c>
      <c r="F54" s="9" t="s">
        <v>167</v>
      </c>
      <c r="G54" s="8" t="s">
        <v>223</v>
      </c>
      <c r="H54" s="9" t="s">
        <v>197</v>
      </c>
      <c r="I54" s="9" t="s">
        <v>223</v>
      </c>
      <c r="J54" s="9" t="s">
        <v>196</v>
      </c>
      <c r="K54" s="9" t="s">
        <v>223</v>
      </c>
      <c r="L54" s="9" t="s">
        <v>223</v>
      </c>
      <c r="M54">
        <v>6</v>
      </c>
      <c r="N54" s="9" t="s">
        <v>223</v>
      </c>
    </row>
    <row r="55" spans="1:14">
      <c r="A55" s="9" t="s">
        <v>60</v>
      </c>
      <c r="B55" s="9" t="s">
        <v>1323</v>
      </c>
      <c r="C55" s="16" t="str">
        <f t="shared" si="0"/>
        <v>7VX690TFF1926</v>
      </c>
      <c r="D55" s="9" t="s">
        <v>178</v>
      </c>
      <c r="E55" s="9" t="s">
        <v>167</v>
      </c>
      <c r="F55" s="9" t="s">
        <v>167</v>
      </c>
      <c r="G55" s="8" t="s">
        <v>223</v>
      </c>
      <c r="H55" s="9" t="s">
        <v>303</v>
      </c>
      <c r="I55" s="9" t="s">
        <v>223</v>
      </c>
      <c r="J55" s="9" t="s">
        <v>304</v>
      </c>
      <c r="K55" s="9" t="s">
        <v>223</v>
      </c>
      <c r="L55" s="9" t="s">
        <v>223</v>
      </c>
      <c r="M55">
        <v>6</v>
      </c>
      <c r="N55" s="9" t="s">
        <v>223</v>
      </c>
    </row>
    <row r="56" spans="1:14">
      <c r="A56" s="9" t="s">
        <v>60</v>
      </c>
      <c r="B56" s="9" t="s">
        <v>1329</v>
      </c>
      <c r="C56" s="16" t="str">
        <f t="shared" si="0"/>
        <v>7VX690TFF1927</v>
      </c>
      <c r="D56" s="9" t="s">
        <v>178</v>
      </c>
      <c r="E56" s="9" t="s">
        <v>167</v>
      </c>
      <c r="F56" s="9" t="s">
        <v>167</v>
      </c>
      <c r="G56" s="8" t="s">
        <v>223</v>
      </c>
      <c r="H56" s="9" t="s">
        <v>193</v>
      </c>
      <c r="I56" s="9" t="s">
        <v>223</v>
      </c>
      <c r="J56" s="9" t="s">
        <v>784</v>
      </c>
      <c r="K56" s="9" t="s">
        <v>223</v>
      </c>
      <c r="L56" s="9" t="s">
        <v>223</v>
      </c>
      <c r="M56">
        <v>4</v>
      </c>
      <c r="N56" s="9" t="s">
        <v>223</v>
      </c>
    </row>
    <row r="57" spans="1:14">
      <c r="A57" s="9" t="s">
        <v>60</v>
      </c>
      <c r="B57" s="9" t="s">
        <v>1333</v>
      </c>
      <c r="C57" s="16" t="str">
        <f t="shared" si="0"/>
        <v>7VX690TFF1930</v>
      </c>
      <c r="D57" s="9" t="s">
        <v>178</v>
      </c>
      <c r="E57" s="9" t="s">
        <v>167</v>
      </c>
      <c r="F57" s="9" t="s">
        <v>167</v>
      </c>
      <c r="G57" s="8" t="s">
        <v>223</v>
      </c>
      <c r="H57" s="9" t="s">
        <v>305</v>
      </c>
      <c r="I57" s="9" t="s">
        <v>223</v>
      </c>
      <c r="J57" s="9" t="s">
        <v>205</v>
      </c>
      <c r="K57" s="9" t="s">
        <v>223</v>
      </c>
      <c r="L57" s="9" t="s">
        <v>223</v>
      </c>
      <c r="M57">
        <v>8</v>
      </c>
      <c r="N57" s="9" t="s">
        <v>223</v>
      </c>
    </row>
    <row r="58" spans="1:14">
      <c r="A58" s="9" t="s">
        <v>284</v>
      </c>
      <c r="B58" s="9" t="s">
        <v>1323</v>
      </c>
      <c r="C58" s="16" t="str">
        <f t="shared" si="0"/>
        <v>7VX980TFF1926</v>
      </c>
      <c r="D58" s="9" t="s">
        <v>178</v>
      </c>
      <c r="E58" s="9" t="s">
        <v>167</v>
      </c>
      <c r="F58" s="9" t="s">
        <v>167</v>
      </c>
      <c r="G58" s="8" t="s">
        <v>223</v>
      </c>
      <c r="H58" s="9" t="s">
        <v>303</v>
      </c>
      <c r="I58" s="9" t="s">
        <v>223</v>
      </c>
      <c r="J58" s="9" t="s">
        <v>304</v>
      </c>
      <c r="K58" s="9" t="s">
        <v>223</v>
      </c>
      <c r="L58" s="9" t="s">
        <v>223</v>
      </c>
      <c r="M58">
        <v>6</v>
      </c>
      <c r="N58" s="9" t="s">
        <v>223</v>
      </c>
    </row>
    <row r="59" spans="1:14">
      <c r="A59" s="9" t="s">
        <v>284</v>
      </c>
      <c r="B59" s="9" t="s">
        <v>1330</v>
      </c>
      <c r="C59" s="16" t="str">
        <f t="shared" si="0"/>
        <v>7VX980TFF1928</v>
      </c>
      <c r="D59" s="9" t="s">
        <v>178</v>
      </c>
      <c r="E59" s="9" t="s">
        <v>167</v>
      </c>
      <c r="F59" s="9" t="s">
        <v>167</v>
      </c>
      <c r="G59" s="8" t="s">
        <v>223</v>
      </c>
      <c r="H59" s="9" t="s">
        <v>298</v>
      </c>
      <c r="I59" s="9" t="s">
        <v>223</v>
      </c>
      <c r="J59" s="9" t="s">
        <v>306</v>
      </c>
      <c r="K59" s="9" t="s">
        <v>223</v>
      </c>
      <c r="L59" s="9" t="s">
        <v>223</v>
      </c>
      <c r="M59">
        <v>4</v>
      </c>
      <c r="N59" s="9" t="s">
        <v>223</v>
      </c>
    </row>
    <row r="60" spans="1:14">
      <c r="A60" s="9" t="s">
        <v>284</v>
      </c>
      <c r="B60" s="9" t="s">
        <v>1333</v>
      </c>
      <c r="C60" s="16" t="str">
        <f t="shared" si="0"/>
        <v>7VX980TFF1930</v>
      </c>
      <c r="D60" s="9" t="s">
        <v>178</v>
      </c>
      <c r="E60" s="9" t="s">
        <v>167</v>
      </c>
      <c r="F60" s="9" t="s">
        <v>167</v>
      </c>
      <c r="G60" s="8" t="s">
        <v>223</v>
      </c>
      <c r="H60" s="9" t="s">
        <v>307</v>
      </c>
      <c r="I60" s="9" t="s">
        <v>223</v>
      </c>
      <c r="J60" s="9" t="s">
        <v>205</v>
      </c>
      <c r="K60" s="9" t="s">
        <v>223</v>
      </c>
      <c r="L60" s="9" t="s">
        <v>223</v>
      </c>
      <c r="M60">
        <v>7</v>
      </c>
      <c r="N60" s="9" t="s">
        <v>223</v>
      </c>
    </row>
    <row r="61" spans="1:14">
      <c r="A61" s="9" t="s">
        <v>285</v>
      </c>
      <c r="B61" s="9" t="s">
        <v>1343</v>
      </c>
      <c r="C61" s="16" t="str">
        <f t="shared" si="0"/>
        <v>7Z010CL400</v>
      </c>
      <c r="D61" s="9" t="s">
        <v>178</v>
      </c>
      <c r="E61" s="9" t="s">
        <v>166</v>
      </c>
      <c r="F61" s="9" t="s">
        <v>166</v>
      </c>
      <c r="G61" s="9" t="s">
        <v>308</v>
      </c>
      <c r="H61" s="8" t="s">
        <v>223</v>
      </c>
      <c r="I61" s="9" t="s">
        <v>223</v>
      </c>
      <c r="J61" s="9" t="s">
        <v>223</v>
      </c>
      <c r="K61" s="9" t="s">
        <v>223</v>
      </c>
      <c r="L61" s="9" t="s">
        <v>309</v>
      </c>
      <c r="M61" s="9" t="s">
        <v>497</v>
      </c>
      <c r="N61" s="9" t="s">
        <v>223</v>
      </c>
    </row>
    <row r="62" spans="1:14">
      <c r="A62" s="9" t="s">
        <v>285</v>
      </c>
      <c r="B62" s="9" t="s">
        <v>1341</v>
      </c>
      <c r="C62" s="16" t="str">
        <f t="shared" si="0"/>
        <v>7Z010CL225</v>
      </c>
      <c r="D62" s="9" t="s">
        <v>178</v>
      </c>
      <c r="E62" s="9" t="s">
        <v>166</v>
      </c>
      <c r="F62" s="9" t="s">
        <v>166</v>
      </c>
      <c r="G62" s="9" t="s">
        <v>308</v>
      </c>
      <c r="H62" s="8" t="s">
        <v>223</v>
      </c>
      <c r="I62" s="9" t="s">
        <v>223</v>
      </c>
      <c r="J62" s="9" t="s">
        <v>223</v>
      </c>
      <c r="K62" s="9" t="s">
        <v>223</v>
      </c>
      <c r="L62" s="9" t="s">
        <v>309</v>
      </c>
      <c r="M62" s="9" t="s">
        <v>497</v>
      </c>
      <c r="N62" s="9" t="s">
        <v>223</v>
      </c>
    </row>
    <row r="63" spans="1:14">
      <c r="A63" s="9" t="s">
        <v>826</v>
      </c>
      <c r="B63" s="9" t="s">
        <v>1342</v>
      </c>
      <c r="C63" s="16" t="str">
        <f t="shared" si="0"/>
        <v>7Z015CL485</v>
      </c>
      <c r="D63" s="9" t="s">
        <v>178</v>
      </c>
      <c r="E63" s="9" t="s">
        <v>166</v>
      </c>
      <c r="F63" s="9" t="s">
        <v>166</v>
      </c>
      <c r="G63" s="9" t="s">
        <v>873</v>
      </c>
      <c r="H63" s="9" t="s">
        <v>223</v>
      </c>
      <c r="I63" s="9" t="s">
        <v>223</v>
      </c>
      <c r="J63" s="9" t="s">
        <v>223</v>
      </c>
      <c r="K63" s="9" t="s">
        <v>499</v>
      </c>
      <c r="L63" s="9" t="s">
        <v>309</v>
      </c>
      <c r="M63" s="9" t="s">
        <v>497</v>
      </c>
      <c r="N63" s="9" t="s">
        <v>223</v>
      </c>
    </row>
    <row r="64" spans="1:14">
      <c r="A64" s="9" t="s">
        <v>286</v>
      </c>
      <c r="B64" s="9" t="s">
        <v>1343</v>
      </c>
      <c r="C64" s="16" t="str">
        <f t="shared" si="0"/>
        <v>7Z020CL400</v>
      </c>
      <c r="D64" s="9" t="s">
        <v>178</v>
      </c>
      <c r="E64" s="9" t="s">
        <v>166</v>
      </c>
      <c r="F64" s="9" t="s">
        <v>166</v>
      </c>
      <c r="G64" s="9" t="s">
        <v>310</v>
      </c>
      <c r="H64" s="8" t="s">
        <v>223</v>
      </c>
      <c r="I64" s="9" t="s">
        <v>223</v>
      </c>
      <c r="J64" s="9" t="s">
        <v>223</v>
      </c>
      <c r="K64" s="9" t="s">
        <v>223</v>
      </c>
      <c r="L64" s="9" t="s">
        <v>309</v>
      </c>
      <c r="M64" s="9" t="s">
        <v>497</v>
      </c>
      <c r="N64" s="9" t="s">
        <v>223</v>
      </c>
    </row>
    <row r="65" spans="1:14">
      <c r="A65" s="9" t="s">
        <v>286</v>
      </c>
      <c r="B65" s="9" t="s">
        <v>1344</v>
      </c>
      <c r="C65" s="16" t="str">
        <f t="shared" si="0"/>
        <v>7Z020CL484</v>
      </c>
      <c r="D65" s="9" t="s">
        <v>178</v>
      </c>
      <c r="E65" s="9" t="s">
        <v>166</v>
      </c>
      <c r="F65" s="9" t="s">
        <v>166</v>
      </c>
      <c r="G65" s="9" t="s">
        <v>311</v>
      </c>
      <c r="H65" s="8" t="s">
        <v>223</v>
      </c>
      <c r="I65" s="9" t="s">
        <v>223</v>
      </c>
      <c r="J65" s="9" t="s">
        <v>223</v>
      </c>
      <c r="K65" s="9" t="s">
        <v>223</v>
      </c>
      <c r="L65" s="9" t="s">
        <v>309</v>
      </c>
      <c r="M65" s="9" t="s">
        <v>497</v>
      </c>
      <c r="N65" s="9" t="s">
        <v>223</v>
      </c>
    </row>
    <row r="66" spans="1:14">
      <c r="A66" s="9" t="s">
        <v>455</v>
      </c>
      <c r="B66" s="9" t="s">
        <v>1312</v>
      </c>
      <c r="C66" s="16" t="str">
        <f t="shared" si="0"/>
        <v>7Z030FB484</v>
      </c>
      <c r="D66" s="9" t="s">
        <v>178</v>
      </c>
      <c r="E66" s="9" t="s">
        <v>166</v>
      </c>
      <c r="F66" s="9" t="s">
        <v>166</v>
      </c>
      <c r="G66" s="9" t="s">
        <v>49</v>
      </c>
      <c r="H66" s="9" t="s">
        <v>498</v>
      </c>
      <c r="I66" s="9" t="s">
        <v>499</v>
      </c>
      <c r="J66" s="9" t="s">
        <v>223</v>
      </c>
      <c r="K66" s="9" t="s">
        <v>223</v>
      </c>
      <c r="L66" s="9" t="s">
        <v>309</v>
      </c>
      <c r="M66" s="9" t="s">
        <v>497</v>
      </c>
      <c r="N66" s="9" t="s">
        <v>223</v>
      </c>
    </row>
    <row r="67" spans="1:14">
      <c r="A67" s="9" t="s">
        <v>455</v>
      </c>
      <c r="B67" s="9" t="s">
        <v>1350</v>
      </c>
      <c r="C67" s="16" t="str">
        <f t="shared" si="0"/>
        <v>7Z030SB485</v>
      </c>
      <c r="D67" s="9" t="s">
        <v>178</v>
      </c>
      <c r="E67" s="9" t="s">
        <v>166</v>
      </c>
      <c r="F67" s="9" t="s">
        <v>166</v>
      </c>
      <c r="G67" s="9" t="s">
        <v>301</v>
      </c>
      <c r="H67" s="9" t="s">
        <v>308</v>
      </c>
      <c r="I67" s="9" t="s">
        <v>499</v>
      </c>
      <c r="J67" s="9" t="s">
        <v>223</v>
      </c>
      <c r="K67" s="9" t="s">
        <v>223</v>
      </c>
      <c r="L67" s="9" t="s">
        <v>309</v>
      </c>
      <c r="M67" s="9" t="s">
        <v>497</v>
      </c>
      <c r="N67" s="9" t="s">
        <v>223</v>
      </c>
    </row>
    <row r="68" spans="1:14">
      <c r="A68" s="9" t="s">
        <v>455</v>
      </c>
      <c r="B68" s="9" t="s">
        <v>1313</v>
      </c>
      <c r="C68" s="16" t="str">
        <f t="shared" ref="C68:C126" si="1">A68&amp;B68</f>
        <v>7Z030FB676</v>
      </c>
      <c r="D68" s="9" t="s">
        <v>178</v>
      </c>
      <c r="E68" s="9" t="s">
        <v>166</v>
      </c>
      <c r="F68" s="9" t="s">
        <v>166</v>
      </c>
      <c r="G68" s="9" t="s">
        <v>49</v>
      </c>
      <c r="H68" s="9" t="s">
        <v>498</v>
      </c>
      <c r="I68" s="9" t="s">
        <v>499</v>
      </c>
      <c r="J68" s="9" t="s">
        <v>223</v>
      </c>
      <c r="K68" s="9" t="s">
        <v>223</v>
      </c>
      <c r="L68" s="9" t="s">
        <v>309</v>
      </c>
      <c r="M68" s="9" t="s">
        <v>497</v>
      </c>
      <c r="N68" s="9" t="s">
        <v>223</v>
      </c>
    </row>
    <row r="69" spans="1:14">
      <c r="A69" s="9" t="s">
        <v>455</v>
      </c>
      <c r="B69" s="9" t="s">
        <v>1317</v>
      </c>
      <c r="C69" s="16" t="str">
        <f t="shared" si="1"/>
        <v>7Z030FF676</v>
      </c>
      <c r="D69" s="9" t="s">
        <v>178</v>
      </c>
      <c r="E69" s="9" t="s">
        <v>166</v>
      </c>
      <c r="F69" s="9" t="s">
        <v>166</v>
      </c>
      <c r="G69" s="9" t="s">
        <v>49</v>
      </c>
      <c r="H69" s="9" t="s">
        <v>498</v>
      </c>
      <c r="I69" s="9" t="s">
        <v>499</v>
      </c>
      <c r="J69" s="9" t="s">
        <v>223</v>
      </c>
      <c r="K69" s="9" t="s">
        <v>223</v>
      </c>
      <c r="L69" s="9" t="s">
        <v>309</v>
      </c>
      <c r="M69">
        <v>1</v>
      </c>
      <c r="N69" s="9" t="s">
        <v>223</v>
      </c>
    </row>
    <row r="70" spans="1:14">
      <c r="A70" s="9" t="s">
        <v>456</v>
      </c>
      <c r="B70" s="9" t="s">
        <v>1313</v>
      </c>
      <c r="C70" s="16" t="str">
        <f t="shared" si="1"/>
        <v>7Z045FB676</v>
      </c>
      <c r="D70" s="9" t="s">
        <v>178</v>
      </c>
      <c r="E70" s="9" t="s">
        <v>166</v>
      </c>
      <c r="F70" s="9" t="s">
        <v>166</v>
      </c>
      <c r="G70" s="9" t="s">
        <v>49</v>
      </c>
      <c r="H70" s="9" t="s">
        <v>498</v>
      </c>
      <c r="I70" s="9" t="s">
        <v>500</v>
      </c>
      <c r="J70" s="9" t="s">
        <v>223</v>
      </c>
      <c r="K70" s="9" t="s">
        <v>223</v>
      </c>
      <c r="L70" s="9" t="s">
        <v>309</v>
      </c>
      <c r="M70" s="9" t="s">
        <v>497</v>
      </c>
      <c r="N70" s="9" t="s">
        <v>223</v>
      </c>
    </row>
    <row r="71" spans="1:14">
      <c r="A71" s="9" t="s">
        <v>456</v>
      </c>
      <c r="B71" s="9" t="s">
        <v>1317</v>
      </c>
      <c r="C71" s="16" t="str">
        <f t="shared" si="1"/>
        <v>7Z045FF676</v>
      </c>
      <c r="D71" s="9" t="s">
        <v>178</v>
      </c>
      <c r="E71" s="9" t="s">
        <v>166</v>
      </c>
      <c r="F71" s="9" t="s">
        <v>166</v>
      </c>
      <c r="G71" s="9" t="s">
        <v>49</v>
      </c>
      <c r="H71" s="9" t="s">
        <v>498</v>
      </c>
      <c r="I71" s="9" t="s">
        <v>500</v>
      </c>
      <c r="J71" s="9" t="s">
        <v>223</v>
      </c>
      <c r="K71" s="9" t="s">
        <v>223</v>
      </c>
      <c r="L71" s="9" t="s">
        <v>309</v>
      </c>
      <c r="M71">
        <v>1</v>
      </c>
      <c r="N71" s="9" t="s">
        <v>223</v>
      </c>
    </row>
    <row r="72" spans="1:14">
      <c r="A72" s="9" t="s">
        <v>456</v>
      </c>
      <c r="B72" s="9" t="s">
        <v>1318</v>
      </c>
      <c r="C72" s="16" t="str">
        <f t="shared" si="1"/>
        <v>7Z045FF900</v>
      </c>
      <c r="D72" s="9" t="s">
        <v>178</v>
      </c>
      <c r="E72" s="9" t="s">
        <v>166</v>
      </c>
      <c r="F72" s="9" t="s">
        <v>166</v>
      </c>
      <c r="G72" s="9" t="s">
        <v>501</v>
      </c>
      <c r="H72" s="9" t="s">
        <v>498</v>
      </c>
      <c r="I72" s="9" t="s">
        <v>502</v>
      </c>
      <c r="J72" s="9" t="s">
        <v>223</v>
      </c>
      <c r="K72" s="9" t="s">
        <v>223</v>
      </c>
      <c r="L72" s="9" t="s">
        <v>309</v>
      </c>
      <c r="M72">
        <v>1</v>
      </c>
      <c r="N72" s="9" t="s">
        <v>223</v>
      </c>
    </row>
    <row r="73" spans="1:14">
      <c r="A73" s="9" t="s">
        <v>782</v>
      </c>
      <c r="B73" s="9" t="s">
        <v>1318</v>
      </c>
      <c r="C73" s="16" t="str">
        <f t="shared" si="1"/>
        <v>7Z100FF900</v>
      </c>
      <c r="D73" s="9" t="s">
        <v>178</v>
      </c>
      <c r="E73" s="9" t="s">
        <v>166</v>
      </c>
      <c r="F73" s="9" t="s">
        <v>166</v>
      </c>
      <c r="G73" s="9" t="s">
        <v>501</v>
      </c>
      <c r="H73" s="9" t="s">
        <v>498</v>
      </c>
      <c r="I73" s="9" t="s">
        <v>502</v>
      </c>
      <c r="J73" s="9" t="s">
        <v>223</v>
      </c>
      <c r="K73" s="9" t="s">
        <v>223</v>
      </c>
      <c r="L73" s="9" t="s">
        <v>309</v>
      </c>
      <c r="M73">
        <v>1</v>
      </c>
      <c r="N73" s="9" t="s">
        <v>223</v>
      </c>
    </row>
    <row r="74" spans="1:14">
      <c r="A74" s="9" t="s">
        <v>782</v>
      </c>
      <c r="B74" s="9" t="s">
        <v>1316</v>
      </c>
      <c r="C74" s="16" t="str">
        <f t="shared" si="1"/>
        <v>7Z100FF1156</v>
      </c>
      <c r="D74" s="9" t="s">
        <v>178</v>
      </c>
      <c r="E74" s="9" t="s">
        <v>166</v>
      </c>
      <c r="F74" s="9" t="s">
        <v>166</v>
      </c>
      <c r="G74" s="9" t="s">
        <v>501</v>
      </c>
      <c r="H74" s="9" t="s">
        <v>498</v>
      </c>
      <c r="I74" s="9" t="s">
        <v>502</v>
      </c>
      <c r="J74" s="9" t="s">
        <v>223</v>
      </c>
      <c r="K74" s="9" t="s">
        <v>223</v>
      </c>
      <c r="L74" s="9" t="s">
        <v>309</v>
      </c>
      <c r="M74">
        <v>1</v>
      </c>
      <c r="N74" s="9" t="s">
        <v>223</v>
      </c>
    </row>
    <row r="75" spans="1:14">
      <c r="A75" s="9" t="s">
        <v>63</v>
      </c>
      <c r="B75" s="16" t="s">
        <v>1325</v>
      </c>
      <c r="C75" s="16" t="str">
        <f t="shared" si="1"/>
        <v>7VH580TFL1155</v>
      </c>
      <c r="D75" s="9" t="s">
        <v>178</v>
      </c>
      <c r="E75" s="9" t="s">
        <v>167</v>
      </c>
      <c r="F75" s="9" t="s">
        <v>167</v>
      </c>
      <c r="G75" s="8" t="s">
        <v>223</v>
      </c>
      <c r="H75" s="8" t="s">
        <v>819</v>
      </c>
      <c r="I75" s="8" t="s">
        <v>223</v>
      </c>
      <c r="J75" s="8" t="s">
        <v>820</v>
      </c>
      <c r="K75" s="9" t="s">
        <v>223</v>
      </c>
      <c r="L75" s="9" t="s">
        <v>223</v>
      </c>
      <c r="M75">
        <v>2</v>
      </c>
      <c r="N75">
        <v>1</v>
      </c>
    </row>
    <row r="76" spans="1:14">
      <c r="A76" s="9" t="s">
        <v>63</v>
      </c>
      <c r="B76" s="16" t="s">
        <v>1332</v>
      </c>
      <c r="C76" s="16" t="str">
        <f t="shared" si="1"/>
        <v>7VH580TFL1931</v>
      </c>
      <c r="D76" s="9" t="s">
        <v>178</v>
      </c>
      <c r="E76" s="9" t="s">
        <v>167</v>
      </c>
      <c r="F76" s="9" t="s">
        <v>167</v>
      </c>
      <c r="G76" s="8" t="s">
        <v>223</v>
      </c>
      <c r="H76" s="8" t="s">
        <v>822</v>
      </c>
      <c r="I76" s="8" t="s">
        <v>223</v>
      </c>
      <c r="J76" s="8" t="s">
        <v>821</v>
      </c>
      <c r="K76" s="9" t="s">
        <v>223</v>
      </c>
      <c r="L76" s="9" t="s">
        <v>223</v>
      </c>
      <c r="M76">
        <v>4</v>
      </c>
      <c r="N76">
        <v>1</v>
      </c>
    </row>
    <row r="77" spans="1:14">
      <c r="A77" s="9" t="s">
        <v>63</v>
      </c>
      <c r="B77" s="16" t="s">
        <v>1326</v>
      </c>
      <c r="C77" s="16" t="str">
        <f t="shared" si="1"/>
        <v>7VH580TFL1932</v>
      </c>
      <c r="D77" s="9" t="s">
        <v>178</v>
      </c>
      <c r="E77" s="9" t="s">
        <v>167</v>
      </c>
      <c r="F77" s="9" t="s">
        <v>167</v>
      </c>
      <c r="G77" s="8" t="s">
        <v>223</v>
      </c>
      <c r="H77" s="8" t="s">
        <v>823</v>
      </c>
      <c r="I77" s="8" t="s">
        <v>223</v>
      </c>
      <c r="J77" s="8" t="s">
        <v>821</v>
      </c>
      <c r="K77" s="9" t="s">
        <v>223</v>
      </c>
      <c r="L77" s="9" t="s">
        <v>223</v>
      </c>
      <c r="M77">
        <v>2</v>
      </c>
      <c r="N77">
        <v>1</v>
      </c>
    </row>
    <row r="78" spans="1:14">
      <c r="A78" s="9" t="s">
        <v>64</v>
      </c>
      <c r="B78" s="16" t="s">
        <v>1332</v>
      </c>
      <c r="C78" s="16" t="str">
        <f t="shared" si="1"/>
        <v>7VH870TFL1931</v>
      </c>
      <c r="D78" s="9" t="s">
        <v>178</v>
      </c>
      <c r="E78" s="9" t="s">
        <v>167</v>
      </c>
      <c r="F78" s="9" t="s">
        <v>167</v>
      </c>
      <c r="G78" s="8" t="s">
        <v>223</v>
      </c>
      <c r="H78" s="8" t="s">
        <v>824</v>
      </c>
      <c r="I78" s="8" t="s">
        <v>223</v>
      </c>
      <c r="J78" s="8" t="s">
        <v>821</v>
      </c>
      <c r="K78" s="9" t="s">
        <v>223</v>
      </c>
      <c r="L78" s="9" t="s">
        <v>223</v>
      </c>
      <c r="M78">
        <v>5</v>
      </c>
      <c r="N78">
        <v>1</v>
      </c>
    </row>
    <row r="79" spans="1:14">
      <c r="A79" s="9" t="s">
        <v>64</v>
      </c>
      <c r="B79" s="16" t="s">
        <v>1326</v>
      </c>
      <c r="C79" s="16" t="str">
        <f t="shared" si="1"/>
        <v>7VH870TFL1932</v>
      </c>
      <c r="D79" s="9" t="s">
        <v>178</v>
      </c>
      <c r="E79" s="9" t="s">
        <v>167</v>
      </c>
      <c r="F79" s="9" t="s">
        <v>167</v>
      </c>
      <c r="G79" s="8" t="s">
        <v>223</v>
      </c>
      <c r="H79" s="8" t="s">
        <v>823</v>
      </c>
      <c r="I79" s="8" t="s">
        <v>223</v>
      </c>
      <c r="J79" s="8" t="s">
        <v>306</v>
      </c>
      <c r="K79" s="9" t="s">
        <v>223</v>
      </c>
      <c r="L79" s="9" t="s">
        <v>223</v>
      </c>
      <c r="M79">
        <v>2</v>
      </c>
      <c r="N79">
        <v>2</v>
      </c>
    </row>
    <row r="80" spans="1:14">
      <c r="A80" s="9" t="s">
        <v>867</v>
      </c>
      <c r="B80" s="76" t="s">
        <v>1335</v>
      </c>
      <c r="C80" s="16" t="str">
        <f t="shared" si="1"/>
        <v>7A35TCS324</v>
      </c>
      <c r="D80" s="9" t="s">
        <v>178</v>
      </c>
      <c r="E80" s="9" t="s">
        <v>166</v>
      </c>
      <c r="F80" s="9" t="s">
        <v>166</v>
      </c>
      <c r="G80" s="9" t="s">
        <v>52</v>
      </c>
      <c r="H80" s="9" t="s">
        <v>223</v>
      </c>
      <c r="I80" s="9" t="s">
        <v>223</v>
      </c>
      <c r="J80" s="9" t="s">
        <v>223</v>
      </c>
      <c r="K80" s="9" t="s">
        <v>223</v>
      </c>
      <c r="L80" s="9" t="s">
        <v>223</v>
      </c>
      <c r="M80" s="9" t="s">
        <v>497</v>
      </c>
      <c r="N80" s="9" t="s">
        <v>223</v>
      </c>
    </row>
    <row r="81" spans="1:14">
      <c r="A81" s="9" t="s">
        <v>867</v>
      </c>
      <c r="B81" s="2" t="s">
        <v>1339</v>
      </c>
      <c r="C81" s="16" t="str">
        <f t="shared" si="1"/>
        <v>7A35TFG484</v>
      </c>
      <c r="D81" s="9" t="s">
        <v>178</v>
      </c>
      <c r="E81" s="9" t="s">
        <v>166</v>
      </c>
      <c r="F81" s="9" t="s">
        <v>166</v>
      </c>
      <c r="G81" s="9" t="s">
        <v>289</v>
      </c>
      <c r="H81" s="9" t="s">
        <v>223</v>
      </c>
      <c r="I81" s="9" t="s">
        <v>223</v>
      </c>
      <c r="J81" s="9" t="s">
        <v>223</v>
      </c>
      <c r="K81" s="9" t="s">
        <v>290</v>
      </c>
      <c r="L81" s="9" t="s">
        <v>223</v>
      </c>
      <c r="M81" s="9" t="s">
        <v>497</v>
      </c>
      <c r="N81" s="9" t="s">
        <v>223</v>
      </c>
    </row>
    <row r="82" spans="1:14">
      <c r="A82" s="9" t="s">
        <v>867</v>
      </c>
      <c r="B82" s="171" t="s">
        <v>1338</v>
      </c>
      <c r="C82" s="16" t="str">
        <f t="shared" si="1"/>
        <v>7A35TFT256</v>
      </c>
      <c r="D82" s="9" t="s">
        <v>178</v>
      </c>
      <c r="E82" s="9" t="s">
        <v>166</v>
      </c>
      <c r="F82" s="9" t="s">
        <v>166</v>
      </c>
      <c r="G82" s="9" t="s">
        <v>53</v>
      </c>
      <c r="H82" s="9" t="s">
        <v>223</v>
      </c>
      <c r="I82" s="9" t="s">
        <v>223</v>
      </c>
      <c r="J82" s="9" t="s">
        <v>223</v>
      </c>
      <c r="K82" s="9" t="s">
        <v>223</v>
      </c>
      <c r="L82" s="9" t="s">
        <v>223</v>
      </c>
      <c r="M82" s="9" t="s">
        <v>497</v>
      </c>
      <c r="N82" s="9" t="s">
        <v>223</v>
      </c>
    </row>
    <row r="83" spans="1:14">
      <c r="A83" s="9" t="s">
        <v>868</v>
      </c>
      <c r="B83" s="76" t="s">
        <v>1335</v>
      </c>
      <c r="C83" s="16" t="str">
        <f t="shared" si="1"/>
        <v>7A50TCS324</v>
      </c>
      <c r="D83" s="9" t="s">
        <v>178</v>
      </c>
      <c r="E83" s="9" t="s">
        <v>166</v>
      </c>
      <c r="F83" s="9" t="s">
        <v>166</v>
      </c>
      <c r="G83" s="9" t="s">
        <v>52</v>
      </c>
      <c r="H83" s="9" t="s">
        <v>223</v>
      </c>
      <c r="I83" s="9" t="s">
        <v>223</v>
      </c>
      <c r="J83" s="9" t="s">
        <v>223</v>
      </c>
      <c r="K83" s="9" t="s">
        <v>223</v>
      </c>
      <c r="L83" s="9" t="s">
        <v>223</v>
      </c>
      <c r="M83" s="9" t="s">
        <v>497</v>
      </c>
      <c r="N83" s="9" t="s">
        <v>223</v>
      </c>
    </row>
    <row r="84" spans="1:14">
      <c r="A84" s="9" t="s">
        <v>868</v>
      </c>
      <c r="B84" s="2" t="s">
        <v>1339</v>
      </c>
      <c r="C84" s="16" t="str">
        <f t="shared" si="1"/>
        <v>7A50TFG484</v>
      </c>
      <c r="D84" s="9" t="s">
        <v>178</v>
      </c>
      <c r="E84" s="9" t="s">
        <v>166</v>
      </c>
      <c r="F84" s="9" t="s">
        <v>166</v>
      </c>
      <c r="G84" s="9" t="s">
        <v>289</v>
      </c>
      <c r="H84" s="9" t="s">
        <v>223</v>
      </c>
      <c r="I84" s="9" t="s">
        <v>223</v>
      </c>
      <c r="J84" s="9" t="s">
        <v>223</v>
      </c>
      <c r="K84" s="9" t="s">
        <v>290</v>
      </c>
      <c r="L84" s="9" t="s">
        <v>223</v>
      </c>
      <c r="M84" s="9" t="s">
        <v>497</v>
      </c>
      <c r="N84" s="9" t="s">
        <v>223</v>
      </c>
    </row>
    <row r="85" spans="1:14">
      <c r="A85" s="9" t="s">
        <v>868</v>
      </c>
      <c r="B85" s="171" t="s">
        <v>1338</v>
      </c>
      <c r="C85" s="16" t="str">
        <f t="shared" si="1"/>
        <v>7A50TFT256</v>
      </c>
      <c r="D85" s="9" t="s">
        <v>178</v>
      </c>
      <c r="E85" s="9" t="s">
        <v>166</v>
      </c>
      <c r="F85" s="9" t="s">
        <v>166</v>
      </c>
      <c r="G85" s="9" t="s">
        <v>53</v>
      </c>
      <c r="H85" s="9" t="s">
        <v>223</v>
      </c>
      <c r="I85" s="9" t="s">
        <v>223</v>
      </c>
      <c r="J85" s="9" t="s">
        <v>223</v>
      </c>
      <c r="K85" s="9" t="s">
        <v>223</v>
      </c>
      <c r="L85" s="9" t="s">
        <v>223</v>
      </c>
      <c r="M85" s="9" t="s">
        <v>497</v>
      </c>
      <c r="N85" s="9" t="s">
        <v>223</v>
      </c>
    </row>
    <row r="86" spans="1:14">
      <c r="A86" t="s">
        <v>869</v>
      </c>
      <c r="B86" s="76" t="s">
        <v>1335</v>
      </c>
      <c r="C86" s="16" t="str">
        <f t="shared" si="1"/>
        <v>7A75TCS324</v>
      </c>
      <c r="D86" s="9" t="s">
        <v>178</v>
      </c>
      <c r="E86" s="9" t="s">
        <v>166</v>
      </c>
      <c r="F86" s="9" t="s">
        <v>166</v>
      </c>
      <c r="G86" s="9" t="s">
        <v>52</v>
      </c>
      <c r="H86" s="9" t="s">
        <v>223</v>
      </c>
      <c r="I86" s="9" t="s">
        <v>223</v>
      </c>
      <c r="J86" s="9" t="s">
        <v>223</v>
      </c>
      <c r="K86" s="9" t="s">
        <v>223</v>
      </c>
      <c r="L86" s="9" t="s">
        <v>223</v>
      </c>
      <c r="M86" s="9" t="s">
        <v>497</v>
      </c>
      <c r="N86" s="9" t="s">
        <v>223</v>
      </c>
    </row>
    <row r="87" spans="1:14">
      <c r="A87" t="s">
        <v>869</v>
      </c>
      <c r="B87" s="2" t="s">
        <v>1339</v>
      </c>
      <c r="C87" s="16" t="str">
        <f t="shared" si="1"/>
        <v>7A75TFG484</v>
      </c>
      <c r="D87" s="9" t="s">
        <v>178</v>
      </c>
      <c r="E87" s="9" t="s">
        <v>166</v>
      </c>
      <c r="F87" s="9" t="s">
        <v>166</v>
      </c>
      <c r="G87" s="9" t="s">
        <v>289</v>
      </c>
      <c r="H87" s="9" t="s">
        <v>223</v>
      </c>
      <c r="I87" s="9" t="s">
        <v>223</v>
      </c>
      <c r="J87" s="9" t="s">
        <v>223</v>
      </c>
      <c r="K87" s="9" t="s">
        <v>290</v>
      </c>
      <c r="L87" s="9" t="s">
        <v>223</v>
      </c>
      <c r="M87" s="9" t="s">
        <v>497</v>
      </c>
      <c r="N87" s="9" t="s">
        <v>223</v>
      </c>
    </row>
    <row r="88" spans="1:14">
      <c r="A88" t="s">
        <v>869</v>
      </c>
      <c r="B88" s="76" t="s">
        <v>1340</v>
      </c>
      <c r="C88" s="16" t="str">
        <f t="shared" si="1"/>
        <v>7A75TFG676</v>
      </c>
      <c r="D88" s="9" t="s">
        <v>178</v>
      </c>
      <c r="E88" s="9" t="s">
        <v>166</v>
      </c>
      <c r="F88" s="9" t="s">
        <v>166</v>
      </c>
      <c r="G88" s="9" t="s">
        <v>289</v>
      </c>
      <c r="H88" s="9" t="s">
        <v>223</v>
      </c>
      <c r="I88" s="9" t="s">
        <v>223</v>
      </c>
      <c r="J88" s="9" t="s">
        <v>223</v>
      </c>
      <c r="K88" s="9" t="s">
        <v>291</v>
      </c>
      <c r="L88" s="9" t="s">
        <v>223</v>
      </c>
      <c r="M88" s="9" t="s">
        <v>497</v>
      </c>
      <c r="N88" s="9" t="s">
        <v>223</v>
      </c>
    </row>
    <row r="89" spans="1:14">
      <c r="A89" t="s">
        <v>869</v>
      </c>
      <c r="B89" s="76" t="s">
        <v>1338</v>
      </c>
      <c r="C89" s="16" t="str">
        <f t="shared" si="1"/>
        <v>7A75TFT256</v>
      </c>
      <c r="D89" s="9" t="s">
        <v>178</v>
      </c>
      <c r="E89" s="9" t="s">
        <v>166</v>
      </c>
      <c r="F89" s="9" t="s">
        <v>166</v>
      </c>
      <c r="G89" s="9" t="s">
        <v>53</v>
      </c>
      <c r="H89" s="9" t="s">
        <v>223</v>
      </c>
      <c r="I89" s="9" t="s">
        <v>223</v>
      </c>
      <c r="J89" s="9" t="s">
        <v>223</v>
      </c>
      <c r="K89" s="9" t="s">
        <v>223</v>
      </c>
      <c r="L89" s="9" t="s">
        <v>223</v>
      </c>
      <c r="M89" s="9" t="s">
        <v>497</v>
      </c>
      <c r="N89" s="9" t="s">
        <v>223</v>
      </c>
    </row>
    <row r="90" spans="1:14">
      <c r="A90" s="8" t="s">
        <v>867</v>
      </c>
      <c r="B90" s="8" t="s">
        <v>1351</v>
      </c>
      <c r="C90" s="16" t="str">
        <f t="shared" si="1"/>
        <v>7A35TCP236</v>
      </c>
      <c r="D90" s="9" t="s">
        <v>178</v>
      </c>
      <c r="E90" s="9" t="s">
        <v>166</v>
      </c>
      <c r="F90" s="9" t="s">
        <v>166</v>
      </c>
      <c r="G90" s="9" t="s">
        <v>1168</v>
      </c>
      <c r="H90" s="9" t="s">
        <v>223</v>
      </c>
      <c r="I90" s="9" t="s">
        <v>223</v>
      </c>
      <c r="J90" s="9" t="s">
        <v>223</v>
      </c>
      <c r="K90" s="9" t="s">
        <v>292</v>
      </c>
      <c r="L90" s="9" t="s">
        <v>223</v>
      </c>
      <c r="M90" s="9" t="s">
        <v>497</v>
      </c>
      <c r="N90" s="9" t="s">
        <v>223</v>
      </c>
    </row>
    <row r="91" spans="1:14">
      <c r="A91" s="8" t="s">
        <v>868</v>
      </c>
      <c r="B91" s="8" t="s">
        <v>1351</v>
      </c>
      <c r="C91" s="16" t="str">
        <f t="shared" si="1"/>
        <v>7A50TCP236</v>
      </c>
      <c r="D91" s="9" t="s">
        <v>178</v>
      </c>
      <c r="E91" s="9" t="s">
        <v>166</v>
      </c>
      <c r="F91" s="9" t="s">
        <v>166</v>
      </c>
      <c r="G91" s="9" t="s">
        <v>1168</v>
      </c>
      <c r="H91" s="9" t="s">
        <v>223</v>
      </c>
      <c r="I91" s="9" t="s">
        <v>223</v>
      </c>
      <c r="J91" s="9" t="s">
        <v>223</v>
      </c>
      <c r="K91" s="9" t="s">
        <v>292</v>
      </c>
      <c r="L91" s="9" t="s">
        <v>223</v>
      </c>
      <c r="M91" s="9" t="s">
        <v>497</v>
      </c>
      <c r="N91" s="9" t="s">
        <v>223</v>
      </c>
    </row>
    <row r="92" spans="1:14">
      <c r="A92" s="8" t="s">
        <v>867</v>
      </c>
      <c r="B92" s="8" t="s">
        <v>1337</v>
      </c>
      <c r="C92" s="16" t="str">
        <f t="shared" si="1"/>
        <v>7A35TCS325</v>
      </c>
      <c r="D92" s="9" t="s">
        <v>178</v>
      </c>
      <c r="E92" s="9" t="s">
        <v>166</v>
      </c>
      <c r="F92" s="9" t="s">
        <v>166</v>
      </c>
      <c r="G92" s="9" t="s">
        <v>1169</v>
      </c>
      <c r="H92" s="9" t="s">
        <v>223</v>
      </c>
      <c r="I92" s="9" t="s">
        <v>223</v>
      </c>
      <c r="J92" s="9" t="s">
        <v>223</v>
      </c>
      <c r="K92" s="9" t="s">
        <v>292</v>
      </c>
      <c r="L92" s="9" t="s">
        <v>223</v>
      </c>
      <c r="M92" s="9" t="s">
        <v>497</v>
      </c>
      <c r="N92" s="9" t="s">
        <v>223</v>
      </c>
    </row>
    <row r="93" spans="1:14">
      <c r="A93" s="8" t="s">
        <v>868</v>
      </c>
      <c r="B93" s="8" t="s">
        <v>1337</v>
      </c>
      <c r="C93" s="16" t="str">
        <f t="shared" si="1"/>
        <v>7A50TCS325</v>
      </c>
      <c r="D93" s="9" t="s">
        <v>178</v>
      </c>
      <c r="E93" s="9" t="s">
        <v>166</v>
      </c>
      <c r="F93" s="9" t="s">
        <v>166</v>
      </c>
      <c r="G93" s="9" t="s">
        <v>1169</v>
      </c>
      <c r="H93" s="9" t="s">
        <v>223</v>
      </c>
      <c r="I93" s="9" t="s">
        <v>223</v>
      </c>
      <c r="J93" s="9" t="s">
        <v>223</v>
      </c>
      <c r="K93" s="9" t="s">
        <v>292</v>
      </c>
      <c r="L93" s="9" t="s">
        <v>223</v>
      </c>
      <c r="M93" s="9" t="s">
        <v>497</v>
      </c>
      <c r="N93" s="9" t="s">
        <v>223</v>
      </c>
    </row>
    <row r="94" spans="1:14">
      <c r="A94" s="9" t="s">
        <v>1193</v>
      </c>
      <c r="B94" s="76" t="s">
        <v>1335</v>
      </c>
      <c r="C94" s="16" t="str">
        <f t="shared" si="1"/>
        <v>7A15TCS324</v>
      </c>
      <c r="D94" s="9" t="s">
        <v>178</v>
      </c>
      <c r="E94" s="9" t="s">
        <v>166</v>
      </c>
      <c r="F94" s="9" t="s">
        <v>166</v>
      </c>
      <c r="G94" s="9" t="s">
        <v>52</v>
      </c>
      <c r="H94" s="9" t="s">
        <v>223</v>
      </c>
      <c r="I94" s="9" t="s">
        <v>223</v>
      </c>
      <c r="J94" s="9" t="s">
        <v>223</v>
      </c>
      <c r="K94" s="9" t="s">
        <v>223</v>
      </c>
      <c r="L94" s="9" t="s">
        <v>223</v>
      </c>
      <c r="M94" s="9" t="s">
        <v>497</v>
      </c>
      <c r="N94" s="9" t="s">
        <v>223</v>
      </c>
    </row>
    <row r="95" spans="1:14">
      <c r="A95" s="9" t="s">
        <v>1193</v>
      </c>
      <c r="B95" s="2" t="s">
        <v>1339</v>
      </c>
      <c r="C95" s="16" t="str">
        <f t="shared" si="1"/>
        <v>7A15TFG484</v>
      </c>
      <c r="D95" s="9" t="s">
        <v>178</v>
      </c>
      <c r="E95" s="9" t="s">
        <v>166</v>
      </c>
      <c r="F95" s="9" t="s">
        <v>166</v>
      </c>
      <c r="G95" s="9" t="s">
        <v>289</v>
      </c>
      <c r="H95" s="9" t="s">
        <v>223</v>
      </c>
      <c r="I95" s="9" t="s">
        <v>223</v>
      </c>
      <c r="J95" s="9" t="s">
        <v>223</v>
      </c>
      <c r="K95" s="9" t="s">
        <v>290</v>
      </c>
      <c r="L95" s="9" t="s">
        <v>223</v>
      </c>
      <c r="M95" s="9" t="s">
        <v>497</v>
      </c>
      <c r="N95" s="9" t="s">
        <v>223</v>
      </c>
    </row>
    <row r="96" spans="1:14">
      <c r="A96" s="9" t="s">
        <v>1193</v>
      </c>
      <c r="B96" s="171" t="s">
        <v>1338</v>
      </c>
      <c r="C96" s="16" t="str">
        <f t="shared" si="1"/>
        <v>7A15TFT256</v>
      </c>
      <c r="D96" s="9" t="s">
        <v>178</v>
      </c>
      <c r="E96" s="9" t="s">
        <v>166</v>
      </c>
      <c r="F96" s="9" t="s">
        <v>166</v>
      </c>
      <c r="G96" s="9" t="s">
        <v>53</v>
      </c>
      <c r="H96" s="9" t="s">
        <v>223</v>
      </c>
      <c r="I96" s="9" t="s">
        <v>223</v>
      </c>
      <c r="J96" s="9" t="s">
        <v>223</v>
      </c>
      <c r="K96" s="9" t="s">
        <v>223</v>
      </c>
      <c r="L96" s="9" t="s">
        <v>223</v>
      </c>
      <c r="M96" s="9" t="s">
        <v>497</v>
      </c>
      <c r="N96" s="9" t="s">
        <v>223</v>
      </c>
    </row>
    <row r="97" spans="1:14">
      <c r="A97" s="9" t="s">
        <v>1193</v>
      </c>
      <c r="B97" s="8" t="s">
        <v>1351</v>
      </c>
      <c r="C97" s="16" t="str">
        <f t="shared" si="1"/>
        <v>7A15TCP236</v>
      </c>
      <c r="D97" s="9" t="s">
        <v>178</v>
      </c>
      <c r="E97" s="9" t="s">
        <v>166</v>
      </c>
      <c r="F97" s="9" t="s">
        <v>166</v>
      </c>
      <c r="G97" s="9" t="s">
        <v>1168</v>
      </c>
      <c r="H97" s="9" t="s">
        <v>223</v>
      </c>
      <c r="I97" s="9" t="s">
        <v>223</v>
      </c>
      <c r="J97" s="9" t="s">
        <v>223</v>
      </c>
      <c r="K97" s="9" t="s">
        <v>292</v>
      </c>
      <c r="L97" s="9" t="s">
        <v>223</v>
      </c>
      <c r="M97" s="9" t="s">
        <v>497</v>
      </c>
      <c r="N97" s="9" t="s">
        <v>223</v>
      </c>
    </row>
    <row r="98" spans="1:14">
      <c r="A98" s="9" t="s">
        <v>1193</v>
      </c>
      <c r="B98" s="8" t="s">
        <v>1337</v>
      </c>
      <c r="C98" s="16" t="str">
        <f t="shared" si="1"/>
        <v>7A15TCS325</v>
      </c>
      <c r="D98" s="9" t="s">
        <v>178</v>
      </c>
      <c r="E98" s="9" t="s">
        <v>166</v>
      </c>
      <c r="F98" s="9" t="s">
        <v>166</v>
      </c>
      <c r="G98" s="9" t="s">
        <v>1169</v>
      </c>
      <c r="H98" s="9" t="s">
        <v>223</v>
      </c>
      <c r="I98" s="9" t="s">
        <v>223</v>
      </c>
      <c r="J98" s="9" t="s">
        <v>223</v>
      </c>
      <c r="K98" s="9" t="s">
        <v>292</v>
      </c>
      <c r="L98" s="9" t="s">
        <v>223</v>
      </c>
      <c r="M98" s="9" t="s">
        <v>497</v>
      </c>
      <c r="N98" s="9" t="s">
        <v>223</v>
      </c>
    </row>
    <row r="99" spans="1:14">
      <c r="A99" s="16" t="s">
        <v>1192</v>
      </c>
      <c r="B99" s="9" t="s">
        <v>1313</v>
      </c>
      <c r="C99" s="16" t="str">
        <f t="shared" si="1"/>
        <v>7Z035FB676</v>
      </c>
      <c r="D99" s="9" t="s">
        <v>178</v>
      </c>
      <c r="E99" s="9" t="s">
        <v>166</v>
      </c>
      <c r="F99" s="9" t="s">
        <v>166</v>
      </c>
      <c r="G99" s="9" t="s">
        <v>49</v>
      </c>
      <c r="H99" s="9" t="s">
        <v>498</v>
      </c>
      <c r="I99" s="9" t="s">
        <v>500</v>
      </c>
      <c r="J99" s="9" t="s">
        <v>223</v>
      </c>
      <c r="K99" s="9" t="s">
        <v>223</v>
      </c>
      <c r="L99" s="9" t="s">
        <v>309</v>
      </c>
      <c r="M99" s="9" t="s">
        <v>497</v>
      </c>
      <c r="N99" s="9" t="s">
        <v>223</v>
      </c>
    </row>
    <row r="100" spans="1:14">
      <c r="A100" s="16" t="s">
        <v>1192</v>
      </c>
      <c r="B100" s="9" t="s">
        <v>1317</v>
      </c>
      <c r="C100" s="16" t="str">
        <f t="shared" si="1"/>
        <v>7Z035FF676</v>
      </c>
      <c r="D100" s="9" t="s">
        <v>178</v>
      </c>
      <c r="E100" s="9" t="s">
        <v>166</v>
      </c>
      <c r="F100" s="9" t="s">
        <v>166</v>
      </c>
      <c r="G100" s="9" t="s">
        <v>49</v>
      </c>
      <c r="H100" s="9" t="s">
        <v>498</v>
      </c>
      <c r="I100" s="9" t="s">
        <v>500</v>
      </c>
      <c r="J100" s="9" t="s">
        <v>223</v>
      </c>
      <c r="K100" s="9" t="s">
        <v>223</v>
      </c>
      <c r="L100" s="9" t="s">
        <v>309</v>
      </c>
      <c r="M100">
        <v>1</v>
      </c>
      <c r="N100" s="9" t="s">
        <v>223</v>
      </c>
    </row>
    <row r="101" spans="1:14">
      <c r="A101" s="16" t="s">
        <v>1192</v>
      </c>
      <c r="B101" s="9" t="s">
        <v>1318</v>
      </c>
      <c r="C101" s="16" t="str">
        <f t="shared" si="1"/>
        <v>7Z035FF900</v>
      </c>
      <c r="D101" s="9" t="s">
        <v>178</v>
      </c>
      <c r="E101" s="9" t="s">
        <v>166</v>
      </c>
      <c r="F101" s="9" t="s">
        <v>166</v>
      </c>
      <c r="G101" s="9" t="s">
        <v>501</v>
      </c>
      <c r="H101" s="9" t="s">
        <v>498</v>
      </c>
      <c r="I101" s="9" t="s">
        <v>502</v>
      </c>
      <c r="J101" s="9" t="s">
        <v>223</v>
      </c>
      <c r="K101" s="9" t="s">
        <v>223</v>
      </c>
      <c r="L101" s="9" t="s">
        <v>309</v>
      </c>
      <c r="M101">
        <v>1</v>
      </c>
      <c r="N101" s="9" t="s">
        <v>223</v>
      </c>
    </row>
    <row r="102" spans="1:14">
      <c r="A102" t="s">
        <v>1462</v>
      </c>
      <c r="B102" t="s">
        <v>1341</v>
      </c>
      <c r="C102" s="16" t="str">
        <f t="shared" si="1"/>
        <v>7Z007SCL225</v>
      </c>
      <c r="D102" s="9" t="s">
        <v>178</v>
      </c>
      <c r="E102" s="9" t="s">
        <v>166</v>
      </c>
      <c r="F102" s="9" t="s">
        <v>166</v>
      </c>
      <c r="G102" s="9" t="s">
        <v>308</v>
      </c>
      <c r="H102" s="8" t="s">
        <v>223</v>
      </c>
      <c r="I102" s="9" t="s">
        <v>223</v>
      </c>
      <c r="J102" s="9" t="s">
        <v>223</v>
      </c>
      <c r="K102" s="9" t="s">
        <v>223</v>
      </c>
      <c r="L102" s="9" t="s">
        <v>309</v>
      </c>
      <c r="M102" s="9" t="s">
        <v>497</v>
      </c>
      <c r="N102" s="9" t="s">
        <v>223</v>
      </c>
    </row>
    <row r="103" spans="1:14">
      <c r="A103" t="s">
        <v>1462</v>
      </c>
      <c r="B103" t="s">
        <v>1343</v>
      </c>
      <c r="C103" s="16" t="str">
        <f t="shared" si="1"/>
        <v>7Z007SCL400</v>
      </c>
      <c r="D103" s="9" t="s">
        <v>178</v>
      </c>
      <c r="E103" s="9" t="s">
        <v>166</v>
      </c>
      <c r="F103" s="9" t="s">
        <v>166</v>
      </c>
      <c r="G103" s="9" t="s">
        <v>308</v>
      </c>
      <c r="H103" s="8" t="s">
        <v>223</v>
      </c>
      <c r="I103" s="9" t="s">
        <v>223</v>
      </c>
      <c r="J103" s="9" t="s">
        <v>223</v>
      </c>
      <c r="K103" s="9" t="s">
        <v>223</v>
      </c>
      <c r="L103" s="9" t="s">
        <v>309</v>
      </c>
      <c r="M103" s="9" t="s">
        <v>497</v>
      </c>
      <c r="N103" s="9" t="s">
        <v>223</v>
      </c>
    </row>
    <row r="104" spans="1:14">
      <c r="A104" t="s">
        <v>1463</v>
      </c>
      <c r="B104" t="s">
        <v>1342</v>
      </c>
      <c r="C104" s="16" t="str">
        <f t="shared" si="1"/>
        <v>7Z012SCL485</v>
      </c>
      <c r="D104" s="9" t="s">
        <v>178</v>
      </c>
      <c r="E104" s="9" t="s">
        <v>166</v>
      </c>
      <c r="F104" s="9" t="s">
        <v>166</v>
      </c>
      <c r="G104" s="9" t="s">
        <v>873</v>
      </c>
      <c r="H104" s="9" t="s">
        <v>223</v>
      </c>
      <c r="I104" s="9" t="s">
        <v>223</v>
      </c>
      <c r="J104" s="9" t="s">
        <v>223</v>
      </c>
      <c r="K104" s="9" t="s">
        <v>499</v>
      </c>
      <c r="L104" s="9" t="s">
        <v>309</v>
      </c>
      <c r="M104" s="9" t="s">
        <v>497</v>
      </c>
      <c r="N104" s="9" t="s">
        <v>223</v>
      </c>
    </row>
    <row r="105" spans="1:14">
      <c r="A105" t="s">
        <v>1464</v>
      </c>
      <c r="B105" t="s">
        <v>1343</v>
      </c>
      <c r="C105" s="16" t="str">
        <f t="shared" si="1"/>
        <v>7Z014SCL400</v>
      </c>
      <c r="D105" s="9" t="s">
        <v>178</v>
      </c>
      <c r="E105" s="9" t="s">
        <v>166</v>
      </c>
      <c r="F105" s="9" t="s">
        <v>166</v>
      </c>
      <c r="G105" s="9" t="s">
        <v>310</v>
      </c>
      <c r="H105" s="8" t="s">
        <v>223</v>
      </c>
      <c r="I105" s="9" t="s">
        <v>223</v>
      </c>
      <c r="J105" s="9" t="s">
        <v>223</v>
      </c>
      <c r="K105" s="9" t="s">
        <v>223</v>
      </c>
      <c r="L105" s="9" t="s">
        <v>309</v>
      </c>
      <c r="M105" s="9" t="s">
        <v>497</v>
      </c>
      <c r="N105" s="9" t="s">
        <v>223</v>
      </c>
    </row>
    <row r="106" spans="1:14">
      <c r="A106" t="s">
        <v>1464</v>
      </c>
      <c r="B106" t="s">
        <v>1344</v>
      </c>
      <c r="C106" s="16" t="str">
        <f t="shared" si="1"/>
        <v>7Z014SCL484</v>
      </c>
      <c r="D106" s="9" t="s">
        <v>178</v>
      </c>
      <c r="E106" s="9" t="s">
        <v>166</v>
      </c>
      <c r="F106" s="9" t="s">
        <v>166</v>
      </c>
      <c r="G106" s="9" t="s">
        <v>311</v>
      </c>
      <c r="H106" s="8" t="s">
        <v>223</v>
      </c>
      <c r="I106" s="9" t="s">
        <v>223</v>
      </c>
      <c r="J106" s="9" t="s">
        <v>223</v>
      </c>
      <c r="K106" s="9" t="s">
        <v>223</v>
      </c>
      <c r="L106" s="9" t="s">
        <v>309</v>
      </c>
      <c r="M106" s="9" t="s">
        <v>497</v>
      </c>
      <c r="N106" s="9" t="s">
        <v>223</v>
      </c>
    </row>
    <row r="107" spans="1:14">
      <c r="A107" t="s">
        <v>1460</v>
      </c>
      <c r="B107" t="s">
        <v>1497</v>
      </c>
      <c r="C107" s="16" t="str">
        <f t="shared" si="1"/>
        <v>7A12TCP238</v>
      </c>
      <c r="D107" s="9" t="s">
        <v>178</v>
      </c>
      <c r="E107" s="9" t="s">
        <v>166</v>
      </c>
      <c r="F107" s="9" t="s">
        <v>166</v>
      </c>
      <c r="G107" s="16" t="s">
        <v>1169</v>
      </c>
      <c r="H107" s="8" t="s">
        <v>223</v>
      </c>
      <c r="I107" s="9" t="s">
        <v>223</v>
      </c>
      <c r="J107" s="9" t="s">
        <v>223</v>
      </c>
      <c r="K107">
        <v>216</v>
      </c>
      <c r="L107" s="9" t="s">
        <v>223</v>
      </c>
      <c r="M107" s="9" t="s">
        <v>497</v>
      </c>
      <c r="N107" s="9" t="s">
        <v>223</v>
      </c>
    </row>
    <row r="108" spans="1:14">
      <c r="A108" t="s">
        <v>1460</v>
      </c>
      <c r="B108" t="s">
        <v>1337</v>
      </c>
      <c r="C108" s="16" t="str">
        <f t="shared" si="1"/>
        <v>7A12TCS325</v>
      </c>
      <c r="D108" s="9" t="s">
        <v>178</v>
      </c>
      <c r="E108" s="9" t="s">
        <v>166</v>
      </c>
      <c r="F108" s="9" t="s">
        <v>166</v>
      </c>
      <c r="G108" s="16" t="s">
        <v>1169</v>
      </c>
      <c r="H108" s="8" t="s">
        <v>223</v>
      </c>
      <c r="I108" s="9" t="s">
        <v>223</v>
      </c>
      <c r="J108" s="9" t="s">
        <v>223</v>
      </c>
      <c r="K108">
        <v>216</v>
      </c>
      <c r="L108" s="9" t="s">
        <v>223</v>
      </c>
      <c r="M108" s="9" t="s">
        <v>497</v>
      </c>
      <c r="N108" s="9" t="s">
        <v>223</v>
      </c>
    </row>
    <row r="109" spans="1:14">
      <c r="A109" t="s">
        <v>1461</v>
      </c>
      <c r="B109" t="s">
        <v>1497</v>
      </c>
      <c r="C109" s="16" t="str">
        <f t="shared" si="1"/>
        <v>7A25TCP238</v>
      </c>
      <c r="D109" s="9" t="s">
        <v>178</v>
      </c>
      <c r="E109" s="9" t="s">
        <v>166</v>
      </c>
      <c r="F109" s="9" t="s">
        <v>166</v>
      </c>
      <c r="G109" s="16" t="s">
        <v>1169</v>
      </c>
      <c r="H109" s="8" t="s">
        <v>223</v>
      </c>
      <c r="I109" s="9" t="s">
        <v>223</v>
      </c>
      <c r="J109" s="9" t="s">
        <v>223</v>
      </c>
      <c r="K109">
        <v>216</v>
      </c>
      <c r="L109" s="9" t="s">
        <v>223</v>
      </c>
      <c r="M109" s="9" t="s">
        <v>497</v>
      </c>
      <c r="N109" s="9" t="s">
        <v>223</v>
      </c>
    </row>
    <row r="110" spans="1:14">
      <c r="A110" t="s">
        <v>1461</v>
      </c>
      <c r="B110" t="s">
        <v>1337</v>
      </c>
      <c r="C110" s="16" t="str">
        <f t="shared" si="1"/>
        <v>7A25TCS325</v>
      </c>
      <c r="D110" s="9" t="s">
        <v>178</v>
      </c>
      <c r="E110" s="9" t="s">
        <v>166</v>
      </c>
      <c r="F110" s="9" t="s">
        <v>166</v>
      </c>
      <c r="G110" s="16" t="s">
        <v>1169</v>
      </c>
      <c r="H110" s="8" t="s">
        <v>223</v>
      </c>
      <c r="I110" s="9" t="s">
        <v>223</v>
      </c>
      <c r="J110" s="9" t="s">
        <v>223</v>
      </c>
      <c r="K110">
        <v>216</v>
      </c>
      <c r="L110" s="9" t="s">
        <v>223</v>
      </c>
      <c r="M110" s="9" t="s">
        <v>497</v>
      </c>
      <c r="N110" s="9" t="s">
        <v>223</v>
      </c>
    </row>
    <row r="111" spans="1:14">
      <c r="A111" t="s">
        <v>1448</v>
      </c>
      <c r="B111" s="6" t="s">
        <v>1454</v>
      </c>
      <c r="C111" s="16" t="str">
        <f t="shared" si="1"/>
        <v>7S6CPGA196</v>
      </c>
      <c r="D111" s="9" t="s">
        <v>178</v>
      </c>
      <c r="E111" s="9" t="s">
        <v>166</v>
      </c>
      <c r="F111" s="9" t="s">
        <v>166</v>
      </c>
      <c r="G111" s="16" t="s">
        <v>1601</v>
      </c>
      <c r="H111" s="8" t="s">
        <v>223</v>
      </c>
      <c r="I111" s="9" t="s">
        <v>223</v>
      </c>
      <c r="J111" s="9" t="s">
        <v>223</v>
      </c>
      <c r="K111" s="9" t="s">
        <v>223</v>
      </c>
      <c r="L111" s="9" t="s">
        <v>223</v>
      </c>
      <c r="M111" s="9" t="s">
        <v>497</v>
      </c>
      <c r="N111" s="9" t="s">
        <v>223</v>
      </c>
    </row>
    <row r="112" spans="1:14">
      <c r="A112" t="s">
        <v>1448</v>
      </c>
      <c r="B112" s="6" t="s">
        <v>1456</v>
      </c>
      <c r="C112" s="16" t="str">
        <f t="shared" si="1"/>
        <v>7S6FTGB196</v>
      </c>
      <c r="D112" s="9" t="s">
        <v>178</v>
      </c>
      <c r="E112" s="9" t="s">
        <v>166</v>
      </c>
      <c r="F112" s="9" t="s">
        <v>166</v>
      </c>
      <c r="G112" s="16" t="s">
        <v>1601</v>
      </c>
      <c r="H112" s="8" t="s">
        <v>223</v>
      </c>
      <c r="I112" s="9" t="s">
        <v>223</v>
      </c>
      <c r="J112" s="9" t="s">
        <v>223</v>
      </c>
      <c r="K112" s="9" t="s">
        <v>223</v>
      </c>
      <c r="L112" s="9" t="s">
        <v>223</v>
      </c>
      <c r="M112" s="9" t="s">
        <v>497</v>
      </c>
      <c r="N112" s="9" t="s">
        <v>223</v>
      </c>
    </row>
    <row r="113" spans="1:14">
      <c r="A113" t="s">
        <v>1448</v>
      </c>
      <c r="B113" s="6" t="s">
        <v>1455</v>
      </c>
      <c r="C113" s="16" t="str">
        <f t="shared" si="1"/>
        <v>7S6CSGA225</v>
      </c>
      <c r="D113" s="9" t="s">
        <v>178</v>
      </c>
      <c r="E113" s="9" t="s">
        <v>166</v>
      </c>
      <c r="F113" s="9" t="s">
        <v>166</v>
      </c>
      <c r="G113" s="16" t="s">
        <v>1601</v>
      </c>
      <c r="H113" s="8" t="s">
        <v>223</v>
      </c>
      <c r="I113" s="9" t="s">
        <v>223</v>
      </c>
      <c r="J113" s="9" t="s">
        <v>223</v>
      </c>
      <c r="K113" s="9" t="s">
        <v>223</v>
      </c>
      <c r="L113" s="9" t="s">
        <v>223</v>
      </c>
      <c r="M113" s="9" t="s">
        <v>497</v>
      </c>
      <c r="N113" s="9" t="s">
        <v>223</v>
      </c>
    </row>
    <row r="114" spans="1:14">
      <c r="A114" t="s">
        <v>1449</v>
      </c>
      <c r="B114" t="s">
        <v>1454</v>
      </c>
      <c r="C114" s="16" t="str">
        <f t="shared" si="1"/>
        <v>7S15CPGA196</v>
      </c>
      <c r="D114" s="9" t="s">
        <v>178</v>
      </c>
      <c r="E114" s="9" t="s">
        <v>166</v>
      </c>
      <c r="F114" s="9" t="s">
        <v>166</v>
      </c>
      <c r="G114" s="16" t="s">
        <v>1601</v>
      </c>
      <c r="H114" s="8" t="s">
        <v>223</v>
      </c>
      <c r="I114" s="9" t="s">
        <v>223</v>
      </c>
      <c r="J114" s="9" t="s">
        <v>223</v>
      </c>
      <c r="K114" s="9" t="s">
        <v>223</v>
      </c>
      <c r="L114" s="9" t="s">
        <v>223</v>
      </c>
      <c r="M114" s="9" t="s">
        <v>497</v>
      </c>
      <c r="N114" s="9" t="s">
        <v>223</v>
      </c>
    </row>
    <row r="115" spans="1:14">
      <c r="A115" t="s">
        <v>1449</v>
      </c>
      <c r="B115" s="6" t="s">
        <v>1456</v>
      </c>
      <c r="C115" s="16" t="str">
        <f t="shared" si="1"/>
        <v>7S15FTGB196</v>
      </c>
      <c r="D115" s="9" t="s">
        <v>178</v>
      </c>
      <c r="E115" s="9" t="s">
        <v>166</v>
      </c>
      <c r="F115" s="9" t="s">
        <v>166</v>
      </c>
      <c r="G115" s="16" t="s">
        <v>1601</v>
      </c>
      <c r="H115" s="8" t="s">
        <v>223</v>
      </c>
      <c r="I115" s="9" t="s">
        <v>223</v>
      </c>
      <c r="J115" s="9" t="s">
        <v>223</v>
      </c>
      <c r="K115" s="9" t="s">
        <v>223</v>
      </c>
      <c r="L115" s="9" t="s">
        <v>223</v>
      </c>
      <c r="M115" s="9" t="s">
        <v>497</v>
      </c>
      <c r="N115" s="9" t="s">
        <v>223</v>
      </c>
    </row>
    <row r="116" spans="1:14">
      <c r="A116" t="s">
        <v>1449</v>
      </c>
      <c r="B116" s="6" t="s">
        <v>1455</v>
      </c>
      <c r="C116" s="16" t="str">
        <f t="shared" si="1"/>
        <v>7S15CSGA225</v>
      </c>
      <c r="D116" s="9" t="s">
        <v>178</v>
      </c>
      <c r="E116" s="9" t="s">
        <v>166</v>
      </c>
      <c r="F116" s="9" t="s">
        <v>166</v>
      </c>
      <c r="G116" s="16" t="s">
        <v>1601</v>
      </c>
      <c r="H116" s="8" t="s">
        <v>223</v>
      </c>
      <c r="I116" s="9" t="s">
        <v>223</v>
      </c>
      <c r="J116" s="9" t="s">
        <v>223</v>
      </c>
      <c r="K116" s="9" t="s">
        <v>223</v>
      </c>
      <c r="L116" s="9" t="s">
        <v>223</v>
      </c>
      <c r="M116" s="9" t="s">
        <v>497</v>
      </c>
      <c r="N116" s="9" t="s">
        <v>223</v>
      </c>
    </row>
    <row r="117" spans="1:14">
      <c r="A117" t="s">
        <v>1450</v>
      </c>
      <c r="B117" s="6" t="s">
        <v>1456</v>
      </c>
      <c r="C117" s="16" t="str">
        <f t="shared" si="1"/>
        <v>7S25FTGB196</v>
      </c>
      <c r="D117" s="9" t="s">
        <v>178</v>
      </c>
      <c r="E117" s="9" t="s">
        <v>166</v>
      </c>
      <c r="F117" s="9" t="s">
        <v>166</v>
      </c>
      <c r="G117" s="16" t="s">
        <v>1601</v>
      </c>
      <c r="H117" s="8" t="s">
        <v>223</v>
      </c>
      <c r="I117" s="9" t="s">
        <v>223</v>
      </c>
      <c r="J117" s="9" t="s">
        <v>223</v>
      </c>
      <c r="K117" s="9" t="s">
        <v>223</v>
      </c>
      <c r="L117" s="9" t="s">
        <v>223</v>
      </c>
      <c r="M117" s="9" t="s">
        <v>497</v>
      </c>
      <c r="N117" s="9" t="s">
        <v>223</v>
      </c>
    </row>
    <row r="118" spans="1:14">
      <c r="A118" t="s">
        <v>1450</v>
      </c>
      <c r="B118" t="s">
        <v>1455</v>
      </c>
      <c r="C118" s="16" t="str">
        <f t="shared" si="1"/>
        <v>7S25CSGA225</v>
      </c>
      <c r="D118" s="9" t="s">
        <v>178</v>
      </c>
      <c r="E118" s="9" t="s">
        <v>166</v>
      </c>
      <c r="F118" s="9" t="s">
        <v>166</v>
      </c>
      <c r="G118" s="16" t="s">
        <v>1169</v>
      </c>
      <c r="H118" s="8" t="s">
        <v>223</v>
      </c>
      <c r="I118" s="9" t="s">
        <v>223</v>
      </c>
      <c r="J118" s="9" t="s">
        <v>223</v>
      </c>
      <c r="K118" s="9" t="s">
        <v>223</v>
      </c>
      <c r="L118" s="9" t="s">
        <v>223</v>
      </c>
      <c r="M118" s="9" t="s">
        <v>497</v>
      </c>
      <c r="N118" s="9" t="s">
        <v>223</v>
      </c>
    </row>
    <row r="119" spans="1:14">
      <c r="A119" t="s">
        <v>1450</v>
      </c>
      <c r="B119" s="6" t="s">
        <v>1457</v>
      </c>
      <c r="C119" s="16" t="str">
        <f t="shared" si="1"/>
        <v>7S25CSGA324</v>
      </c>
      <c r="D119" s="9" t="s">
        <v>178</v>
      </c>
      <c r="E119" s="9" t="s">
        <v>166</v>
      </c>
      <c r="F119" s="9" t="s">
        <v>166</v>
      </c>
      <c r="G119" s="16" t="s">
        <v>1169</v>
      </c>
      <c r="H119" s="8" t="s">
        <v>223</v>
      </c>
      <c r="I119" s="9" t="s">
        <v>223</v>
      </c>
      <c r="J119" s="9" t="s">
        <v>223</v>
      </c>
      <c r="K119" s="9" t="s">
        <v>223</v>
      </c>
      <c r="L119" s="9" t="s">
        <v>223</v>
      </c>
      <c r="M119" s="9" t="s">
        <v>497</v>
      </c>
      <c r="N119" s="9" t="s">
        <v>223</v>
      </c>
    </row>
    <row r="120" spans="1:14">
      <c r="A120" t="s">
        <v>1451</v>
      </c>
      <c r="B120" s="6" t="s">
        <v>1456</v>
      </c>
      <c r="C120" s="16" t="str">
        <f t="shared" si="1"/>
        <v>7S50FTGB196</v>
      </c>
      <c r="D120" s="9" t="s">
        <v>178</v>
      </c>
      <c r="E120" s="9" t="s">
        <v>166</v>
      </c>
      <c r="F120" s="9" t="s">
        <v>166</v>
      </c>
      <c r="G120" s="16" t="s">
        <v>1601</v>
      </c>
      <c r="H120" s="8" t="s">
        <v>223</v>
      </c>
      <c r="I120" s="9" t="s">
        <v>223</v>
      </c>
      <c r="J120" s="9" t="s">
        <v>223</v>
      </c>
      <c r="K120" s="9" t="s">
        <v>223</v>
      </c>
      <c r="L120" s="9" t="s">
        <v>223</v>
      </c>
      <c r="M120" s="9" t="s">
        <v>497</v>
      </c>
      <c r="N120" s="9" t="s">
        <v>223</v>
      </c>
    </row>
    <row r="121" spans="1:14">
      <c r="A121" t="s">
        <v>1451</v>
      </c>
      <c r="B121" s="6" t="s">
        <v>1457</v>
      </c>
      <c r="C121" s="16" t="str">
        <f t="shared" si="1"/>
        <v>7S50CSGA324</v>
      </c>
      <c r="D121" s="9" t="s">
        <v>178</v>
      </c>
      <c r="E121" s="9" t="s">
        <v>166</v>
      </c>
      <c r="F121" s="9" t="s">
        <v>166</v>
      </c>
      <c r="G121" s="16" t="s">
        <v>52</v>
      </c>
      <c r="H121" s="8" t="s">
        <v>223</v>
      </c>
      <c r="I121" s="9" t="s">
        <v>223</v>
      </c>
      <c r="J121" s="9" t="s">
        <v>223</v>
      </c>
      <c r="K121" s="9" t="s">
        <v>223</v>
      </c>
      <c r="L121" s="9" t="s">
        <v>223</v>
      </c>
      <c r="M121" s="9" t="s">
        <v>497</v>
      </c>
      <c r="N121" s="9" t="s">
        <v>223</v>
      </c>
    </row>
    <row r="122" spans="1:14">
      <c r="A122" t="s">
        <v>1451</v>
      </c>
      <c r="B122" t="s">
        <v>1458</v>
      </c>
      <c r="C122" s="16" t="str">
        <f t="shared" si="1"/>
        <v>7S50FGGA484</v>
      </c>
      <c r="D122" s="9" t="s">
        <v>178</v>
      </c>
      <c r="E122" s="9" t="s">
        <v>166</v>
      </c>
      <c r="F122" s="9" t="s">
        <v>166</v>
      </c>
      <c r="G122" s="16" t="s">
        <v>52</v>
      </c>
      <c r="H122" s="8" t="s">
        <v>223</v>
      </c>
      <c r="I122" s="9" t="s">
        <v>223</v>
      </c>
      <c r="J122" s="9" t="s">
        <v>223</v>
      </c>
      <c r="K122" s="9" t="s">
        <v>223</v>
      </c>
      <c r="L122" s="9" t="s">
        <v>223</v>
      </c>
      <c r="M122" s="9" t="s">
        <v>497</v>
      </c>
      <c r="N122" s="9" t="s">
        <v>223</v>
      </c>
    </row>
    <row r="123" spans="1:14">
      <c r="A123" t="s">
        <v>1452</v>
      </c>
      <c r="B123" s="6" t="s">
        <v>1458</v>
      </c>
      <c r="C123" s="16" t="str">
        <f t="shared" si="1"/>
        <v>7S75FGGA484</v>
      </c>
      <c r="D123" s="9" t="s">
        <v>178</v>
      </c>
      <c r="E123" s="9" t="s">
        <v>166</v>
      </c>
      <c r="F123" s="9" t="s">
        <v>166</v>
      </c>
      <c r="G123" s="16" t="s">
        <v>1602</v>
      </c>
      <c r="H123" s="8" t="s">
        <v>223</v>
      </c>
      <c r="I123" s="9" t="s">
        <v>223</v>
      </c>
      <c r="J123" s="9" t="s">
        <v>223</v>
      </c>
      <c r="K123" s="9" t="s">
        <v>223</v>
      </c>
      <c r="L123" s="9" t="s">
        <v>223</v>
      </c>
      <c r="M123" s="9" t="s">
        <v>497</v>
      </c>
      <c r="N123" s="9" t="s">
        <v>223</v>
      </c>
    </row>
    <row r="124" spans="1:14">
      <c r="A124" t="s">
        <v>1452</v>
      </c>
      <c r="B124" s="6" t="s">
        <v>1459</v>
      </c>
      <c r="C124" s="16" t="str">
        <f t="shared" si="1"/>
        <v>7S75FGGA676</v>
      </c>
      <c r="D124" s="9" t="s">
        <v>178</v>
      </c>
      <c r="E124" s="9" t="s">
        <v>166</v>
      </c>
      <c r="F124" s="9" t="s">
        <v>166</v>
      </c>
      <c r="G124" s="16" t="s">
        <v>819</v>
      </c>
      <c r="H124" s="8" t="s">
        <v>223</v>
      </c>
      <c r="I124" s="9" t="s">
        <v>223</v>
      </c>
      <c r="J124" s="9" t="s">
        <v>223</v>
      </c>
      <c r="K124" s="9" t="s">
        <v>223</v>
      </c>
      <c r="L124" s="9" t="s">
        <v>223</v>
      </c>
      <c r="M124" s="9" t="s">
        <v>497</v>
      </c>
      <c r="N124" s="9" t="s">
        <v>223</v>
      </c>
    </row>
    <row r="125" spans="1:14">
      <c r="A125" t="s">
        <v>1453</v>
      </c>
      <c r="B125" s="6" t="s">
        <v>1458</v>
      </c>
      <c r="C125" s="16" t="str">
        <f t="shared" si="1"/>
        <v>7S100FGGA484</v>
      </c>
      <c r="D125" s="9" t="s">
        <v>178</v>
      </c>
      <c r="E125" s="9" t="s">
        <v>166</v>
      </c>
      <c r="F125" s="9" t="s">
        <v>166</v>
      </c>
      <c r="G125" s="16" t="s">
        <v>1602</v>
      </c>
      <c r="H125" s="8" t="s">
        <v>223</v>
      </c>
      <c r="I125" s="9" t="s">
        <v>223</v>
      </c>
      <c r="J125" s="9" t="s">
        <v>223</v>
      </c>
      <c r="K125" s="9" t="s">
        <v>223</v>
      </c>
      <c r="L125" s="9" t="s">
        <v>223</v>
      </c>
      <c r="M125" s="9" t="s">
        <v>497</v>
      </c>
      <c r="N125" s="9" t="s">
        <v>223</v>
      </c>
    </row>
    <row r="126" spans="1:14">
      <c r="A126" t="s">
        <v>1453</v>
      </c>
      <c r="B126" t="s">
        <v>1459</v>
      </c>
      <c r="C126" s="16" t="str">
        <f t="shared" si="1"/>
        <v>7S100FGGA676</v>
      </c>
      <c r="D126" s="9" t="s">
        <v>178</v>
      </c>
      <c r="E126" s="9" t="s">
        <v>166</v>
      </c>
      <c r="F126" s="9" t="s">
        <v>166</v>
      </c>
      <c r="G126" s="16" t="s">
        <v>819</v>
      </c>
      <c r="H126" s="8" t="s">
        <v>223</v>
      </c>
      <c r="I126" s="9" t="s">
        <v>223</v>
      </c>
      <c r="J126" s="9" t="s">
        <v>223</v>
      </c>
      <c r="K126" s="9" t="s">
        <v>223</v>
      </c>
      <c r="L126" s="9" t="s">
        <v>223</v>
      </c>
      <c r="M126" s="9" t="s">
        <v>497</v>
      </c>
      <c r="N126" s="9" t="s">
        <v>223</v>
      </c>
    </row>
    <row r="133" spans="1:2">
      <c r="A133"/>
      <c r="B133"/>
    </row>
    <row r="134" spans="1:2">
      <c r="A134"/>
      <c r="B134"/>
    </row>
    <row r="135" spans="1:2">
      <c r="A135"/>
      <c r="B135"/>
    </row>
  </sheetData>
  <phoneticPr fontId="27" type="noConversion"/>
  <pageMargins left="0.7" right="0.7" top="0.75" bottom="0.75" header="0.3" footer="0.3"/>
  <pageSetup orientation="landscape"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6"/>
  </sheetPr>
  <dimension ref="A1:EF876"/>
  <sheetViews>
    <sheetView topLeftCell="A28" zoomScaleNormal="100" zoomScaleSheetLayoutView="90" workbookViewId="0">
      <selection activeCell="B35" sqref="B35"/>
    </sheetView>
  </sheetViews>
  <sheetFormatPr defaultColWidth="9.140625" defaultRowHeight="12.75" outlineLevelRow="1"/>
  <cols>
    <col min="1" max="1" width="28.28515625" style="62" customWidth="1"/>
    <col min="2" max="2" width="61.42578125" style="62" customWidth="1"/>
    <col min="3" max="3" width="46.5703125" style="62" customWidth="1"/>
    <col min="4" max="4" width="13.42578125" style="62" customWidth="1"/>
    <col min="5" max="5" width="67.140625" style="62" customWidth="1"/>
    <col min="6" max="6" width="48.42578125" style="62" customWidth="1"/>
    <col min="7" max="7" width="9.140625" style="77" customWidth="1"/>
    <col min="8" max="8" width="70" style="77" customWidth="1"/>
    <col min="9" max="136" width="9.140625" style="77"/>
    <col min="137" max="16384" width="9.140625" style="62"/>
  </cols>
  <sheetData>
    <row r="1" spans="1:136" ht="13.35" customHeight="1">
      <c r="A1" s="228" t="s">
        <v>666</v>
      </c>
      <c r="B1" s="141"/>
      <c r="C1" s="141"/>
      <c r="D1" s="141"/>
      <c r="E1" s="141"/>
      <c r="F1" s="141"/>
    </row>
    <row r="2" spans="1:136" ht="20.100000000000001" customHeight="1">
      <c r="A2" s="229"/>
      <c r="B2" s="141"/>
      <c r="C2" s="141"/>
      <c r="D2" s="141"/>
      <c r="E2" s="141"/>
      <c r="F2" s="141"/>
    </row>
    <row r="3" spans="1:136">
      <c r="A3" s="230" t="s">
        <v>210</v>
      </c>
      <c r="B3" s="231"/>
      <c r="C3" s="231"/>
      <c r="D3" s="231"/>
      <c r="E3" s="231"/>
      <c r="F3" s="232"/>
    </row>
    <row r="4" spans="1:136">
      <c r="A4" s="142" t="s">
        <v>162</v>
      </c>
      <c r="B4" s="132"/>
      <c r="C4" s="165" t="str">
        <f>IF(B4="","Please choose a Family","")</f>
        <v>Please choose a Family</v>
      </c>
      <c r="D4" s="116"/>
      <c r="E4" s="113"/>
      <c r="F4" s="113"/>
    </row>
    <row r="5" spans="1:136">
      <c r="A5" s="142" t="s">
        <v>107</v>
      </c>
      <c r="B5" s="132"/>
      <c r="C5" s="165" t="str">
        <f>IF(AND(B5="", B4&lt;&gt;""),"Please choose a Device","")</f>
        <v/>
      </c>
      <c r="D5" s="113"/>
      <c r="E5" s="113"/>
      <c r="F5" s="113"/>
    </row>
    <row r="6" spans="1:136">
      <c r="A6" s="142" t="s">
        <v>106</v>
      </c>
      <c r="B6" s="132"/>
      <c r="C6" s="165" t="str">
        <f>IF(AND(B6="", B5&lt;&gt;""),"Please choose a Package…...Note: Package codes for lead-free (G and V) are not included.","")</f>
        <v/>
      </c>
      <c r="D6" s="113"/>
      <c r="E6" s="113"/>
      <c r="F6" s="113"/>
    </row>
    <row r="7" spans="1:136">
      <c r="A7" s="142" t="s">
        <v>209</v>
      </c>
      <c r="B7" s="132"/>
      <c r="C7" s="165" t="str">
        <f>IF(AND(B7="", B6&lt;&gt;""),"Please choose a Configuration Mode","")</f>
        <v/>
      </c>
      <c r="D7" s="113"/>
      <c r="E7" s="113"/>
      <c r="F7" s="113"/>
    </row>
    <row r="8" spans="1:136">
      <c r="A8" s="142" t="s">
        <v>46</v>
      </c>
      <c r="B8" s="132"/>
      <c r="C8" s="165" t="str">
        <f>IF(AND(B8="", B7&lt;&gt;""),"Please enter a Configuration Frequency","")</f>
        <v/>
      </c>
      <c r="D8" s="113"/>
      <c r="E8" s="113"/>
      <c r="F8" s="113"/>
    </row>
    <row r="9" spans="1:136">
      <c r="A9" s="142" t="s">
        <v>54</v>
      </c>
      <c r="B9" s="132"/>
      <c r="C9" s="165" t="str">
        <f>IF(AND(B9="", B8&lt;&gt;""),"Please enter a Reference Designator (optional)","")</f>
        <v/>
      </c>
      <c r="D9" s="113"/>
      <c r="E9" s="113"/>
      <c r="F9" s="113"/>
    </row>
    <row r="10" spans="1:136">
      <c r="A10" s="113"/>
      <c r="B10" s="113"/>
      <c r="C10" s="113"/>
      <c r="D10" s="113"/>
      <c r="E10" s="113"/>
      <c r="F10" s="113"/>
    </row>
    <row r="11" spans="1:136">
      <c r="A11" s="230" t="s">
        <v>116</v>
      </c>
      <c r="B11" s="231"/>
      <c r="C11" s="231"/>
      <c r="D11" s="231"/>
      <c r="E11" s="231"/>
      <c r="F11" s="232"/>
      <c r="I11" s="79"/>
    </row>
    <row r="12" spans="1:136" outlineLevel="1">
      <c r="A12" s="113"/>
      <c r="B12" s="113"/>
      <c r="C12" s="113"/>
      <c r="D12" s="113"/>
      <c r="E12" s="113"/>
      <c r="F12" s="113"/>
    </row>
    <row r="13" spans="1:136" outlineLevel="1">
      <c r="A13" s="113"/>
      <c r="B13" s="113"/>
      <c r="C13" s="113"/>
      <c r="D13" s="113"/>
      <c r="E13" s="113"/>
      <c r="F13" s="113"/>
    </row>
    <row r="14" spans="1:136" outlineLevel="1">
      <c r="A14" s="119" t="s">
        <v>176</v>
      </c>
      <c r="B14" s="119" t="s">
        <v>157</v>
      </c>
      <c r="C14" s="119" t="s">
        <v>158</v>
      </c>
      <c r="D14" s="119" t="s">
        <v>159</v>
      </c>
      <c r="E14" s="119" t="s">
        <v>206</v>
      </c>
      <c r="F14" s="119" t="s">
        <v>68</v>
      </c>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row>
    <row r="15" spans="1:136" s="63" customFormat="1" ht="102" outlineLevel="1">
      <c r="A15" s="143" t="str">
        <f>Power!A2</f>
        <v>VCCINT</v>
      </c>
      <c r="B15" s="114" t="str">
        <f>IF(B4="",'Warning Messages'!B12,IF(B5="",'Warning Messages'!B13,IF(Checklist_Default!B6="",'Warning Messages'!B14,IF(IF(AND(B4&lt;&gt;"Artix-7",B4&lt;&gt;"Spartan-7",B5&lt;&gt;"7Z007S",B5&lt;&gt;"7Z012S",B5&lt;&gt;"7Z014S",B5&lt;&gt;"7Z010",B5&lt;&gt;"7Z020",B5&lt;&gt;"7Z030",B5&lt;&gt;"7Z035",B5&lt;&gt;"7Z045",B5&lt;&gt;"7Z100",B5&lt;&gt;"7Z015"),COUNTIF(Decap_KV,B5&amp;B6),COUNTIF(Decap_Artix,B5&amp;B6)),IF(AND(B4&lt;&gt;"Artix-7",B4&lt;&gt;"Spartan-7",B5&lt;&gt;"7Z007S",B5&lt;&gt;"7Z012S",B5&lt;&gt;"7Z014S",B5&lt;&gt;"7Z010",B5&lt;&gt;"7Z020",B5&lt;&gt;"7Z030",B5&lt;&gt;"7Z035",B5&lt;&gt;"7Z045",B5&lt;&gt;"7Z100",B5&lt;&gt;"7Z015"),"1.0V, "&amp;ROUND(VLOOKUP($B$5&amp;$B$6,Decap_KV,2,FALSE),0)&amp;" of "&amp;Decap!$D$2&amp;", "&amp;ROUND(VLOOKUP($B$5&amp;$B$6,Decap_KV,3,FALSE),0)&amp;" of "&amp;Decap!$E$2&amp;", "&amp;ROUND(VLOOKUP($B$5&amp;$B$6,Decap_KV,4,FALSE),0)&amp;" of "&amp;Decap!$F$2,"1.0V, "&amp;ROUND(VLOOKUP($B$5&amp;$B$6,Decap_Artix,2,FALSE),0)&amp;" of "&amp;Decap!$D$103&amp;", "&amp;ROUND(VLOOKUP($B$5&amp;$B$6,Decap_Artix,3,FALSE),0)&amp;" of "&amp;Decap!$E$103&amp;", "&amp;ROUND(VLOOKUP($B$5&amp;$B$6,Decap_Artix,4,FALSE),0)&amp;" of "&amp;Decap!$F$103&amp;","&amp;ROUND(VLOOKUP($B$5&amp;$B$6,Decap_Artix,5,FALSE),0)&amp;" of "&amp;Decap!$G$103&amp;", "&amp;ROUND(VLOOKUP($B$5&amp;$B$6,Decap_Artix,6,FALSE),0)&amp;" of "&amp;Decap!$H$103&amp;", "&amp;ROUND(VLOOKUP($B$5&amp;$B$6,Decap_Artix,7,FALSE),0)&amp;" of "&amp;Decap!$I$103),'Warning Messages'!B2))))</f>
        <v>Insufficient data selection: Family information is blank.</v>
      </c>
      <c r="C15" s="159"/>
      <c r="D15" s="110"/>
      <c r="E15" s="115" t="str">
        <f>Power!C2</f>
        <v>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v>
      </c>
      <c r="F15" s="129"/>
      <c r="G15" s="83"/>
      <c r="H15" s="83"/>
      <c r="I15" s="83"/>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78"/>
      <c r="AW15" s="78"/>
      <c r="AX15" s="78"/>
      <c r="AY15" s="78"/>
      <c r="AZ15" s="78"/>
      <c r="BA15" s="78"/>
      <c r="BB15" s="78"/>
      <c r="BC15" s="78"/>
      <c r="BD15" s="78"/>
      <c r="BE15" s="78"/>
      <c r="BF15" s="78"/>
      <c r="BG15" s="78"/>
      <c r="BH15" s="78"/>
      <c r="BI15" s="78"/>
      <c r="BJ15" s="78"/>
      <c r="BK15" s="78"/>
      <c r="BL15" s="78"/>
      <c r="BM15" s="78"/>
      <c r="BN15" s="78"/>
      <c r="BO15" s="78"/>
      <c r="BP15" s="78"/>
      <c r="BQ15" s="78"/>
      <c r="BR15" s="78"/>
      <c r="BS15" s="78"/>
      <c r="BT15" s="78"/>
      <c r="BU15" s="78"/>
      <c r="BV15" s="78"/>
      <c r="BW15" s="78"/>
      <c r="BX15" s="78"/>
      <c r="BY15" s="78"/>
      <c r="BZ15" s="78"/>
      <c r="CA15" s="78"/>
      <c r="CB15" s="78"/>
      <c r="CC15" s="78"/>
      <c r="CD15" s="78"/>
      <c r="CE15" s="78"/>
      <c r="CF15" s="78"/>
      <c r="CG15" s="78"/>
      <c r="CH15" s="78"/>
      <c r="CI15" s="78"/>
      <c r="CJ15" s="78"/>
      <c r="CK15" s="78"/>
      <c r="CL15" s="78"/>
      <c r="CM15" s="78"/>
      <c r="CN15" s="78"/>
      <c r="CO15" s="78"/>
      <c r="CP15" s="78"/>
      <c r="CQ15" s="78"/>
      <c r="CR15" s="78"/>
      <c r="CS15" s="78"/>
      <c r="CT15" s="78"/>
      <c r="CU15" s="78"/>
      <c r="CV15" s="78"/>
      <c r="CW15" s="78"/>
      <c r="CX15" s="78"/>
      <c r="CY15" s="78"/>
      <c r="CZ15" s="78"/>
      <c r="DA15" s="78"/>
      <c r="DB15" s="78"/>
      <c r="DC15" s="78"/>
      <c r="DD15" s="78"/>
      <c r="DE15" s="78"/>
      <c r="DF15" s="78"/>
      <c r="DG15" s="78"/>
      <c r="DH15" s="78"/>
      <c r="DI15" s="78"/>
      <c r="DJ15" s="78"/>
      <c r="DK15" s="78"/>
      <c r="DL15" s="78"/>
      <c r="DM15" s="78"/>
      <c r="DN15" s="78"/>
      <c r="DO15" s="78"/>
      <c r="DP15" s="78"/>
      <c r="DQ15" s="78"/>
      <c r="DR15" s="78"/>
      <c r="DS15" s="78"/>
      <c r="DT15" s="78"/>
      <c r="DU15" s="78"/>
      <c r="DV15" s="78"/>
      <c r="DW15" s="78"/>
      <c r="DX15" s="78"/>
      <c r="DY15" s="78"/>
      <c r="DZ15" s="78"/>
      <c r="EA15" s="78"/>
      <c r="EB15" s="78"/>
      <c r="EC15" s="78"/>
      <c r="ED15" s="78"/>
      <c r="EE15" s="78"/>
      <c r="EF15" s="78"/>
    </row>
    <row r="16" spans="1:136" s="63" customFormat="1" ht="102" outlineLevel="1">
      <c r="A16" s="144" t="str">
        <f>Power!A3</f>
        <v>VCCBRAM</v>
      </c>
      <c r="B16"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1.0V, "&amp;ROUND(VLOOKUP($B$5&amp;$B$6,Decap_KV,5,FALSE),0) &amp; " of " &amp; Decap!$G$2 &amp; ", " &amp; ROUND(VLOOKUP($B$5&amp;$B$6,Decap_KV,6,FALSE),0) &amp; " of " &amp;Decap!$H$2&amp; ", " &amp;ROUND(VLOOKUP($B$5&amp;$B$6,Decap_KV,7,FALSE),0) &amp; " of " &amp; Decap!$I$2 &amp; " , " &amp;ROUND(VLOOKUP($B$5&amp;$B$6,Decap_KV,8,FALSE),0) &amp; " of " &amp; Decap!$J$2,"1.0V, "&amp;ROUND(VLOOKUP($B$5&amp;$B$6,Decap_Artix,8,FALSE),0) &amp; " of " &amp; Decap!$J$103 &amp; ", " &amp; ROUND(VLOOKUP($B$5&amp;$B$6,Decap_Artix,9,FALSE),0) &amp; " of " &amp;Decap!$K$103&amp; ", " &amp;ROUND(VLOOKUP($B$5&amp;$B$6,Decap_Artix,10,FALSE),0) &amp; " of " &amp; Decap!$L$103 &amp; " , " &amp;ROUND(VLOOKUP($B$5&amp;$B$6,Decap_Artix,11,FALSE),0) &amp; " of " &amp; Decap!$M$103),'Warning Messages'!B2))))</f>
        <v>Insufficient data selection: Family information is blank.</v>
      </c>
      <c r="C16" s="160"/>
      <c r="D16" s="111"/>
      <c r="E16" s="94" t="str">
        <f>Power!C3</f>
        <v>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v>
      </c>
      <c r="F16" s="112"/>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78"/>
      <c r="AW16" s="78"/>
      <c r="AX16" s="78"/>
      <c r="AY16" s="78"/>
      <c r="AZ16" s="78"/>
      <c r="BA16" s="78"/>
      <c r="BB16" s="78"/>
      <c r="BC16" s="78"/>
      <c r="BD16" s="78"/>
      <c r="BE16" s="78"/>
      <c r="BF16" s="78"/>
      <c r="BG16" s="78"/>
      <c r="BH16" s="78"/>
      <c r="BI16" s="78"/>
      <c r="BJ16" s="78"/>
      <c r="BK16" s="78"/>
      <c r="BL16" s="78"/>
      <c r="BM16" s="78"/>
      <c r="BN16" s="78"/>
      <c r="BO16" s="78"/>
      <c r="BP16" s="78"/>
      <c r="BQ16" s="78"/>
      <c r="BR16" s="78"/>
      <c r="BS16" s="78"/>
      <c r="BT16" s="78"/>
      <c r="BU16" s="78"/>
      <c r="BV16" s="78"/>
      <c r="BW16" s="78"/>
      <c r="BX16" s="78"/>
      <c r="BY16" s="78"/>
      <c r="BZ16" s="78"/>
      <c r="CA16" s="78"/>
      <c r="CB16" s="78"/>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c r="DA16" s="78"/>
      <c r="DB16" s="78"/>
      <c r="DC16" s="78"/>
      <c r="DD16" s="78"/>
      <c r="DE16" s="78"/>
      <c r="DF16" s="78"/>
      <c r="DG16" s="78"/>
      <c r="DH16" s="78"/>
      <c r="DI16" s="78"/>
      <c r="DJ16" s="78"/>
      <c r="DK16" s="78"/>
      <c r="DL16" s="78"/>
      <c r="DM16" s="78"/>
      <c r="DN16" s="78"/>
      <c r="DO16" s="78"/>
      <c r="DP16" s="78"/>
      <c r="DQ16" s="78"/>
      <c r="DR16" s="78"/>
      <c r="DS16" s="78"/>
      <c r="DT16" s="78"/>
      <c r="DU16" s="78"/>
      <c r="DV16" s="78"/>
      <c r="DW16" s="78"/>
      <c r="DX16" s="78"/>
      <c r="DY16" s="78"/>
      <c r="DZ16" s="78"/>
      <c r="EA16" s="78"/>
      <c r="EB16" s="78"/>
      <c r="EC16" s="78"/>
      <c r="ED16" s="78"/>
      <c r="EE16" s="78"/>
      <c r="EF16" s="78"/>
    </row>
    <row r="17" spans="1:136" s="63" customFormat="1" outlineLevel="1">
      <c r="A17" s="144" t="str">
        <f>Power!A4</f>
        <v>VCCAUX</v>
      </c>
      <c r="B17"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1.8V, "&amp;ROUND(VLOOKUP($B$5&amp;$B$6,Decap_KV,9,FALSE),0)&amp;" of "&amp;Decap!$K$2&amp;", "&amp;ROUND(VLOOKUP($B$5&amp;$B$6,Decap_KV,10,FALSE),0)&amp;" of "&amp;Decap!$L$2,"1.8V, "&amp;ROUND(VLOOKUP($B$5&amp;$B$6,Decap_Artix,12,FALSE),0)&amp;" of "&amp;Decap!$N$103&amp;", "&amp;ROUND(VLOOKUP($B$5&amp;$B$6,Decap_Artix,13,FALSE),0)&amp;" of "&amp;Decap!$O$103&amp;", "&amp;ROUND(VLOOKUP($B$5&amp;$B$6,Decap_Artix,14,FALSE),0)&amp;" of "&amp;Decap!$P$103),'Warning Messages'!B2))))</f>
        <v>Insufficient data selection: Family information is blank.</v>
      </c>
      <c r="C17" s="112"/>
      <c r="D17" s="111"/>
      <c r="E17" s="94"/>
      <c r="F17" s="112"/>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78"/>
      <c r="AW17" s="78"/>
      <c r="AX17" s="78"/>
      <c r="AY17" s="78"/>
      <c r="AZ17" s="78"/>
      <c r="BA17" s="78"/>
      <c r="BB17" s="78"/>
      <c r="BC17" s="78"/>
      <c r="BD17" s="78"/>
      <c r="BE17" s="78"/>
      <c r="BF17" s="78"/>
      <c r="BG17" s="78"/>
      <c r="BH17" s="78"/>
      <c r="BI17" s="78"/>
      <c r="BJ17" s="78"/>
      <c r="BK17" s="78"/>
      <c r="BL17" s="78"/>
      <c r="BM17" s="78"/>
      <c r="BN17" s="78"/>
      <c r="BO17" s="78"/>
      <c r="BP17" s="78"/>
      <c r="BQ17" s="78"/>
      <c r="BR17" s="78"/>
      <c r="BS17" s="78"/>
      <c r="BT17" s="78"/>
      <c r="BU17" s="78"/>
      <c r="BV17" s="78"/>
      <c r="BW17" s="78"/>
      <c r="BX17" s="78"/>
      <c r="BY17" s="78"/>
      <c r="BZ17" s="78"/>
      <c r="CA17" s="78"/>
      <c r="CB17" s="78"/>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c r="DA17" s="78"/>
      <c r="DB17" s="78"/>
      <c r="DC17" s="78"/>
      <c r="DD17" s="78"/>
      <c r="DE17" s="78"/>
      <c r="DF17" s="78"/>
      <c r="DG17" s="78"/>
      <c r="DH17" s="78"/>
      <c r="DI17" s="78"/>
      <c r="DJ17" s="78"/>
      <c r="DK17" s="78"/>
      <c r="DL17" s="78"/>
      <c r="DM17" s="78"/>
      <c r="DN17" s="78"/>
      <c r="DO17" s="78"/>
      <c r="DP17" s="78"/>
      <c r="DQ17" s="78"/>
      <c r="DR17" s="78"/>
      <c r="DS17" s="78"/>
      <c r="DT17" s="78"/>
      <c r="DU17" s="78"/>
      <c r="DV17" s="78"/>
      <c r="DW17" s="78"/>
      <c r="DX17" s="78"/>
      <c r="DY17" s="78"/>
      <c r="DZ17" s="78"/>
      <c r="EA17" s="78"/>
      <c r="EB17" s="78"/>
      <c r="EC17" s="78"/>
      <c r="ED17" s="78"/>
      <c r="EE17" s="78"/>
      <c r="EF17" s="78"/>
    </row>
    <row r="18" spans="1:136" s="63" customFormat="1" ht="51" outlineLevel="1">
      <c r="A18" s="144" t="str">
        <f>Power!A5</f>
        <v>VCCAUX_IO_G#</v>
      </c>
      <c r="B18" s="92" t="str">
        <f>IF(B4="",'Warning Messages'!B12,IF(B5="",'Warning Messages'!B13,IF(B6="",'Warning Messages'!B14,IF(IF(AND(B4&lt;&gt;"Artix-7",B4&lt;&gt;"Spartan-7",B5&lt;&gt;"7Z007S",B5&lt;&gt;"7Z012S",B5&lt;&gt;"7Z014S",B5&lt;&gt;"7Z010",B5&lt;&gt;"7Z015",B5&lt;&gt;"7Z020"),COUNTIF(Decap_KV,B5&amp;B6),0),IF(VLOOKUP($B$5&amp;$B$6,Decap_KV,11,FALSE)="N/A",'Warning Messages'!B18,IF(AND(B4&lt;&gt;"Artix-7",B4&lt;&gt;"Spartan-7",B5&lt;&gt;"7Z007S",B5&lt;&gt;"7Z012S",B5&lt;&gt;"7Z014S",B5&lt;&gt;"7Z010",B5&lt;&gt;"7Z015",B5&lt;&gt;"7Z020"),"1.8V/2.0V, "&amp;ROUND(VLOOKUP($B$5&amp;$B$6,Decap_KV,11,FALSE),0) &amp; " of " &amp; Decap!$M$2 &amp; ", " &amp; ROUND(VLOOKUP($B$5&amp;$B$6,Decap_KV,12,FALSE),0) &amp; " of " &amp;Decap!$N$2&amp; ", " &amp;ROUND(VLOOKUP($B$5&amp;$B$6,Decap_KV,13,FALSE),0) &amp; " of " &amp; Decap!$O$2 &amp; " per group",'Warning Messages'!B18)),IF(OR(B4="Artix-7",B4&lt;&gt;"Spartan-7",B5&lt;&gt;"7Z007S",B5&lt;&gt;"7Z012S",B5&lt;&gt;"7Z014S",B5="7Z010",B5&lt;&gt;"7Z015",B5="7Z020"),'Warning Messages'!B18,'Warning Messages'!B2)))))</f>
        <v>Insufficient data selection: Family information is blank.</v>
      </c>
      <c r="C18" s="112"/>
      <c r="D18" s="111"/>
      <c r="E18" s="94" t="str">
        <f>IF(AND(B4&lt;&gt;"Artix-7",B5&lt;&gt;"7Z010",B5&lt;&gt;"7Z020"),IF(MID(B6,1,2) = "FB",'Warning Messages'!B5,Power!C5),"")</f>
        <v>Supply must be run at 2.0V for high-speed memory applications, but only has a ±3% tolerance. See UG586 "Design Guidelines" and family specific data sheet for voltage tolerances. Also see UG471 for more info on VCCAUX_IO grouping.</v>
      </c>
      <c r="F18" s="112"/>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78"/>
      <c r="AW18" s="78"/>
      <c r="AX18" s="78"/>
      <c r="AY18" s="78"/>
      <c r="AZ18" s="78"/>
      <c r="BA18" s="78"/>
      <c r="BB18" s="78"/>
      <c r="BC18" s="78"/>
      <c r="BD18" s="78"/>
      <c r="BE18" s="78"/>
      <c r="BF18" s="78"/>
      <c r="BG18" s="78"/>
      <c r="BH18" s="78"/>
      <c r="BI18" s="78"/>
      <c r="BJ18" s="78"/>
      <c r="BK18" s="78"/>
      <c r="BL18" s="78"/>
      <c r="BM18" s="78"/>
      <c r="BN18" s="78"/>
      <c r="BO18" s="78"/>
      <c r="BP18" s="78"/>
      <c r="BQ18" s="78"/>
      <c r="BR18" s="78"/>
      <c r="BS18" s="78"/>
      <c r="BT18" s="78"/>
      <c r="BU18" s="78"/>
      <c r="BV18" s="78"/>
      <c r="BW18" s="78"/>
      <c r="BX18" s="78"/>
      <c r="BY18" s="78"/>
      <c r="BZ18" s="78"/>
      <c r="CA18" s="78"/>
      <c r="CB18" s="78"/>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c r="DA18" s="78"/>
      <c r="DB18" s="78"/>
      <c r="DC18" s="78"/>
      <c r="DD18" s="78"/>
      <c r="DE18" s="78"/>
      <c r="DF18" s="78"/>
      <c r="DG18" s="78"/>
      <c r="DH18" s="78"/>
      <c r="DI18" s="78"/>
      <c r="DJ18" s="78"/>
      <c r="DK18" s="78"/>
      <c r="DL18" s="78"/>
      <c r="DM18" s="78"/>
      <c r="DN18" s="78"/>
      <c r="DO18" s="78"/>
      <c r="DP18" s="78"/>
      <c r="DQ18" s="78"/>
      <c r="DR18" s="78"/>
      <c r="DS18" s="78"/>
      <c r="DT18" s="78"/>
      <c r="DU18" s="78"/>
      <c r="DV18" s="78"/>
      <c r="DW18" s="78"/>
      <c r="DX18" s="78"/>
      <c r="DY18" s="78"/>
      <c r="DZ18" s="78"/>
      <c r="EA18" s="78"/>
      <c r="EB18" s="78"/>
      <c r="EC18" s="78"/>
      <c r="ED18" s="78"/>
      <c r="EE18" s="78"/>
      <c r="EF18" s="78"/>
    </row>
    <row r="19" spans="1:136" s="63" customFormat="1" outlineLevel="1">
      <c r="A19" s="148" t="str">
        <f>Power!A7</f>
        <v>VCCO Bank 0</v>
      </c>
      <c r="B19" s="93"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1.5V - 3.3V (1.5V - 1.8V for Virtex-7 except in JTAG(only) mode)"&amp;", " &amp;ROUND(VLOOKUP($B$5&amp;$B$6,Decap_KV,15,FALSE),0) &amp; " of " &amp; Decap!$Q$2,"1.5V - 3.3V"&amp;", " &amp;ROUND(VLOOKUP($B$5&amp;$B$6,Decap_Artix,18,FALSE),0) &amp; " of " &amp; Decap!$T$103),'Warning Messages'!B2))))</f>
        <v>Insufficient data selection: Family information is blank.</v>
      </c>
      <c r="C19" s="177"/>
      <c r="D19" s="175"/>
      <c r="E19" s="93" t="str">
        <f>IF(COUNTIF(Config_lookup,B7),VLOOKUP($B$7,Config_lookup,31,FALSE),'Warning Messages'!B9)</f>
        <v>Insufficient data selection: Check configuration mode.</v>
      </c>
      <c r="F19" s="176"/>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78"/>
      <c r="DB19" s="78"/>
      <c r="DC19" s="78"/>
      <c r="DD19" s="78"/>
      <c r="DE19" s="78"/>
      <c r="DF19" s="78"/>
      <c r="DG19" s="78"/>
      <c r="DH19" s="78"/>
      <c r="DI19" s="78"/>
      <c r="DJ19" s="78"/>
      <c r="DK19" s="78"/>
      <c r="DL19" s="78"/>
      <c r="DM19" s="78"/>
      <c r="DN19" s="78"/>
      <c r="DO19" s="78"/>
      <c r="DP19" s="78"/>
      <c r="DQ19" s="78"/>
      <c r="DR19" s="78"/>
      <c r="DS19" s="78"/>
      <c r="DT19" s="78"/>
      <c r="DU19" s="78"/>
      <c r="DV19" s="78"/>
      <c r="DW19" s="78"/>
      <c r="DX19" s="78"/>
      <c r="DY19" s="78"/>
      <c r="DZ19" s="78"/>
      <c r="EA19" s="78"/>
      <c r="EB19" s="78"/>
      <c r="EC19" s="78"/>
      <c r="ED19" s="78"/>
      <c r="EE19" s="78"/>
      <c r="EF19" s="78"/>
    </row>
    <row r="20" spans="1:136" s="63" customFormat="1" outlineLevel="1">
      <c r="A20" s="144" t="str">
        <f>Power!A8</f>
        <v>VCCO Bank 14</v>
      </c>
      <c r="B20"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3,FALSE) = "HR","1.2V - 3.3V", "1.2V - 1.8V")&amp;", " &amp;ROUND(VLOOKUP($B$5&amp;$B$6,Decap_KV,14,FALSE),0) &amp; " of " &amp; Decap!$P$2 &amp; " (can be shared by up to 4 banks when powered by the same voltage)",IF(VLOOKUP($B$5&amp;$B$6,IO_Type_Lookup,3,FALSE)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Insufficient data selection: Family information is blank.</v>
      </c>
      <c r="C20" s="112"/>
      <c r="D20" s="111"/>
      <c r="E20" s="92" t="str">
        <f>IF(COUNTIF(Config_lookup,B7),VLOOKUP($B$7,Config_lookup,32,FALSE),'Warning Messages'!B9)</f>
        <v>Insufficient data selection: Check configuration mode.</v>
      </c>
      <c r="F20" s="112"/>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78"/>
      <c r="AW20" s="78"/>
      <c r="AX20" s="78"/>
      <c r="AY20" s="78"/>
      <c r="AZ20" s="78"/>
      <c r="BA20" s="7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78"/>
      <c r="DB20" s="78"/>
      <c r="DC20" s="78"/>
      <c r="DD20" s="78"/>
      <c r="DE20" s="78"/>
      <c r="DF20" s="78"/>
      <c r="DG20" s="78"/>
      <c r="DH20" s="78"/>
      <c r="DI20" s="78"/>
      <c r="DJ20" s="78"/>
      <c r="DK20" s="78"/>
      <c r="DL20" s="78"/>
      <c r="DM20" s="78"/>
      <c r="DN20" s="78"/>
      <c r="DO20" s="78"/>
      <c r="DP20" s="78"/>
      <c r="DQ20" s="78"/>
      <c r="DR20" s="78"/>
      <c r="DS20" s="78"/>
      <c r="DT20" s="78"/>
      <c r="DU20" s="78"/>
      <c r="DV20" s="78"/>
      <c r="DW20" s="78"/>
      <c r="DX20" s="78"/>
      <c r="DY20" s="78"/>
      <c r="DZ20" s="78"/>
      <c r="EA20" s="78"/>
      <c r="EB20" s="78"/>
      <c r="EC20" s="78"/>
      <c r="ED20" s="78"/>
      <c r="EE20" s="78"/>
      <c r="EF20" s="78"/>
    </row>
    <row r="21" spans="1:136" s="63" customFormat="1" outlineLevel="1">
      <c r="A21" s="144" t="str">
        <f>Power!A9</f>
        <v>VCCO Bank 15</v>
      </c>
      <c r="B21"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4,FALSE) = "HR","1.2V - 3.3V", "1.2V - 1.8V")&amp;", " &amp;ROUND(VLOOKUP($B$5&amp;$B$6,Decap_KV,14,FALSE),0) &amp; " of " &amp; Decap!$P$2 &amp; " (can be shared by up to 4 banks when powered by the same voltage)",IF(VLOOKUP($B$5&amp;$B$6,IO_Type_Lookup,4,FALSE)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Insufficient data selection: Family information is blank.</v>
      </c>
      <c r="C21" s="112"/>
      <c r="D21" s="111"/>
      <c r="E21" s="92" t="str">
        <f>IF(COUNTIF(Config_lookup,B7),VLOOKUP($B$7,Config_lookup,33,FALSE),'Warning Messages'!B9)</f>
        <v>Insufficient data selection: Check configuration mode.</v>
      </c>
      <c r="F21" s="112"/>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row>
    <row r="22" spans="1:136" s="63" customFormat="1" ht="102" outlineLevel="1">
      <c r="A22" s="145" t="str">
        <f>IF(B5="",'Warning Messages'!B13,IF(B6="",'Warning Messages'!B14,IF(COUNTIF(IO_Type_Lookup,B5&amp;B6),"HR banks " &amp; VLOOKUP(B5&amp;B6,IO_Type!C3:J126,5,FALSE),'Warning Messages'!B3)))</f>
        <v>Insufficient data selection: Device information is blank.</v>
      </c>
      <c r="B22" s="92" t="str">
        <f>IF(B4="",'Warning Messages'!B12,IF(B5="",'Warning Messages'!B13,IF(B6="",'Warning Messages'!B14,IF(MID(A22,LEN(A22)-2,3)="N/A","",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1.2V - 3.3V"&amp;", " &amp;ROUND(VLOOKUP($B$5&amp;$B$6,Decap!C3:Q100,14,FALSE),0) &amp; " of " &amp; Decap!$P$2 &amp; " per 4 banks (when powered by the same voltage)","1.2V - 3.3"&amp;", " &amp; ROUND(VLOOKUP($B$5&amp;$B$6,Decap_Artix,15,FALSE),0) &amp; " of " &amp; Decap!$Q$103 &amp; " per 4 banks (when powered by the same voltage) and " &amp; ROUND(VLOOKUP($B$5&amp;$B$6,Decap_Artix,16,FALSE),0) &amp; " of " &amp;Decap!$R$103&amp; ", " &amp;ROUND(VLOOKUP($B$5&amp;$B$6,Decap_Artix,17,FALSE),0) &amp; " of " &amp; Decap!$S$103 &amp; " per bank"),'Warning Messages'!B2)))))</f>
        <v>Insufficient data selection: Family information is blank.</v>
      </c>
      <c r="C22" s="112"/>
      <c r="D22" s="111"/>
      <c r="E22" s="94" t="str">
        <f>IF(B5="7VX330T", IF(B6="FFG1761", 'Warning Messages'!B7 &amp;Power!C10,Power!C10),Power!C10)</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2" s="112"/>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78"/>
      <c r="DB22" s="78"/>
      <c r="DC22" s="78"/>
      <c r="DD22" s="78"/>
      <c r="DE22" s="78"/>
      <c r="DF22" s="78"/>
      <c r="DG22" s="78"/>
      <c r="DH22" s="78"/>
      <c r="DI22" s="78"/>
      <c r="DJ22" s="78"/>
      <c r="DK22" s="78"/>
      <c r="DL22" s="78"/>
      <c r="DM22" s="78"/>
      <c r="DN22" s="78"/>
      <c r="DO22" s="78"/>
      <c r="DP22" s="78"/>
      <c r="DQ22" s="78"/>
      <c r="DR22" s="78"/>
      <c r="DS22" s="78"/>
      <c r="DT22" s="78"/>
      <c r="DU22" s="78"/>
      <c r="DV22" s="78"/>
      <c r="DW22" s="78"/>
      <c r="DX22" s="78"/>
      <c r="DY22" s="78"/>
      <c r="DZ22" s="78"/>
      <c r="EA22" s="78"/>
      <c r="EB22" s="78"/>
      <c r="EC22" s="78"/>
      <c r="ED22" s="78"/>
      <c r="EE22" s="78"/>
      <c r="EF22" s="78"/>
    </row>
    <row r="23" spans="1:136" s="63" customFormat="1" ht="25.5" outlineLevel="1">
      <c r="A23" s="145" t="str">
        <f>IF(B5="",'Warning Messages'!B13,IF(B6="",'Warning Messages'!B14,IF(COUNTIF(IO_Type_Lookup,B5&amp;B6),"HP banks " &amp;VLOOKUP(B5&amp;B6,IO_Type!C3:M126,6,FALSE)&amp;" ("&amp;VLOOKUP(B5&amp;B6,IO_Type!C3:M126,11,FALSE)&amp;" VCCAUX_IO groups)",'Warning Messages'!B3)))</f>
        <v>Insufficient data selection: Device information is blank.</v>
      </c>
      <c r="B23" s="92" t="str">
        <f>IF(B4="",'Warning Messages'!B12,IF(B5="",'Warning Messages'!B13,IF(B6="",'Warning Messages'!B14,IF(MID(A23,LEN(A23)-2,3)="N/A","",IF(AND(B4&lt;&gt;"Artix-7",B4&lt;&gt;"Spartan-7",B5&lt;&gt;"7Z007S",B5&lt;&gt;"7Z012S",B5&lt;&gt;"7Z014S",B5&lt;&gt;"7Z010",B5&lt;&gt;"7Z015",B5&lt;&gt;"7Z020",B5&lt;&gt;"7Z030",B5&lt;&gt;"7Z035",B5&lt;&gt;"7Z045",B5&lt;&gt;"7Z100"),IF(COUNTIF(Decap_KV,B5&amp;B6),"1.2V - 1.8V"&amp;", "&amp;ROUND(VLOOKUP($B$5&amp;$B$6,Decap_KV,14,FALSE),0)&amp;" of "&amp;Decap!$P$2 &amp; " per 4 banks (when powered by the same voltage)",'Warning Messages'!B2),IF(AND(B4&lt;&gt;"Artix-7",B4&lt;&gt;"Spartan-7",B5&lt;&gt;"7Z007S",B5&lt;&gt;"7Z012S",B5&lt;&gt;"7Z014S",B5&lt;&gt;"7Z010",B5&lt;&gt;"7Z015",B5&lt;&gt;"7Z020"),"1.2V - 1.8"&amp;", " &amp; ROUND(VLOOKUP($B$5&amp;$B$6,Decap_Artix,15,FALSE),0) &amp; " of " &amp; Decap!$Q$103 &amp; " per 4 banks (when powered by the same voltage) and " &amp; ROUND(VLOOKUP($B$5&amp;$B$6,Decap_Artix,16,FALSE),0) &amp; " of " &amp;Decap!$R$103&amp; ", " &amp;ROUND(VLOOKUP($B$5&amp;$B$6,Decap_Artix,17,FALSE),0) &amp; " of " &amp; Decap!$S$103 &amp; " per bank", 'Warning Messages'!B6))))))</f>
        <v>Insufficient data selection: Family information is blank.</v>
      </c>
      <c r="C23" s="112"/>
      <c r="D23" s="111"/>
      <c r="E23" s="92" t="str">
        <f>IF(B6="",'Warning Messages'!B14,IF(MID(B6,4,LEN(B6)-3)="1761",'Warning Messages'!B8&amp;Power!C11,Power!C11))</f>
        <v>Insufficient data selection: Package information is blank.</v>
      </c>
      <c r="F23" s="112"/>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78"/>
      <c r="DB23" s="78"/>
      <c r="DC23" s="78"/>
      <c r="DD23" s="78"/>
      <c r="DE23" s="78"/>
      <c r="DF23" s="78"/>
      <c r="DG23" s="78"/>
      <c r="DH23" s="78"/>
      <c r="DI23" s="78"/>
      <c r="DJ23" s="78"/>
      <c r="DK23" s="78"/>
      <c r="DL23" s="78"/>
      <c r="DM23" s="78"/>
      <c r="DN23" s="78"/>
      <c r="DO23" s="78"/>
      <c r="DP23" s="78"/>
      <c r="DQ23" s="78"/>
      <c r="DR23" s="78"/>
      <c r="DS23" s="78"/>
      <c r="DT23" s="78"/>
      <c r="DU23" s="78"/>
      <c r="DV23" s="78"/>
      <c r="DW23" s="78"/>
      <c r="DX23" s="78"/>
      <c r="DY23" s="78"/>
      <c r="DZ23" s="78"/>
      <c r="EA23" s="78"/>
      <c r="EB23" s="78"/>
      <c r="EC23" s="78"/>
      <c r="ED23" s="78"/>
      <c r="EE23" s="78"/>
      <c r="EF23" s="78"/>
    </row>
    <row r="24" spans="1:136" s="63" customFormat="1" ht="63.75" outlineLevel="1">
      <c r="A24" s="144" t="str">
        <f>Power!A12</f>
        <v>VREF</v>
      </c>
      <c r="B24" s="94" t="str">
        <f>Power!B12</f>
        <v>Connect to the appropriate voltage if the input standard requires a reference voltage.
VREF supply stabilization requires one capacitor per pin; values are in the 0.022 µF—0.47 µF range. If internal VREF is used no capacitor is required and the pin can be used as I/O.</v>
      </c>
      <c r="C24" s="112"/>
      <c r="D24" s="111"/>
      <c r="E24" s="94"/>
      <c r="F24" s="112"/>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c r="CW24" s="78"/>
      <c r="CX24" s="78"/>
      <c r="CY24" s="78"/>
      <c r="CZ24" s="78"/>
      <c r="DA24" s="78"/>
      <c r="DB24" s="78"/>
      <c r="DC24" s="78"/>
      <c r="DD24" s="78"/>
      <c r="DE24" s="78"/>
      <c r="DF24" s="78"/>
      <c r="DG24" s="78"/>
      <c r="DH24" s="78"/>
      <c r="DI24" s="78"/>
      <c r="DJ24" s="78"/>
      <c r="DK24" s="78"/>
      <c r="DL24" s="78"/>
      <c r="DM24" s="78"/>
      <c r="DN24" s="78"/>
      <c r="DO24" s="78"/>
      <c r="DP24" s="78"/>
      <c r="DQ24" s="78"/>
      <c r="DR24" s="78"/>
      <c r="DS24" s="78"/>
      <c r="DT24" s="78"/>
      <c r="DU24" s="78"/>
      <c r="DV24" s="78"/>
      <c r="DW24" s="78"/>
      <c r="DX24" s="78"/>
      <c r="DY24" s="78"/>
      <c r="DZ24" s="78"/>
      <c r="EA24" s="78"/>
      <c r="EB24" s="78"/>
      <c r="EC24" s="78"/>
      <c r="ED24" s="78"/>
      <c r="EE24" s="78"/>
      <c r="EF24" s="78"/>
    </row>
    <row r="25" spans="1:136" s="63" customFormat="1" outlineLevel="1">
      <c r="A25" s="144" t="str">
        <f>Power!A13</f>
        <v>RSVDGND</v>
      </c>
      <c r="B25" s="94" t="str">
        <f>Power!B13</f>
        <v>Connect to ground</v>
      </c>
      <c r="C25" s="112"/>
      <c r="D25" s="111"/>
      <c r="E25" s="94"/>
      <c r="F25" s="112"/>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c r="CW25" s="78"/>
      <c r="CX25" s="78"/>
      <c r="CY25" s="78"/>
      <c r="CZ25" s="78"/>
      <c r="DA25" s="78"/>
      <c r="DB25" s="78"/>
      <c r="DC25" s="78"/>
      <c r="DD25" s="78"/>
      <c r="DE25" s="78"/>
      <c r="DF25" s="78"/>
      <c r="DG25" s="78"/>
      <c r="DH25" s="78"/>
      <c r="DI25" s="78"/>
      <c r="DJ25" s="78"/>
      <c r="DK25" s="78"/>
      <c r="DL25" s="78"/>
      <c r="DM25" s="78"/>
      <c r="DN25" s="78"/>
      <c r="DO25" s="78"/>
      <c r="DP25" s="78"/>
      <c r="DQ25" s="78"/>
      <c r="DR25" s="78"/>
      <c r="DS25" s="78"/>
      <c r="DT25" s="78"/>
      <c r="DU25" s="78"/>
      <c r="DV25" s="78"/>
      <c r="DW25" s="78"/>
      <c r="DX25" s="78"/>
      <c r="DY25" s="78"/>
      <c r="DZ25" s="78"/>
      <c r="EA25" s="78"/>
      <c r="EB25" s="78"/>
      <c r="EC25" s="78"/>
      <c r="ED25" s="78"/>
      <c r="EE25" s="78"/>
      <c r="EF25" s="78"/>
    </row>
    <row r="26" spans="1:136" s="63" customFormat="1" ht="25.5" outlineLevel="1">
      <c r="A26" s="144" t="str">
        <f>Power!A14</f>
        <v>Device Migration</v>
      </c>
      <c r="B26" s="92" t="str">
        <f>IF(B5="",'Warning Messages'!B13,IF(B6="",'Warning Messages'!B14,IF(COUNTIF(Migration_table,B5&amp;B6),VLOOKUP(B5&amp;B6,Migration_table,2,FALSE)&amp;","&amp;VLOOKUP(B5&amp;B6,Migration_table,3,FALSE)&amp;","&amp;VLOOKUP(B5&amp;B6,Migration_table,4,FALSE)&amp;","&amp;VLOOKUP(B5&amp;B6,Migration_table,5,FALSE)&amp;","&amp;VLOOKUP(B5&amp;B6,Migration_table,6,FALSE)&amp;","&amp;VLOOKUP(B5&amp;B6,Migration_table,7,FALSE),'Warning Messages'!B3)))</f>
        <v>Insufficient data selection: Device information is blank.</v>
      </c>
      <c r="C26" s="112"/>
      <c r="D26" s="111"/>
      <c r="E26" s="94" t="str">
        <f>Power!C14</f>
        <v>These are the devices that are pin compatible with the device that was chosen.</v>
      </c>
      <c r="F26" s="112"/>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c r="CW26" s="78"/>
      <c r="CX26" s="78"/>
      <c r="CY26" s="78"/>
      <c r="CZ26" s="78"/>
      <c r="DA26" s="78"/>
      <c r="DB26" s="78"/>
      <c r="DC26" s="78"/>
      <c r="DD26" s="78"/>
      <c r="DE26" s="78"/>
      <c r="DF26" s="78"/>
      <c r="DG26" s="78"/>
      <c r="DH26" s="78"/>
      <c r="DI26" s="78"/>
      <c r="DJ26" s="78"/>
      <c r="DK26" s="78"/>
      <c r="DL26" s="78"/>
      <c r="DM26" s="78"/>
      <c r="DN26" s="78"/>
      <c r="DO26" s="78"/>
      <c r="DP26" s="78"/>
      <c r="DQ26" s="78"/>
      <c r="DR26" s="78"/>
      <c r="DS26" s="78"/>
      <c r="DT26" s="78"/>
      <c r="DU26" s="78"/>
      <c r="DV26" s="78"/>
      <c r="DW26" s="78"/>
      <c r="DX26" s="78"/>
      <c r="DY26" s="78"/>
      <c r="DZ26" s="78"/>
      <c r="EA26" s="78"/>
      <c r="EB26" s="78"/>
      <c r="EC26" s="78"/>
      <c r="ED26" s="78"/>
      <c r="EE26" s="78"/>
      <c r="EF26" s="78"/>
    </row>
    <row r="27" spans="1:136" s="63" customFormat="1" ht="51" outlineLevel="1">
      <c r="A27" s="144" t="str">
        <f>Power!A15</f>
        <v>VCCO of unused I/O banks</v>
      </c>
      <c r="B27" s="94" t="str">
        <f>Power!B15</f>
        <v>Connect to VCCAUX or any available VCCO, but do not require decoupling. If you plan on migration, connect the unbounded I/O banks to the appropriate VCCO supplies. Make sure the voltage limits are followed for the HR and HP I/O's.</v>
      </c>
      <c r="C27" s="112"/>
      <c r="D27" s="111"/>
      <c r="E27" s="94" t="str">
        <f>Power!C15</f>
        <v>See AR #11906.</v>
      </c>
      <c r="F27" s="112"/>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c r="CW27" s="78"/>
      <c r="CX27" s="78"/>
      <c r="CY27" s="78"/>
      <c r="CZ27" s="78"/>
      <c r="DA27" s="78"/>
      <c r="DB27" s="78"/>
      <c r="DC27" s="78"/>
      <c r="DD27" s="78"/>
      <c r="DE27" s="78"/>
      <c r="DF27" s="78"/>
      <c r="DG27" s="78"/>
      <c r="DH27" s="78"/>
      <c r="DI27" s="78"/>
      <c r="DJ27" s="78"/>
      <c r="DK27" s="78"/>
      <c r="DL27" s="78"/>
      <c r="DM27" s="78"/>
      <c r="DN27" s="78"/>
      <c r="DO27" s="78"/>
      <c r="DP27" s="78"/>
      <c r="DQ27" s="78"/>
      <c r="DR27" s="78"/>
      <c r="DS27" s="78"/>
      <c r="DT27" s="78"/>
      <c r="DU27" s="78"/>
      <c r="DV27" s="78"/>
      <c r="DW27" s="78"/>
      <c r="DX27" s="78"/>
      <c r="DY27" s="78"/>
      <c r="DZ27" s="78"/>
      <c r="EA27" s="78"/>
      <c r="EB27" s="78"/>
      <c r="EC27" s="78"/>
      <c r="ED27" s="78"/>
      <c r="EE27" s="78"/>
      <c r="EF27" s="78"/>
    </row>
    <row r="28" spans="1:136" s="63" customFormat="1" outlineLevel="1">
      <c r="A28" s="144" t="str">
        <f>Power!A16</f>
        <v>Power-up/down Sequence</v>
      </c>
      <c r="B28" s="94" t="str">
        <f>Power!B16</f>
        <v>VCCINT, VCCAUX, VCCO</v>
      </c>
      <c r="C28" s="112"/>
      <c r="D28" s="111"/>
      <c r="E28" s="94" t="str">
        <f>Power!C16</f>
        <v>See Power Sequencing in data sheet.</v>
      </c>
      <c r="F28" s="112"/>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row>
    <row r="29" spans="1:136" s="63" customFormat="1" ht="140.25" outlineLevel="1">
      <c r="A29" s="144" t="str">
        <f>Power!A17</f>
        <v>Power Supply Ramp Time</v>
      </c>
      <c r="B29" s="94" t="str">
        <f>Power!B17</f>
        <v>200 µS &lt; VCCINT  ramp &lt; 50 mS
200 µS &lt; VCCAUX ramp &lt; 50 mS
200 µS &lt; VCCO    ramp &lt; 50 mS
200 µS &lt; VCCBRAM    ramp &lt; 50 mS
200 µS &lt; VCCAUX_IO    ramp &lt; 50 mS
200 µS &lt; MGTAVCC    ramp &lt; 50 mS
200 µS &lt; MGTAVTT    ramp &lt; 50 mS
200 µS &lt; MGTVCCAUX    ramp &lt; 50 mS
VCCO2VCCAUX &lt; 300 mS @ TJ 125C
VCCO2VCCAUX &lt; 500 mS @ TJ 100C
VCCO2VCCAUX &lt; 800 mS @ TJ 85C</v>
      </c>
      <c r="C29" s="112"/>
      <c r="D29" s="111"/>
      <c r="E29" s="94" t="str">
        <f>Power!C17</f>
        <v>See the "Power Supply Ramp Time" table in the family data sheet for details.</v>
      </c>
      <c r="F29" s="112"/>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c r="AS29" s="84"/>
      <c r="AT29" s="84"/>
      <c r="AU29" s="84"/>
      <c r="AV29" s="78"/>
      <c r="AW29" s="78"/>
      <c r="AX29" s="78"/>
      <c r="AY29" s="78"/>
      <c r="AZ29" s="78"/>
      <c r="BA29" s="78"/>
      <c r="BB29" s="78"/>
      <c r="BC29" s="78"/>
      <c r="BD29" s="78"/>
      <c r="BE29" s="78"/>
      <c r="BF29" s="78"/>
      <c r="BG29" s="78"/>
      <c r="BH29" s="78"/>
      <c r="BI29" s="78"/>
      <c r="BJ29" s="78"/>
      <c r="BK29" s="78"/>
      <c r="BL29" s="78"/>
      <c r="BM29" s="78"/>
      <c r="BN29" s="78"/>
      <c r="BO29" s="78"/>
      <c r="BP29" s="78"/>
      <c r="BQ29" s="78"/>
      <c r="BR29" s="78"/>
      <c r="BS29" s="78"/>
      <c r="BT29" s="78"/>
      <c r="BU29" s="78"/>
      <c r="BV29" s="78"/>
      <c r="BW29" s="78"/>
      <c r="BX29" s="78"/>
      <c r="BY29" s="78"/>
      <c r="BZ29" s="78"/>
      <c r="CA29" s="78"/>
      <c r="CB29" s="78"/>
      <c r="CC29" s="78"/>
      <c r="CD29" s="78"/>
      <c r="CE29" s="78"/>
      <c r="CF29" s="78"/>
      <c r="CG29" s="78"/>
      <c r="CH29" s="78"/>
      <c r="CI29" s="78"/>
      <c r="CJ29" s="78"/>
      <c r="CK29" s="78"/>
      <c r="CL29" s="78"/>
      <c r="CM29" s="78"/>
      <c r="CN29" s="78"/>
      <c r="CO29" s="78"/>
      <c r="CP29" s="78"/>
      <c r="CQ29" s="78"/>
      <c r="CR29" s="78"/>
      <c r="CS29" s="78"/>
      <c r="CT29" s="78"/>
      <c r="CU29" s="78"/>
      <c r="CV29" s="78"/>
      <c r="CW29" s="78"/>
      <c r="CX29" s="78"/>
      <c r="CY29" s="78"/>
      <c r="CZ29" s="78"/>
      <c r="DA29" s="78"/>
      <c r="DB29" s="78"/>
      <c r="DC29" s="78"/>
      <c r="DD29" s="78"/>
      <c r="DE29" s="78"/>
      <c r="DF29" s="78"/>
      <c r="DG29" s="78"/>
      <c r="DH29" s="78"/>
      <c r="DI29" s="78"/>
      <c r="DJ29" s="78"/>
      <c r="DK29" s="78"/>
      <c r="DL29" s="78"/>
      <c r="DM29" s="78"/>
      <c r="DN29" s="78"/>
      <c r="DO29" s="78"/>
      <c r="DP29" s="78"/>
      <c r="DQ29" s="78"/>
      <c r="DR29" s="78"/>
      <c r="DS29" s="78"/>
      <c r="DT29" s="78"/>
      <c r="DU29" s="78"/>
      <c r="DV29" s="78"/>
      <c r="DW29" s="78"/>
      <c r="DX29" s="78"/>
      <c r="DY29" s="78"/>
      <c r="DZ29" s="78"/>
      <c r="EA29" s="78"/>
      <c r="EB29" s="78"/>
      <c r="EC29" s="78"/>
      <c r="ED29" s="78"/>
      <c r="EE29" s="78"/>
      <c r="EF29" s="78"/>
    </row>
    <row r="30" spans="1:136" outlineLevel="1">
      <c r="A30" s="113"/>
      <c r="B30" s="113"/>
      <c r="C30" s="113"/>
      <c r="D30" s="113"/>
      <c r="E30" s="113"/>
      <c r="F30" s="113"/>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row>
    <row r="31" spans="1:136">
      <c r="A31" s="113"/>
      <c r="B31" s="113"/>
      <c r="C31" s="113"/>
      <c r="D31" s="113"/>
      <c r="E31" s="113"/>
      <c r="F31" s="113"/>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row>
    <row r="32" spans="1:136">
      <c r="A32" s="225" t="s">
        <v>143</v>
      </c>
      <c r="B32" s="226"/>
      <c r="C32" s="233"/>
      <c r="D32" s="233"/>
      <c r="E32" s="226"/>
      <c r="F32" s="227"/>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row>
    <row r="33" spans="1:47" ht="76.5" outlineLevel="1">
      <c r="A33" s="147" t="s">
        <v>144</v>
      </c>
      <c r="B33" s="198" t="s">
        <v>1268</v>
      </c>
      <c r="C33" s="199" t="s">
        <v>1269</v>
      </c>
      <c r="D33" s="200"/>
      <c r="E33" s="113"/>
      <c r="F33" s="113"/>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row>
    <row r="34" spans="1:47" outlineLevel="1">
      <c r="A34" s="119" t="s">
        <v>176</v>
      </c>
      <c r="B34" s="119" t="s">
        <v>157</v>
      </c>
      <c r="C34" s="119" t="s">
        <v>158</v>
      </c>
      <c r="D34" s="119" t="s">
        <v>159</v>
      </c>
      <c r="E34" s="119" t="s">
        <v>206</v>
      </c>
      <c r="F34" s="119" t="s">
        <v>68</v>
      </c>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row>
    <row r="35" spans="1:47" ht="216.75" outlineLevel="1">
      <c r="A35" s="147" t="str">
        <f>Configuration!B27</f>
        <v>CFGBVS</v>
      </c>
      <c r="B35" s="114" t="str">
        <f>IF(COUNTIF(CFGBVS_Lookup,B7&amp;B4&amp;C19),VLOOKUP(B7&amp;B4&amp;C19,CFGBVS_Lookup,2,FALSE),'Warning Messages'!B15)</f>
        <v>Insufficient or incorrect data selection: Check family, Configuration Mode, and Bank0 Voltage.</v>
      </c>
      <c r="C35" s="129"/>
      <c r="D35" s="110"/>
      <c r="E35" s="115" t="str">
        <f>Configuration!$B$51</f>
        <v>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v>
      </c>
      <c r="F35" s="129"/>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row>
    <row r="36" spans="1:47" ht="102" outlineLevel="1">
      <c r="A36" s="144" t="str">
        <f>Configuration!C27</f>
        <v>M[2:0]</v>
      </c>
      <c r="B36" s="92" t="str">
        <f>IF(B4&lt;&gt;"Zynq-7000",IF(COUNTIF(Config_lookup,B7),VLOOKUP($B$7,Config_lookup,3,FALSE),'Warning Messages'!B9),'Warning Messages'!B17)</f>
        <v>Insufficient data selection: Check configuration mode.</v>
      </c>
      <c r="C36" s="112"/>
      <c r="D36" s="111"/>
      <c r="E36" s="94" t="str">
        <f>Configuration!$C$51</f>
        <v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v>
      </c>
      <c r="F36" s="11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row>
    <row r="37" spans="1:47" ht="127.5" outlineLevel="1">
      <c r="A37" s="144" t="str">
        <f>Configuration!D27</f>
        <v>TCK</v>
      </c>
      <c r="B37" s="92" t="str">
        <f>IF(COUNTIF(Config_lookup,B7),VLOOKUP($B$7,Config_lookup,4,FALSE),'Warning Messages'!B9)</f>
        <v>Insufficient data selection: Check configuration mode.</v>
      </c>
      <c r="C37" s="112"/>
      <c r="D37" s="111"/>
      <c r="E37" s="94" t="str">
        <f>Configuration!$D$51</f>
        <v>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v>
      </c>
      <c r="F37" s="11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row>
    <row r="38" spans="1:47" ht="114.75" outlineLevel="1">
      <c r="A38" s="144" t="str">
        <f>Configuration!E27</f>
        <v>TMS</v>
      </c>
      <c r="B38" s="92" t="str">
        <f>IF(COUNTIF(Config_lookup,B7),VLOOKUP($B$7,Config_lookup,5,FALSE),'Warning Messages'!B9)</f>
        <v>Insufficient data selection: Check configuration mode.</v>
      </c>
      <c r="C38" s="112"/>
      <c r="D38" s="111"/>
      <c r="E38" s="94" t="str">
        <f>Configuration!$E$51</f>
        <v>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v>
      </c>
      <c r="F38" s="11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row>
    <row r="39" spans="1:47" ht="153" outlineLevel="1">
      <c r="A39" s="144" t="str">
        <f>Configuration!F27</f>
        <v>TDI</v>
      </c>
      <c r="B39" s="92" t="str">
        <f>IF(COUNTIF(Config_lookup,B7),VLOOKUP($B$7,Config_lookup,6,FALSE),'Warning Messages'!B9)</f>
        <v>Insufficient data selection: Check configuration mode.</v>
      </c>
      <c r="C39" s="112"/>
      <c r="D39" s="111"/>
      <c r="E39" s="94" t="str">
        <f>Configuration!$F$51</f>
        <v>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v>
      </c>
      <c r="F39" s="11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row>
    <row r="40" spans="1:47" ht="153" outlineLevel="1">
      <c r="A40" s="144" t="str">
        <f>Configuration!G27</f>
        <v>TDO</v>
      </c>
      <c r="B40" s="92" t="str">
        <f>IF(COUNTIF(Config_lookup,B7),VLOOKUP($B$7,Config_lookup,7,FALSE),'Warning Messages'!B9)</f>
        <v>Insufficient data selection: Check configuration mode.</v>
      </c>
      <c r="C40" s="112"/>
      <c r="D40" s="111"/>
      <c r="E40" s="94" t="str">
        <f>Configuration!$G$51</f>
        <v>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v>
      </c>
      <c r="F40" s="11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row>
    <row r="41" spans="1:47" ht="140.25" outlineLevel="1">
      <c r="A41" s="144" t="str">
        <f>Configuration!H27</f>
        <v>PROGRAM_B</v>
      </c>
      <c r="B41" s="92" t="str">
        <f>IF(COUNTIF(Config_lookup,B7),VLOOKUP($B$7,Config_lookup,8,FALSE),'Warning Messages'!B9)</f>
        <v>Insufficient data selection: Check configuration mode.</v>
      </c>
      <c r="C41" s="112"/>
      <c r="D41" s="111"/>
      <c r="E41" s="94" t="str">
        <f>Configuration!$H$51</f>
        <v>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v>
      </c>
      <c r="F41" s="11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row>
    <row r="42" spans="1:47" ht="216.75" outlineLevel="1">
      <c r="A42" s="144" t="str">
        <f>Configuration!I27</f>
        <v>INIT_B</v>
      </c>
      <c r="B42" s="92" t="str">
        <f>IF(COUNTIF(Config_lookup,B7),VLOOKUP($B$7,Config_lookup,9,FALSE),'Warning Messages'!B9)</f>
        <v>Insufficient data selection: Check configuration mode.</v>
      </c>
      <c r="C42" s="112"/>
      <c r="D42" s="111"/>
      <c r="E42" s="94" t="str">
        <f>IF(B4&lt;&gt;"Zynq-7000",Configuration!$I$51,Configuration!$I$52)</f>
        <v>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v>
      </c>
      <c r="F42" s="11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row>
    <row r="43" spans="1:47" ht="216.75" outlineLevel="1">
      <c r="A43" s="144" t="str">
        <f>Configuration!J27</f>
        <v>DONE</v>
      </c>
      <c r="B43" s="92" t="str">
        <f>IF(COUNTIF(Config_lookup,B7),VLOOKUP($B$7,Config_lookup,10,FALSE),'Warning Messages'!B9)</f>
        <v>Insufficient data selection: Check configuration mode.</v>
      </c>
      <c r="C43" s="112"/>
      <c r="D43" s="111"/>
      <c r="E43" s="94" t="str">
        <f>Configuration!$J$51</f>
        <v>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AR# 44103 and AR# 62972.
If multiple devices are to be connected in the same configuration chain, see the "Multiple FPGA Configuration" section of UG470 for guidelines.</v>
      </c>
      <c r="F43" s="11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row>
    <row r="44" spans="1:47" ht="216.75" outlineLevel="1">
      <c r="A44" s="144" t="str">
        <f>Configuration!K27</f>
        <v>PUDC_B</v>
      </c>
      <c r="B44" s="92" t="str">
        <f>IF(COUNTIF(Config_lookup,B7),VLOOKUP($B$7,Config_lookup,11,FALSE),'Warning Messages'!B9)</f>
        <v>Insufficient data selection: Check configuration mode.</v>
      </c>
      <c r="C44" s="112"/>
      <c r="D44" s="111"/>
      <c r="E44" s="94" t="str">
        <f>IF(B4&lt;&gt;"Zynq-7000",Configuration!$K$51,Configuration!$K$52)</f>
        <v>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v>
      </c>
      <c r="F44" s="11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row>
    <row r="45" spans="1:47" ht="229.5" outlineLevel="1">
      <c r="A45" s="144" t="str">
        <f>Configuration!L27</f>
        <v>CCLK</v>
      </c>
      <c r="B45" s="92" t="str">
        <f>IF(B4&lt;&gt;"Zynq-7000",IF(COUNTIF(Config_lookup,B7),VLOOKUP($B$7,Config_lookup,12,FALSE),'Warning Messages'!B9),'Warning Messages'!B17)</f>
        <v>Insufficient data selection: Check configuration mode.</v>
      </c>
      <c r="C45" s="112"/>
      <c r="D45" s="111"/>
      <c r="E45" s="94" t="str">
        <f>Configuration!$L$51</f>
        <v>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v>
      </c>
      <c r="F45" s="11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row>
    <row r="46" spans="1:47" ht="255" outlineLevel="1">
      <c r="A46" s="144" t="str">
        <f>Configuration!M27</f>
        <v>EMCCLK</v>
      </c>
      <c r="B46" s="92" t="str">
        <f>IF(B4&lt;&gt;"Zynq-7000",IF(COUNTIF(Config_lookup,B7),VLOOKUP($B$7,Config_lookup,13,FALSE),'Warning Messages'!B9),'Warning Messages'!B17)</f>
        <v>Insufficient data selection: Check configuration mode.</v>
      </c>
      <c r="C46" s="112"/>
      <c r="D46" s="111"/>
      <c r="E46" s="94" t="str">
        <f>Configuration!$M$51</f>
        <v>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v>
      </c>
      <c r="F46" s="11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row>
    <row r="47" spans="1:47" ht="140.25" outlineLevel="1">
      <c r="A47" s="144" t="str">
        <f>Configuration!N27</f>
        <v>CSI_B</v>
      </c>
      <c r="B47" s="92" t="str">
        <f>IF(B4&lt;&gt;"Zynq-7000",IF(COUNTIF(Config_lookup,B7),VLOOKUP($B$7,Config_lookup,14,FALSE),'Warning Messages'!B9),'Warning Messages'!B17)</f>
        <v>Insufficient data selection: Check configuration mode.</v>
      </c>
      <c r="C47" s="112"/>
      <c r="D47" s="111"/>
      <c r="E47" s="94" t="str">
        <f>Configuration!$N$51</f>
        <v>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v>
      </c>
      <c r="F47" s="11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row>
    <row r="48" spans="1:47" ht="229.5" outlineLevel="1">
      <c r="A48" s="144" t="str">
        <f>Configuration!O27</f>
        <v>DOUT_CSO_B</v>
      </c>
      <c r="B48" s="92" t="str">
        <f>IF(B4&lt;&gt;"Zynq-7000",IF(COUNTIF(Config_lookup,B7),VLOOKUP($B$7,Config_lookup,15,FALSE),'Warning Messages'!B9),'Warning Messages'!B17)</f>
        <v>Insufficient data selection: Check configuration mode.</v>
      </c>
      <c r="C48" s="112"/>
      <c r="D48" s="111"/>
      <c r="E48" s="94" t="str">
        <f>Configuration!$O$51</f>
        <v>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v>
      </c>
      <c r="F48" s="11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row>
    <row r="49" spans="1:47" ht="165.75" outlineLevel="1">
      <c r="A49" s="144" t="str">
        <f>Configuration!P27</f>
        <v>RDWR_B</v>
      </c>
      <c r="B49" s="92" t="str">
        <f>IF(B4&lt;&gt;"Zynq-7000",IF(COUNTIF(Config_lookup,B7),VLOOKUP($B$7,Config_lookup,16,FALSE),'Warning Messages'!B9),'Warning Messages'!B17)</f>
        <v>Insufficient data selection: Check configuration mode.</v>
      </c>
      <c r="C49" s="112"/>
      <c r="D49" s="111"/>
      <c r="E49" s="94" t="str">
        <f>Configuration!$P$51</f>
        <v>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v>
      </c>
      <c r="F49" s="11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row>
    <row r="50" spans="1:47" ht="127.5" outlineLevel="1">
      <c r="A50" s="144" t="str">
        <f>Configuration!Q27</f>
        <v>D00_MOSI</v>
      </c>
      <c r="B50" s="92" t="str">
        <f>IF(B4&lt;&gt;"Zynq-7000",IF(COUNTIF(Config_lookup,B7),VLOOKUP($B$7,Config_lookup,17,FALSE),'Warning Messages'!B9),'Warning Messages'!B17)</f>
        <v>Insufficient data selection: Check configuration mode.</v>
      </c>
      <c r="C50" s="112"/>
      <c r="D50" s="111"/>
      <c r="E50" s="94" t="str">
        <f>Configuration!$Q$51</f>
        <v>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v>
      </c>
      <c r="F50" s="11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row>
    <row r="51" spans="1:47" ht="127.5" outlineLevel="1">
      <c r="A51" s="144" t="str">
        <f>Configuration!R27</f>
        <v>D01_DIN</v>
      </c>
      <c r="B51" s="92" t="str">
        <f>IF(B4&lt;&gt;"Zynq-7000",IF(COUNTIF(Config_lookup,B7),VLOOKUP($B$7,Config_lookup,18,FALSE),'Warning Messages'!B9),'Warning Messages'!B17)</f>
        <v>Insufficient data selection: Check configuration mode.</v>
      </c>
      <c r="C51" s="112"/>
      <c r="D51" s="111"/>
      <c r="E51" s="94" t="str">
        <f>Configuration!$R$51</f>
        <v>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v>
      </c>
      <c r="F51" s="11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row>
    <row r="52" spans="1:47" ht="127.5" outlineLevel="1">
      <c r="A52" s="144" t="str">
        <f>Configuration!S27</f>
        <v>D02</v>
      </c>
      <c r="B52" s="92" t="str">
        <f>IF(B4&lt;&gt;"Zynq-7000",IF(COUNTIF(Config_lookup,B7),VLOOKUP($B$7,Config_lookup,19,FALSE),'Warning Messages'!B9),'Warning Messages'!B17)</f>
        <v>Insufficient data selection: Check configuration mode.</v>
      </c>
      <c r="C52" s="112"/>
      <c r="D52" s="111"/>
      <c r="E52" s="94" t="str">
        <f>Configuration!$S$51</f>
        <v>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v>
      </c>
      <c r="F52" s="11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row>
    <row r="53" spans="1:47" ht="127.5" outlineLevel="1">
      <c r="A53" s="144" t="str">
        <f>Configuration!T27</f>
        <v>D03</v>
      </c>
      <c r="B53" s="92" t="str">
        <f>IF(B4&lt;&gt;"Zynq-7000",IF(COUNTIF(Config_lookup,B7),VLOOKUP($B$7,Config_lookup,20,FALSE),'Warning Messages'!B9),'Warning Messages'!B17)</f>
        <v>Insufficient data selection: Check configuration mode.</v>
      </c>
      <c r="C53" s="112"/>
      <c r="D53" s="111"/>
      <c r="E53" s="94" t="str">
        <f>Configuration!$T$51</f>
        <v>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v>
      </c>
      <c r="F53" s="11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row>
    <row r="54" spans="1:47" ht="127.5" outlineLevel="1">
      <c r="A54" s="144" t="str">
        <f>Configuration!U27</f>
        <v>D[04-07]</v>
      </c>
      <c r="B54" s="92" t="str">
        <f>IF(B4&lt;&gt;"Zynq-7000",IF(COUNTIF(Config_lookup,B7),VLOOKUP($B$7,Config_lookup,21,FALSE),'Warning Messages'!B9),'Warning Messages'!B17)</f>
        <v>Insufficient data selection: Check configuration mode.</v>
      </c>
      <c r="C54" s="112"/>
      <c r="D54" s="111"/>
      <c r="E54" s="94" t="str">
        <f>Configuration!$U$51</f>
        <v>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v>
      </c>
      <c r="F54" s="11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row>
    <row r="55" spans="1:47" ht="127.5" outlineLevel="1">
      <c r="A55" s="144" t="str">
        <f>Configuration!V27</f>
        <v>D[08-15]</v>
      </c>
      <c r="B55" s="92" t="str">
        <f>IF(B4&lt;&gt;"Zynq-7000",IF(COUNTIF(Config_lookup,B7),VLOOKUP($B$7,Config_lookup,22,FALSE),'Warning Messages'!B9),'Warning Messages'!B17)</f>
        <v>Insufficient data selection: Check configuration mode.</v>
      </c>
      <c r="C55" s="112"/>
      <c r="D55" s="111"/>
      <c r="E55" s="94" t="str">
        <f>Configuration!$V$51</f>
        <v>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v>
      </c>
      <c r="F55" s="11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row>
    <row r="56" spans="1:47" ht="204" outlineLevel="1">
      <c r="A56" s="144" t="str">
        <f>Configuration!W27</f>
        <v>A[00-15]_D[16-31]</v>
      </c>
      <c r="B56" s="92" t="str">
        <f>IF(B4&lt;&gt;"Zynq-7000",IF(COUNTIF(Config_lookup,B7),VLOOKUP($B$7,Config_lookup,23,FALSE),'Warning Messages'!B9),'Warning Messages'!B17)</f>
        <v>Insufficient data selection: Check configuration mode.</v>
      </c>
      <c r="C56" s="112"/>
      <c r="D56" s="111"/>
      <c r="E56" s="94" t="str">
        <f>Configuration!$W$51</f>
        <v>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v>
      </c>
      <c r="F56" s="11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row>
    <row r="57" spans="1:47" ht="114.75" outlineLevel="1">
      <c r="A57" s="144" t="str">
        <f>Configuration!X27</f>
        <v>A[16-28]</v>
      </c>
      <c r="B57" s="92" t="str">
        <f>IF(B4&lt;&gt;"Zynq-7000",IF(COUNTIF(Config_lookup,B7),VLOOKUP($B$7,Config_lookup,24,FALSE),'Warning Messages'!B9),'Warning Messages'!B17)</f>
        <v>Insufficient data selection: Check configuration mode.</v>
      </c>
      <c r="C57" s="112"/>
      <c r="D57" s="111"/>
      <c r="E57" s="94" t="str">
        <f>Configuration!$X$51</f>
        <v>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v>
      </c>
      <c r="F57" s="11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row>
    <row r="58" spans="1:47" ht="127.5" outlineLevel="1">
      <c r="A58" s="144" t="str">
        <f>Configuration!Y27</f>
        <v>FCS_B</v>
      </c>
      <c r="B58" s="92" t="str">
        <f>IF(B4&lt;&gt;"Zynq-7000",IF(COUNTIF(Config_lookup,B7),VLOOKUP($B$7,Config_lookup,25,FALSE),'Warning Messages'!B9),'Warning Messages'!B17)</f>
        <v>Insufficient data selection: Check configuration mode.</v>
      </c>
      <c r="C58" s="112"/>
      <c r="D58" s="111"/>
      <c r="E58" s="94" t="str">
        <f>Configuration!$Y$51</f>
        <v>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v>
      </c>
      <c r="F58" s="11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row>
    <row r="59" spans="1:47" ht="76.5" outlineLevel="1">
      <c r="A59" s="144" t="str">
        <f>Configuration!Z27</f>
        <v>FOE_B</v>
      </c>
      <c r="B59" s="92" t="str">
        <f>IF(B4&lt;&gt;"Zynq-7000",IF(COUNTIF(Config_lookup,B7),VLOOKUP($B$7,Config_lookup,26,FALSE),'Warning Messages'!B9),'Warning Messages'!B17)</f>
        <v>Insufficient data selection: Check configuration mode.</v>
      </c>
      <c r="C59" s="112"/>
      <c r="D59" s="111"/>
      <c r="E59" s="94" t="str">
        <f>Configuration!$Z$51</f>
        <v xml:space="preserve">Flash Output-Enable (bar) 
Multi-purpose open-drain output pin referenced to VCCO_15.
During BPI configuration and during iMPACT/Vivado indirect BPI flash programming, FOE_B drives Low to enable the flash data bus output. </v>
      </c>
      <c r="F59" s="11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row>
    <row r="60" spans="1:47" ht="114.75" outlineLevel="1">
      <c r="A60" s="144" t="str">
        <f>Configuration!AA27</f>
        <v>FWE_B</v>
      </c>
      <c r="B60" s="92" t="str">
        <f>IF(B4&lt;&gt;"Zynq-7000",IF(COUNTIF(Config_lookup,B7),VLOOKUP($B$7,Config_lookup,27,FALSE),'Warning Messages'!B9),'Warning Messages'!B17)</f>
        <v>Insufficient data selection: Check configuration mode.</v>
      </c>
      <c r="C60" s="112"/>
      <c r="D60" s="111"/>
      <c r="E60" s="94" t="str">
        <f>Configuration!$AA$51</f>
        <v>Flash Write-Enable (bar) 
Multi-purpose output pin referenced to VCCO_15.
During BPI configuration, FWE_B drives High to keep the BPI flash in read mode.
During iMPACT/Vivado indirect BPI flash programming, FWE_B is driven High or Low, depending on the state of the programming operation.</v>
      </c>
      <c r="F60" s="11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row>
    <row r="61" spans="1:47" ht="76.5" outlineLevel="1">
      <c r="A61" s="144" t="str">
        <f>Configuration!AB27</f>
        <v>ADV_B</v>
      </c>
      <c r="B61" s="92" t="str">
        <f>IF(B4&lt;&gt;"Zynq-7000",IF(COUNTIF(Config_lookup,B7),VLOOKUP($B$7,Config_lookup,28,FALSE),'Warning Messages'!B9),'Warning Messages'!B17)</f>
        <v>Insufficient data selection: Check configuration mode.</v>
      </c>
      <c r="C61" s="112"/>
      <c r="D61" s="111"/>
      <c r="E61" s="94" t="str">
        <f>Configuration!AB$51</f>
        <v>Address Valid (bar) 
Multi-purpose output pin referenced to VCCO_15.
During BPI configuration, ADV_B is driven to control the BPI flash address latch enable (for flash that have an address latch enable input).</v>
      </c>
      <c r="F61" s="11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row>
    <row r="62" spans="1:47" ht="178.5" outlineLevel="1">
      <c r="A62" s="144" t="str">
        <f>Configuration!AC27</f>
        <v>RS0, RS1</v>
      </c>
      <c r="B62" s="92" t="str">
        <f>IF(B4&lt;&gt;"Zynq-7000",IF(COUNTIF(Config_lookup,B7),VLOOKUP($B$7,Config_lookup,29,FALSE),'Warning Messages'!B9),'Warning Messages'!B17)</f>
        <v>Insufficient data selection: Check configuration mode.</v>
      </c>
      <c r="C62" s="112"/>
      <c r="D62" s="111"/>
      <c r="E62" s="94" t="str">
        <f>Configuration!$AC$51</f>
        <v>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v>
      </c>
      <c r="F62" s="11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row>
    <row r="63" spans="1:47" ht="165.75" outlineLevel="1">
      <c r="A63" s="144" t="str">
        <f>Configuration!AI27</f>
        <v>JTAG Connector Pinout</v>
      </c>
      <c r="B63" s="92" t="str">
        <f>IF(COUNTIF(Config_lookup,B7),VLOOKUP($B$7,Config_lookup,35,FALSE),'Warning Messages'!B9)</f>
        <v>Insufficient data selection: Check configuration mode.</v>
      </c>
      <c r="C63" s="112"/>
      <c r="D63" s="111"/>
      <c r="E63" s="94" t="str">
        <f>Configuration!AI51</f>
        <v>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v>
      </c>
      <c r="F63" s="11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row>
    <row r="64" spans="1:47" outlineLevel="1">
      <c r="A64" s="144" t="str">
        <f>Configuration!AH27</f>
        <v>Bitstream Length</v>
      </c>
      <c r="B64" s="92" t="str">
        <f>IF(COUNTIF(Bitstream_Length,B5),VLOOKUP(B5,Bitstream_Length,2,FALSE)&amp; " Bits",'Warning Messages'!B11)</f>
        <v>Insufficient data selection: Check device selection.</v>
      </c>
      <c r="C64" s="112"/>
      <c r="D64" s="111"/>
      <c r="E64" s="94"/>
      <c r="F64" s="11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row>
    <row r="65" spans="1:47" outlineLevel="1">
      <c r="A65" s="144" t="s">
        <v>69</v>
      </c>
      <c r="B65" s="92" t="str">
        <f>IF(COUNTIF(Configuration!A2:B23,B7),IF(VALUE(B8)&lt;&gt;0,"(Bitstream Length) / (Configuration Clock Rate x Configuration Bus Width) = "&amp;ROUND(((MID(B64,1,LEN(B64)-5)/(VLOOKUP(B7,Configuration!A2:B23,2,FALSE)*(B8*10^6))))*1000,2)&amp;" ms",'Warning Messages'!B10),'Warning Messages'!B9)</f>
        <v>Insufficient data selection: Check configuration mode.</v>
      </c>
      <c r="C65" s="112"/>
      <c r="D65" s="111"/>
      <c r="E65" s="94" t="str">
        <f>Configuration!AJ51</f>
        <v>Power-up time is not included in this calculation.</v>
      </c>
      <c r="F65" s="11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row>
    <row r="66" spans="1:47" ht="63.75" outlineLevel="1">
      <c r="A66" s="148" t="str">
        <f>Configuration!AD27</f>
        <v>VCCBATT</v>
      </c>
      <c r="B66" s="93" t="str">
        <f>IF(COUNTIF(Config_lookup,B7),VLOOKUP($B$7,Config_lookup,30,FALSE),'Warning Messages'!B9)</f>
        <v>Insufficient data selection: Check configuration mode.</v>
      </c>
      <c r="C66" s="130"/>
      <c r="D66" s="111"/>
      <c r="E66" s="94" t="str">
        <f>Configuration!$AD$51</f>
        <v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v>
      </c>
      <c r="F66" s="11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row>
    <row r="67" spans="1:47" outlineLevel="1">
      <c r="A67" s="234" t="s">
        <v>142</v>
      </c>
      <c r="B67" s="235"/>
      <c r="C67" s="236"/>
      <c r="D67" s="113"/>
      <c r="E67" s="113"/>
      <c r="F67" s="113"/>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row>
    <row r="68" spans="1:47" outlineLevel="1">
      <c r="A68" s="113"/>
      <c r="B68" s="113"/>
      <c r="C68" s="113"/>
      <c r="D68" s="113"/>
      <c r="E68" s="113"/>
      <c r="F68" s="113"/>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row>
    <row r="69" spans="1:47">
      <c r="A69" s="113"/>
      <c r="B69" s="113"/>
      <c r="C69" s="113"/>
      <c r="D69" s="113"/>
      <c r="E69" s="113"/>
      <c r="F69" s="113"/>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row>
    <row r="70" spans="1:47">
      <c r="A70" s="225" t="s">
        <v>151</v>
      </c>
      <c r="B70" s="226"/>
      <c r="C70" s="226"/>
      <c r="D70" s="226"/>
      <c r="E70" s="226"/>
      <c r="F70" s="227"/>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row>
    <row r="71" spans="1:47" outlineLevel="1">
      <c r="A71" s="146" t="s">
        <v>144</v>
      </c>
      <c r="B71" s="121" t="str">
        <f>HYPERLINK("http://www.xilinx.com/support/documentation/user_guides/ug480_7Series_XADC.pdf","See User Guide  480")</f>
        <v>See User Guide  480</v>
      </c>
      <c r="C71" s="113"/>
      <c r="D71" s="113"/>
      <c r="E71" s="113"/>
      <c r="F71" s="113"/>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row>
    <row r="72" spans="1:47" outlineLevel="1">
      <c r="A72" s="113"/>
      <c r="B72" s="113"/>
      <c r="C72" s="113"/>
      <c r="D72" s="113"/>
      <c r="E72" s="113"/>
      <c r="F72" s="113"/>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row>
    <row r="73" spans="1:47" outlineLevel="1">
      <c r="A73" s="119" t="s">
        <v>176</v>
      </c>
      <c r="B73" s="119" t="s">
        <v>157</v>
      </c>
      <c r="C73" s="119" t="s">
        <v>158</v>
      </c>
      <c r="D73" s="119" t="s">
        <v>159</v>
      </c>
      <c r="E73" s="119" t="s">
        <v>206</v>
      </c>
      <c r="F73" s="119" t="s">
        <v>68</v>
      </c>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row>
    <row r="74" spans="1:47" ht="127.5" outlineLevel="1">
      <c r="A74" s="149" t="str">
        <f>XADC!A2</f>
        <v>VCCADC_0</v>
      </c>
      <c r="B74" s="120" t="str">
        <f>XADC!$B$2</f>
        <v>This pin can be tied to the 1.8V VCCAUX supply. However, in a mixed-signal system the supply should be connected to a separate 1.8V analog, if available. See the "Analog Power Supply and Ground (VCCADC and GNDADC)" section of UG480, 7 Series FPGAs XADC Dual 12-Bit 1MSPS Analog-to-Digital Converter User Guide for more information. This pin should never be tied to GND. The pin should be tied to VCCAUX even if the XADC is not being used.
A 100 nF decoupling capacitor should be placed between VCCADC and GNDADC as close to the FPGA package balls as possible.</v>
      </c>
      <c r="C74" s="131"/>
      <c r="D74" s="110"/>
      <c r="E74" s="115" t="str">
        <f>XADC!$C$2</f>
        <v xml:space="preserve">This is the analog supply pin for the ADCs and other analog circuits in the XADC. </v>
      </c>
      <c r="F74" s="129"/>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row>
    <row r="75" spans="1:47" ht="89.25" outlineLevel="1">
      <c r="A75" s="148" t="str">
        <f>XADC!A3</f>
        <v>GNDADC_0</v>
      </c>
      <c r="B75" s="93" t="str">
        <f>XADC!$B$3</f>
        <v>This pin can be tied to the system ground via an isolating ferrite bead. In a mixed-signal system this pin should be tied to an analog ground plane if available, in which case the ferrite bead is not required. See the "Analog Power Supply and Ground (VCCADC and GNDADC)" section of UG480, 7 Series FPGAs XADC Dual 12-Bit 1MSPS Analog-to-Digital Converter User Guide for more information. This pin should always be tied to GND even if the XADC is not being used.</v>
      </c>
      <c r="C75" s="130"/>
      <c r="D75" s="111"/>
      <c r="E75" s="94" t="str">
        <f>XADC!$C$3</f>
        <v xml:space="preserve">This is the ground reference pin for the ADCs and other analog circuits in the XADC. </v>
      </c>
      <c r="F75" s="11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row>
    <row r="76" spans="1:47" ht="114.75" outlineLevel="1">
      <c r="A76" s="148" t="str">
        <f>XADC!A4</f>
        <v>VREFP_0</v>
      </c>
      <c r="B76" s="93" t="str">
        <f>XADC!$B$4</f>
        <v>This pin should be tied to an external 1.25V accurate reference source (±0.2%) for best performance of the ADCs. It should be treated as an analog signal that together with the VREFN_0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v>
      </c>
      <c r="C76" s="130"/>
      <c r="D76" s="111"/>
      <c r="E76" s="94">
        <f>XADC!$C$4</f>
        <v>0</v>
      </c>
      <c r="F76" s="11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row>
    <row r="77" spans="1:47" ht="63.75" outlineLevel="1">
      <c r="A77" s="148" t="str">
        <f>XADC!A5</f>
        <v>VREFN_0</v>
      </c>
      <c r="B77" s="93" t="str">
        <f>XADC!$B$5</f>
        <v>This pin should be tied to the GND pin of an external 1.25V accurate reference source (±0.2%) for best performance of the ADCs. It should be treated as an analog signal that together with the VREFP_0 signal provides a differential 1.25V voltage. This pin should always be connected to GNDADC even if an external reference is not supplied.</v>
      </c>
      <c r="C77" s="130"/>
      <c r="D77" s="111"/>
      <c r="E77" s="94" t="str">
        <f>XADC!$C$5</f>
        <v xml:space="preserve"> </v>
      </c>
      <c r="F77" s="11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row>
    <row r="78" spans="1:47" ht="51" outlineLevel="1">
      <c r="A78" s="148" t="str">
        <f>XADC!A6</f>
        <v>VP_0</v>
      </c>
      <c r="B78" s="93" t="str">
        <f>XADC!$B$6</f>
        <v>This is the positive input terminal of the dedicated differential analog input channel (VP/VN). The analog input channels are very flexible and support multiple analog input signal types. This pin should be connected to GND if not used.</v>
      </c>
      <c r="C78" s="130"/>
      <c r="D78" s="111"/>
      <c r="E78" s="94" t="str">
        <f>XADC!$C$6</f>
        <v xml:space="preserve"> </v>
      </c>
      <c r="F78" s="11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row>
    <row r="79" spans="1:47" ht="51" outlineLevel="1">
      <c r="A79" s="148" t="str">
        <f>XADC!A7</f>
        <v>VN_0</v>
      </c>
      <c r="B79" s="93" t="str">
        <f>XADC!$B$7</f>
        <v>This is the negative input terminal of the dedicated differential analog input channel (VP/VN). The analog input channels are very flexible and support multiple analog input signal types.This pin should be connected to GND if not used.</v>
      </c>
      <c r="C79" s="130"/>
      <c r="D79" s="111"/>
      <c r="E79" s="94" t="str">
        <f>XADC!$C$7</f>
        <v xml:space="preserve"> </v>
      </c>
      <c r="F79" s="11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row>
    <row r="80" spans="1:47" ht="76.5" outlineLevel="1">
      <c r="A80" s="148" t="str">
        <f>XADC!A8</f>
        <v>AD0P to AD15P</v>
      </c>
      <c r="B80" s="93" t="str">
        <f>XADC!$B$8</f>
        <v>These are multi-function pins that can support analog inputs or can be used as regular digital I/O. These pins support up to 16 positive input terminals of the differential auxiliary analog input channels (VAUXP/VAUXN). The analog input channels are very flexible and support multiple analog input signal types. When not being used as analog inputs, these pins can be treated like any other digital I/O.</v>
      </c>
      <c r="C80" s="130"/>
      <c r="D80" s="111"/>
      <c r="E80" s="94" t="str">
        <f>XADC!$C$8</f>
        <v>Auxiliary channels 6, 7, 13, 14, and 15 are not supported on Kintex-7 devices.</v>
      </c>
      <c r="F80" s="11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row>
    <row r="81" spans="1:47" ht="76.5" outlineLevel="1">
      <c r="A81" s="144" t="str">
        <f>XADC!A9</f>
        <v>AD0N to AD15N</v>
      </c>
      <c r="B81" s="92" t="str">
        <f>XADC!$B$9</f>
        <v>These are multi-function pins that can support analog inputs or can be used as regular digital I/O. These pins support up to 16 negative input terminals of the differential auxiliary analog input channels (VAUXP/VAUXN). The analog input channels are very flexible and support multiple analog input signal types. When not being used as analog inputs, these pins can be treated like any other digital I/O.</v>
      </c>
      <c r="C81" s="112"/>
      <c r="D81" s="111"/>
      <c r="E81" s="94" t="str">
        <f>XADC!$C$9</f>
        <v>Auxiliary channels 6, 7, 13, 14, and 15 are not supported on Kintex-7 devices.</v>
      </c>
      <c r="F81" s="11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row>
    <row r="82" spans="1:47" outlineLevel="1">
      <c r="A82" s="113"/>
      <c r="B82" s="113"/>
      <c r="C82" s="113"/>
      <c r="D82" s="113"/>
      <c r="E82" s="113"/>
      <c r="F82" s="113"/>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row>
    <row r="83" spans="1:47">
      <c r="A83" s="113"/>
      <c r="B83" s="113"/>
      <c r="C83" s="113"/>
      <c r="D83" s="113"/>
      <c r="E83" s="113"/>
      <c r="F83" s="113"/>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row>
    <row r="84" spans="1:47" hidden="1">
      <c r="A84" s="240" t="s">
        <v>261</v>
      </c>
      <c r="B84" s="240"/>
      <c r="C84" s="240"/>
      <c r="D84" s="240"/>
      <c r="E84" s="240"/>
      <c r="F84" s="240"/>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row>
    <row r="85" spans="1:47" hidden="1" outlineLevel="1">
      <c r="A85" s="144" t="s">
        <v>144</v>
      </c>
      <c r="B85" s="118" t="str">
        <f>HYPERLINK("http://www.xilinx.com/support/documentation/user_guides/ug476_7Series_Transceivers.pdf","See User Guide  476")</f>
        <v>See User Guide  476</v>
      </c>
      <c r="C85" s="113"/>
      <c r="D85" s="113"/>
      <c r="E85" s="113"/>
      <c r="F85" s="113"/>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row>
    <row r="86" spans="1:47" hidden="1" outlineLevel="1">
      <c r="A86" s="113"/>
      <c r="B86" s="113"/>
      <c r="C86" s="113"/>
      <c r="D86" s="113"/>
      <c r="E86" s="113"/>
      <c r="F86" s="113"/>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row>
    <row r="87" spans="1:47" hidden="1" outlineLevel="1">
      <c r="A87" s="119" t="s">
        <v>176</v>
      </c>
      <c r="B87" s="119" t="s">
        <v>157</v>
      </c>
      <c r="C87" s="119" t="s">
        <v>158</v>
      </c>
      <c r="D87" s="119" t="s">
        <v>159</v>
      </c>
      <c r="E87" s="119" t="s">
        <v>206</v>
      </c>
      <c r="F87" s="119" t="s">
        <v>68</v>
      </c>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row>
    <row r="88" spans="1:47" ht="25.5" hidden="1" outlineLevel="1">
      <c r="A88" s="150" t="str">
        <f>IF($B$5="",'Warning Messages'!$B$13,IF($B$6="",'Warning Messages'!$B$14,IF(COUNTIF(IO_Type_Lookup,$B$5&amp;$B$6),IF(VLOOKUP($B$5&amp;$B$6,IO_Type_Lookup,7,FALSE) = "N/A",IF(VLOOKUP($B$5&amp;$B$6,IO_Type_Lookup,8,FALSE) = "N/A",IF(VLOOKUP($B$5&amp;$B$6,IO_Type_Lookup,9,FALSE) = "N/A",'Warning Messages'!$B$16,GTP!A2),'GTH-GTX'!A2),'GTH-GTX'!A2),'Warning Messages'!$B$3)))</f>
        <v>Insufficient data selection: Device information is blank.</v>
      </c>
      <c r="B88" s="114" t="str">
        <f>IF($B$5="",'Warning Messages'!$B$13,IF($B$6="",'Warning Messages'!$B$14,IF(COUNTIF(IO_Type_Lookup,$B$5&amp;$B$6),IF(VLOOKUP($B$5&amp;$B$6,IO_Type_Lookup,7,FALSE) = "N/A",IF(VLOOKUP($B$5&amp;$B$6,IO_Type_Lookup,8,FALSE) = "N/A",IF(VLOOKUP($B$5&amp;$B$6,IO_Type_Lookup,9,FALSE) = "N/A",'Warning Messages'!$B$16,GTP!B2),'GTH-GTX'!B2),'GTH-GTX'!B2),'Warning Messages'!$B$3)))</f>
        <v>Insufficient data selection: Device information is blank.</v>
      </c>
      <c r="C88" s="131"/>
      <c r="D88" s="110"/>
      <c r="E88" s="114" t="str">
        <f>IF($B$5="",'Warning Messages'!$B$13,IF($B$6="",'Warning Messages'!$B$14,IF(COUNTIF(IO_Type_Lookup,$B$5&amp;$B$6),IF(VLOOKUP($B$5&amp;$B$6,IO_Type_Lookup,7,FALSE) = "N/A",IF(VLOOKUP($B$5&amp;$B$6,IO_Type_Lookup,8,FALSE) = "N/A",IF(VLOOKUP($B$5&amp;$B$6,IO_Type_Lookup,9,FALSE) = "N/A",'Warning Messages'!$B$16,GTP!C2),'GTH-GTX'!C2),'GTH-GTX'!C2),'Warning Messages'!$B$3)))</f>
        <v>Insufficient data selection: Device information is blank.</v>
      </c>
      <c r="F88" s="129"/>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row>
    <row r="89" spans="1:47" ht="25.5" hidden="1" outlineLevel="1">
      <c r="A89" s="145" t="str">
        <f>IF($B$5="",'Warning Messages'!$B$13,IF($B$6="",'Warning Messages'!$B$14,IF(COUNTIF(IO_Type_Lookup,$B$5&amp;$B$6),IF(VLOOKUP($B$5&amp;$B$6,IO_Type_Lookup,7,FALSE) = "N/A",IF(VLOOKUP($B$5&amp;$B$6,IO_Type_Lookup,8,FALSE) = "N/A",IF(VLOOKUP($B$5&amp;$B$6,IO_Type_Lookup,9,FALSE) = "N/A",'Warning Messages'!$B$16,GTP!A3),'GTH-GTX'!A3),'GTH-GTX'!A3),'Warning Messages'!$B$3)))</f>
        <v>Insufficient data selection: Device information is blank.</v>
      </c>
      <c r="B89" s="92" t="str">
        <f>IF($B$5="",'Warning Messages'!$B$13,IF($B$6="",'Warning Messages'!$B$14,IF(COUNTIF(IO_Type_Lookup,$B$5&amp;$B$6),IF(VLOOKUP($B$5&amp;$B$6,IO_Type_Lookup,7,FALSE) = "N/A",IF(VLOOKUP($B$5&amp;$B$6,IO_Type_Lookup,8,FALSE) = "N/A",IF(VLOOKUP($B$5&amp;$B$6,IO_Type_Lookup,9,FALSE) = "N/A",'Warning Messages'!$B$16,GTP!B3),'GTH-GTX'!B3),'GTH-GTX'!B3),'Warning Messages'!$B$3)))</f>
        <v>Insufficient data selection: Device information is blank.</v>
      </c>
      <c r="C89" s="130"/>
      <c r="D89" s="111"/>
      <c r="E89" s="92" t="str">
        <f>IF($B$5="",'Warning Messages'!$B$13,IF($B$6="",'Warning Messages'!$B$14,IF(COUNTIF(IO_Type_Lookup,$B$5&amp;$B$6),IF(VLOOKUP($B$5&amp;$B$6,IO_Type_Lookup,7,FALSE) = "N/A",IF(VLOOKUP($B$5&amp;$B$6,IO_Type_Lookup,8,FALSE) = "N/A",IF(VLOOKUP($B$5&amp;$B$6,IO_Type_Lookup,9,FALSE) = "N/A",'Warning Messages'!$B$16,GTP!C3),'GTH-GTX'!C3),'GTH-GTX'!C3),'Warning Messages'!$B$3)))</f>
        <v>Insufficient data selection: Device information is blank.</v>
      </c>
      <c r="F89" s="11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row>
    <row r="90" spans="1:47" ht="25.5" hidden="1" outlineLevel="1">
      <c r="A90" s="145" t="str">
        <f>IF($B$5="",'Warning Messages'!$B$13,IF($B$6="",'Warning Messages'!$B$14,IF(COUNTIF(IO_Type_Lookup,$B$5&amp;$B$6),IF(VLOOKUP($B$5&amp;$B$6,IO_Type_Lookup,7,FALSE) = "N/A",IF(VLOOKUP($B$5&amp;$B$6,IO_Type_Lookup,8,FALSE) = "N/A",IF(VLOOKUP($B$5&amp;$B$6,IO_Type_Lookup,9,FALSE) = "N/A",'Warning Messages'!$B$16,GTP!A4),'GTH-GTX'!A4),'GTH-GTX'!A4),'Warning Messages'!$B$3)))</f>
        <v>Insufficient data selection: Device information is blank.</v>
      </c>
      <c r="B90" s="92" t="str">
        <f>IF($B$5="",'Warning Messages'!$B$13,IF($B$6="",'Warning Messages'!$B$14,IF(COUNTIF(IO_Type_Lookup,$B$5&amp;$B$6),IF(VLOOKUP($B$5&amp;$B$6,IO_Type_Lookup,7,FALSE) = "N/A",IF(VLOOKUP($B$5&amp;$B$6,IO_Type_Lookup,8,FALSE) = "N/A",IF(VLOOKUP($B$5&amp;$B$6,IO_Type_Lookup,9,FALSE) = "N/A",'Warning Messages'!$B$16,GTP!B4),'GTH-GTX'!B4),'GTH-GTX'!B4),'Warning Messages'!$B$3)))</f>
        <v>Insufficient data selection: Device information is blank.</v>
      </c>
      <c r="C90" s="130"/>
      <c r="D90" s="111"/>
      <c r="E90" s="92" t="str">
        <f>IF($B$5="",'Warning Messages'!$B$13,IF($B$6="",'Warning Messages'!$B$14,IF(COUNTIF(IO_Type_Lookup,$B$5&amp;$B$6),IF(VLOOKUP($B$5&amp;$B$6,IO_Type_Lookup,7,FALSE) = "N/A",IF(VLOOKUP($B$5&amp;$B$6,IO_Type_Lookup,8,FALSE) = "N/A",IF(VLOOKUP($B$5&amp;$B$6,IO_Type_Lookup,9,FALSE) = "N/A",'Warning Messages'!$B$16,GTP!C4),'GTH-GTX'!C4),'GTH-GTX'!C4),'Warning Messages'!$B$3)))</f>
        <v>Insufficient data selection: Device information is blank.</v>
      </c>
      <c r="F90" s="11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row>
    <row r="91" spans="1:47" ht="25.5" hidden="1" outlineLevel="1">
      <c r="A91" s="145" t="str">
        <f>IF($B$5="",'Warning Messages'!$B$13,IF($B$6="",'Warning Messages'!$B$14,IF(COUNTIF(IO_Type_Lookup,$B$5&amp;$B$6),IF(VLOOKUP($B$5&amp;$B$6,IO_Type_Lookup,7,FALSE) = "N/A",IF(VLOOKUP($B$5&amp;$B$6,IO_Type_Lookup,8,FALSE) = "N/A",IF(VLOOKUP($B$5&amp;$B$6,IO_Type_Lookup,9,FALSE) = "N/A",'Warning Messages'!$B$16,GTP!A5),'GTH-GTX'!A5),'GTH-GTX'!A5),'Warning Messages'!$B$3)))</f>
        <v>Insufficient data selection: Device information is blank.</v>
      </c>
      <c r="B91" s="92" t="str">
        <f>IF($B$5="",'Warning Messages'!$B$13,IF($B$6="",'Warning Messages'!$B$14,IF(COUNTIF(IO_Type_Lookup,$B$5&amp;$B$6),IF(VLOOKUP($B$5&amp;$B$6,IO_Type_Lookup,7,FALSE) = "N/A",IF(VLOOKUP($B$5&amp;$B$6,IO_Type_Lookup,8,FALSE) = "N/A",IF(VLOOKUP($B$5&amp;$B$6,IO_Type_Lookup,9,FALSE) = "N/A",'Warning Messages'!$B$16,GTP!B5),'GTH-GTX'!B5),'GTH-GTX'!B5),'Warning Messages'!$B$3)))</f>
        <v>Insufficient data selection: Device information is blank.</v>
      </c>
      <c r="C91" s="130"/>
      <c r="D91" s="111"/>
      <c r="E91" s="92" t="str">
        <f>IF($B$5="",'Warning Messages'!$B$13,IF($B$6="",'Warning Messages'!$B$14,IF(COUNTIF(IO_Type_Lookup,$B$5&amp;$B$6),IF(VLOOKUP($B$5&amp;$B$6,IO_Type_Lookup,7,FALSE) = "N/A",IF(VLOOKUP($B$5&amp;$B$6,IO_Type_Lookup,8,FALSE) = "N/A",IF(VLOOKUP($B$5&amp;$B$6,IO_Type_Lookup,9,FALSE) = "N/A",'Warning Messages'!$B$16,GTP!C5),'GTH-GTX'!C5),'GTH-GTX'!C5),'Warning Messages'!$B$3)))</f>
        <v>Insufficient data selection: Device information is blank.</v>
      </c>
      <c r="F91" s="11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row>
    <row r="92" spans="1:47" ht="25.5" hidden="1" outlineLevel="1">
      <c r="A92" s="145" t="str">
        <f>IF($B$5="",'Warning Messages'!$B$13,IF($B$6="",'Warning Messages'!$B$14,IF(COUNTIF(IO_Type_Lookup,$B$5&amp;$B$6),IF(VLOOKUP($B$5&amp;$B$6,IO_Type_Lookup,7,FALSE) = "N/A",IF(VLOOKUP($B$5&amp;$B$6,IO_Type_Lookup,8,FALSE) = "N/A",IF(VLOOKUP($B$5&amp;$B$6,IO_Type_Lookup,9,FALSE) = "N/A",'Warning Messages'!$B$16,GTP!A6),'GTH-GTX'!A6),'GTH-GTX'!A6),'Warning Messages'!$B$3)))</f>
        <v>Insufficient data selection: Device information is blank.</v>
      </c>
      <c r="B92" s="92" t="str">
        <f>IF($B$5="",'Warning Messages'!$B$13,IF($B$6="",'Warning Messages'!$B$14,IF(COUNTIF(IO_Type_Lookup,$B$5&amp;$B$6),IF(VLOOKUP($B$5&amp;$B$6,IO_Type_Lookup,7,FALSE) = "N/A",IF(VLOOKUP($B$5&amp;$B$6,IO_Type_Lookup,8,FALSE) = "N/A",IF(VLOOKUP($B$5&amp;$B$6,IO_Type_Lookup,9,FALSE) = "N/A",'Warning Messages'!$B$16,GTP!B6),'GTH-GTX'!B6),'GTH-GTX'!B6),'Warning Messages'!$B$3)))</f>
        <v>Insufficient data selection: Device information is blank.</v>
      </c>
      <c r="C92" s="130"/>
      <c r="D92" s="111"/>
      <c r="E92" s="92" t="str">
        <f>IF($B$5="",'Warning Messages'!$B$13,IF($B$6="",'Warning Messages'!$B$14,IF(COUNTIF(IO_Type_Lookup,$B$5&amp;$B$6),IF(VLOOKUP($B$5&amp;$B$6,IO_Type_Lookup,7,FALSE) = "N/A",IF(VLOOKUP($B$5&amp;$B$6,IO_Type_Lookup,8,FALSE) = "N/A",IF(VLOOKUP($B$5&amp;$B$6,IO_Type_Lookup,9,FALSE) = "N/A",'Warning Messages'!$B$16,GTP!C6),'GTH-GTX'!C6),'GTH-GTX'!C6),'Warning Messages'!$B$3)))</f>
        <v>Insufficient data selection: Device information is blank.</v>
      </c>
      <c r="F92" s="11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row>
    <row r="93" spans="1:47" ht="25.5" hidden="1" outlineLevel="1">
      <c r="A93" s="145" t="str">
        <f>IF($B$5="",'Warning Messages'!$B$13,IF($B$6="",'Warning Messages'!$B$14,IF(COUNTIF(IO_Type_Lookup,$B$5&amp;$B$6),IF(VLOOKUP($B$5&amp;$B$6,IO_Type_Lookup,7,FALSE) = "N/A",IF(VLOOKUP($B$5&amp;$B$6,IO_Type_Lookup,8,FALSE) = "N/A",IF(VLOOKUP($B$5&amp;$B$6,IO_Type_Lookup,9,FALSE) = "N/A",'Warning Messages'!$B$16,GTP!A7),'GTH-GTX'!A7),'GTH-GTX'!A7),'Warning Messages'!$B$3)))</f>
        <v>Insufficient data selection: Device information is blank.</v>
      </c>
      <c r="B93" s="92" t="str">
        <f>IF($B$5="",'Warning Messages'!$B$13,IF($B$6="",'Warning Messages'!$B$14,IF(COUNTIF(IO_Type_Lookup,$B$5&amp;$B$6),IF(VLOOKUP($B$5&amp;$B$6,IO_Type_Lookup,7,FALSE) = "N/A",IF(VLOOKUP($B$5&amp;$B$6,IO_Type_Lookup,8,FALSE) = "N/A",IF(VLOOKUP($B$5&amp;$B$6,IO_Type_Lookup,9,FALSE) = "N/A",'Warning Messages'!$B$16,GTP!B7),'GTH-GTX'!B7),'GTH-GTX'!B7),'Warning Messages'!$B$3)))</f>
        <v>Insufficient data selection: Device information is blank.</v>
      </c>
      <c r="C93" s="130"/>
      <c r="D93" s="111"/>
      <c r="E93" s="92" t="str">
        <f>IF($B$5="",'Warning Messages'!$B$13,IF($B$6="",'Warning Messages'!$B$14,IF(COUNTIF(IO_Type_Lookup,$B$5&amp;$B$6),IF(VLOOKUP($B$5&amp;$B$6,IO_Type_Lookup,7,FALSE) = "N/A",IF(VLOOKUP($B$5&amp;$B$6,IO_Type_Lookup,8,FALSE) = "N/A",IF(VLOOKUP($B$5&amp;$B$6,IO_Type_Lookup,9,FALSE) = "N/A",'Warning Messages'!$B$16,GTP!C7),'GTH-GTX'!C7),'GTH-GTX'!C7),'Warning Messages'!$B$3)))</f>
        <v>Insufficient data selection: Device information is blank.</v>
      </c>
      <c r="F93" s="11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row>
    <row r="94" spans="1:47" ht="25.5" hidden="1" outlineLevel="1">
      <c r="A94" s="145" t="str">
        <f>IF($B$5="",'Warning Messages'!$B$13,IF($B$6="",'Warning Messages'!$B$14,IF(COUNTIF(IO_Type_Lookup,$B$5&amp;$B$6),IF(VLOOKUP($B$5&amp;$B$6,IO_Type_Lookup,7,FALSE) = "N/A",IF(VLOOKUP($B$5&amp;$B$6,IO_Type_Lookup,8,FALSE) = "N/A",IF(VLOOKUP($B$5&amp;$B$6,IO_Type_Lookup,9,FALSE) = "N/A",'Warning Messages'!$B$16,GTP!A8),'GTH-GTX'!A8),'GTH-GTX'!A8),'Warning Messages'!$B$3)))</f>
        <v>Insufficient data selection: Device information is blank.</v>
      </c>
      <c r="B94" s="92" t="str">
        <f>IF($B$5="",'Warning Messages'!$B$13,IF($B$6="",'Warning Messages'!$B$14,IF(COUNTIF(IO_Type_Lookup,$B$5&amp;$B$6),IF(VLOOKUP($B$5&amp;$B$6,IO_Type_Lookup,7,FALSE) = "N/A",IF(VLOOKUP($B$5&amp;$B$6,IO_Type_Lookup,8,FALSE) = "N/A",IF(VLOOKUP($B$5&amp;$B$6,IO_Type_Lookup,9,FALSE) = "N/A",'Warning Messages'!$B$16,GTP!B8),'GTH-GTX'!B8),'GTH-GTX'!B8),'Warning Messages'!$B$3)))</f>
        <v>Insufficient data selection: Device information is blank.</v>
      </c>
      <c r="C94" s="130"/>
      <c r="D94" s="111"/>
      <c r="E94" s="92" t="str">
        <f>IF($B$5="",'Warning Messages'!$B$13,IF($B$6="",'Warning Messages'!$B$14,IF(COUNTIF(IO_Type_Lookup,$B$5&amp;$B$6),IF(VLOOKUP($B$5&amp;$B$6,IO_Type_Lookup,7,FALSE) = "N/A",IF(VLOOKUP($B$5&amp;$B$6,IO_Type_Lookup,8,FALSE) = "N/A",IF(VLOOKUP($B$5&amp;$B$6,IO_Type_Lookup,9,FALSE) = "N/A",'Warning Messages'!$B$16,GTP!C8),'GTH-GTX'!C8),'GTH-GTX'!C8),'Warning Messages'!$B$3)))</f>
        <v>Insufficient data selection: Device information is blank.</v>
      </c>
      <c r="F94" s="11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row>
    <row r="95" spans="1:47" ht="25.5" hidden="1" outlineLevel="1">
      <c r="A95" s="145" t="str">
        <f>IF($B$5="",'Warning Messages'!$B$13,IF($B$6="",'Warning Messages'!$B$14,IF(COUNTIF(IO_Type_Lookup,$B$5&amp;$B$6),IF(VLOOKUP($B$5&amp;$B$6,IO_Type_Lookup,7,FALSE) = "N/A",IF(VLOOKUP($B$5&amp;$B$6,IO_Type_Lookup,8,FALSE) = "N/A",IF(VLOOKUP($B$5&amp;$B$6,IO_Type_Lookup,9,FALSE) = "N/A",'Warning Messages'!$B$16,GTP!A9),'GTH-GTX'!A9),'GTH-GTX'!A9),'Warning Messages'!$B$3)))</f>
        <v>Insufficient data selection: Device information is blank.</v>
      </c>
      <c r="B95" s="92" t="str">
        <f>IF($B$5="",'Warning Messages'!$B$13,IF($B$6="",'Warning Messages'!$B$14,IF(COUNTIF(IO_Type_Lookup,$B$5&amp;$B$6),IF(VLOOKUP($B$5&amp;$B$6,IO_Type_Lookup,7,FALSE) = "N/A",IF(VLOOKUP($B$5&amp;$B$6,IO_Type_Lookup,8,FALSE) = "N/A",IF(VLOOKUP($B$5&amp;$B$6,IO_Type_Lookup,9,FALSE) = "N/A",'Warning Messages'!$B$16,GTP!B9),'GTH-GTX'!B9),'GTH-GTX'!B9),'Warning Messages'!$B$3)))</f>
        <v>Insufficient data selection: Device information is blank.</v>
      </c>
      <c r="C95" s="112"/>
      <c r="D95" s="111"/>
      <c r="E95" s="92" t="str">
        <f>IF($B$5="",'Warning Messages'!$B$13,IF($B$6="",'Warning Messages'!$B$14,IF(COUNTIF(IO_Type_Lookup,$B$5&amp;$B$6),IF(VLOOKUP($B$5&amp;$B$6,IO_Type_Lookup,7,FALSE) = "N/A",IF(VLOOKUP($B$5&amp;$B$6,IO_Type_Lookup,8,FALSE) = "N/A",IF(VLOOKUP($B$5&amp;$B$6,IO_Type_Lookup,9,FALSE) = "N/A",'Warning Messages'!$B$16,GTP!C9),'GTH-GTX'!C9),'GTH-GTX'!C9),'Warning Messages'!$B$3)))</f>
        <v>Insufficient data selection: Device information is blank.</v>
      </c>
      <c r="F95" s="11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row>
    <row r="96" spans="1:47" hidden="1" outlineLevel="1">
      <c r="A96" s="113"/>
      <c r="B96" s="113"/>
      <c r="C96" s="113"/>
      <c r="D96" s="113"/>
      <c r="E96" s="113"/>
      <c r="F96" s="113"/>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row>
    <row r="97" spans="1:47" hidden="1">
      <c r="A97" s="113"/>
      <c r="B97" s="113"/>
      <c r="C97" s="113"/>
      <c r="D97" s="113"/>
      <c r="E97" s="113"/>
      <c r="F97" s="113"/>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row>
    <row r="98" spans="1:47" hidden="1">
      <c r="A98" s="240" t="s">
        <v>856</v>
      </c>
      <c r="B98" s="240"/>
      <c r="C98" s="240"/>
      <c r="D98" s="240"/>
      <c r="E98" s="240"/>
      <c r="F98" s="240"/>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row>
    <row r="99" spans="1:47" hidden="1" outlineLevel="1">
      <c r="A99" s="144" t="s">
        <v>144</v>
      </c>
      <c r="B99" s="118"/>
      <c r="C99" s="113"/>
      <c r="D99" s="113"/>
      <c r="E99" s="113"/>
      <c r="F99" s="113"/>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row>
    <row r="100" spans="1:47" hidden="1" outlineLevel="1">
      <c r="A100" s="113"/>
      <c r="B100" s="113"/>
      <c r="C100" s="113"/>
      <c r="D100" s="113"/>
      <c r="E100" s="113"/>
      <c r="F100" s="113"/>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row>
    <row r="101" spans="1:47" hidden="1" outlineLevel="1">
      <c r="A101" s="119" t="s">
        <v>176</v>
      </c>
      <c r="B101" s="119" t="s">
        <v>157</v>
      </c>
      <c r="C101" s="119" t="s">
        <v>158</v>
      </c>
      <c r="D101" s="119" t="s">
        <v>159</v>
      </c>
      <c r="E101" s="119" t="s">
        <v>206</v>
      </c>
      <c r="F101" s="119" t="s">
        <v>68</v>
      </c>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row>
    <row r="102" spans="1:47" ht="25.5" hidden="1" outlineLevel="1">
      <c r="A102" s="150" t="str">
        <f>IF($B$5="",'Warning Messages'!$B$13,IF($B$6="",'Warning Messages'!$B$14,IF(COUNTIF(IO_Type_Lookup,$B$5&amp;$B$6),IF(VLOOKUP($B$5&amp;$B$6,IO_Type_Lookup,12,FALSE) = "N/A",'Warning Messages'!$B$20,GTZ!A1),'Warning Messages'!$B$3)))</f>
        <v>Insufficient data selection: Device information is blank.</v>
      </c>
      <c r="B102" s="114" t="str">
        <f>IF($B$5="",'Warning Messages'!$B$13,IF($B$6="",'Warning Messages'!$B$14,IF(COUNTIF(IO_Type_Lookup,$B$5&amp;$B$6),IF(VLOOKUP($B$5&amp;$B$6,IO_Type_Lookup,12,FALSE) = "N/A",'Warning Messages'!$B$20,GTZ!B1),'Warning Messages'!$B$3)))</f>
        <v>Insufficient data selection: Device information is blank.</v>
      </c>
      <c r="C102" s="131"/>
      <c r="D102" s="110"/>
      <c r="E102" s="114" t="str">
        <f>IF($B$5="",'Warning Messages'!$B$13,IF($B$6="",'Warning Messages'!$B$14,IF(COUNTIF(IO_Type_Lookup,$B$5&amp;$B$6),IF(VLOOKUP($B$5&amp;$B$6,IO_Type_Lookup,12,FALSE) = "N/A",'Warning Messages'!$B$16,GTZ!C1),'Warning Messages'!$B$3)))</f>
        <v>Insufficient data selection: Device information is blank.</v>
      </c>
      <c r="F102" s="129"/>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row>
    <row r="103" spans="1:47" ht="25.5" hidden="1" outlineLevel="1">
      <c r="A103" s="145" t="str">
        <f>IF($B$5="",'Warning Messages'!$B$13,IF($B$6="",'Warning Messages'!$B$14,IF(COUNTIF(IO_Type_Lookup,$B$5&amp;$B$6),IF(VLOOKUP($B$5&amp;$B$6,IO_Type_Lookup,12,FALSE) = "N/A",'Warning Messages'!$B$20,GTZ!A2),'Warning Messages'!$B$3)))</f>
        <v>Insufficient data selection: Device information is blank.</v>
      </c>
      <c r="B103" s="92" t="str">
        <f>IF($B$5="",'Warning Messages'!$B$13,IF($B$6="",'Warning Messages'!$B$14,IF(COUNTIF(IO_Type_Lookup,$B$5&amp;$B$6),IF(VLOOKUP($B$5&amp;$B$6,IO_Type_Lookup,12,FALSE) = "N/A",'Warning Messages'!$B$20,GTZ!B2),'Warning Messages'!$B$3)))</f>
        <v>Insufficient data selection: Device information is blank.</v>
      </c>
      <c r="C103" s="130"/>
      <c r="D103" s="111"/>
      <c r="E103" s="92" t="str">
        <f>IF($B$5="",'Warning Messages'!$B$13,IF($B$6="",'Warning Messages'!$B$14,IF(COUNTIF(IO_Type_Lookup,$B$5&amp;$B$6),IF(VLOOKUP($B$5&amp;$B$6,IO_Type_Lookup,12,FALSE) = "N/A",'Warning Messages'!$B$16,GTZ!C2),'Warning Messages'!$B$3)))</f>
        <v>Insufficient data selection: Device information is blank.</v>
      </c>
      <c r="F103" s="11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row>
    <row r="104" spans="1:47" ht="25.5" hidden="1" outlineLevel="1">
      <c r="A104" s="145" t="str">
        <f>IF($B$5="",'Warning Messages'!$B$13,IF($B$6="",'Warning Messages'!$B$14,IF(COUNTIF(IO_Type_Lookup,$B$5&amp;$B$6),IF(VLOOKUP($B$5&amp;$B$6,IO_Type_Lookup,12,FALSE) = "N/A",'Warning Messages'!$B$20,GTZ!A3),'Warning Messages'!$B$3)))</f>
        <v>Insufficient data selection: Device information is blank.</v>
      </c>
      <c r="B104" s="92" t="str">
        <f>IF($B$5="",'Warning Messages'!$B$13,IF($B$6="",'Warning Messages'!$B$14,IF(COUNTIF(IO_Type_Lookup,$B$5&amp;$B$6),IF(VLOOKUP($B$5&amp;$B$6,IO_Type_Lookup,12,FALSE) = "N/A",'Warning Messages'!$B$20,GTZ!B3),'Warning Messages'!$B$3)))</f>
        <v>Insufficient data selection: Device information is blank.</v>
      </c>
      <c r="C104" s="130"/>
      <c r="D104" s="111"/>
      <c r="E104" s="92" t="str">
        <f>IF($B$5="",'Warning Messages'!$B$13,IF($B$6="",'Warning Messages'!$B$14,IF(COUNTIF(IO_Type_Lookup,$B$5&amp;$B$6),IF(VLOOKUP($B$5&amp;$B$6,IO_Type_Lookup,12,FALSE) = "N/A",'Warning Messages'!$B$16,GTZ!C3),'Warning Messages'!$B$3)))</f>
        <v>Insufficient data selection: Device information is blank.</v>
      </c>
      <c r="F104" s="11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row>
    <row r="105" spans="1:47" ht="25.5" hidden="1" outlineLevel="1">
      <c r="A105" s="145" t="str">
        <f>IF($B$5="",'Warning Messages'!$B$13,IF($B$6="",'Warning Messages'!$B$14,IF(COUNTIF(IO_Type_Lookup,$B$5&amp;$B$6),IF(VLOOKUP($B$5&amp;$B$6,IO_Type_Lookup,12,FALSE) = "N/A",'Warning Messages'!$B$20,GTZ!A4),'Warning Messages'!$B$3)))</f>
        <v>Insufficient data selection: Device information is blank.</v>
      </c>
      <c r="B105" s="92" t="str">
        <f>IF($B$5="",'Warning Messages'!$B$13,IF($B$6="",'Warning Messages'!$B$14,IF(COUNTIF(IO_Type_Lookup,$B$5&amp;$B$6),IF(VLOOKUP($B$5&amp;$B$6,IO_Type_Lookup,12,FALSE) = "N/A",'Warning Messages'!$B$20,GTZ!B4),'Warning Messages'!$B$3)))</f>
        <v>Insufficient data selection: Device information is blank.</v>
      </c>
      <c r="C105" s="130"/>
      <c r="D105" s="111"/>
      <c r="E105" s="92" t="str">
        <f>IF($B$5="",'Warning Messages'!$B$13,IF($B$6="",'Warning Messages'!$B$14,IF(COUNTIF(IO_Type_Lookup,$B$5&amp;$B$6),IF(VLOOKUP($B$5&amp;$B$6,IO_Type_Lookup,12,FALSE) = "N/A",'Warning Messages'!$B$16,GTZ!C4),'Warning Messages'!$B$3)))</f>
        <v>Insufficient data selection: Device information is blank.</v>
      </c>
      <c r="F105" s="11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row>
    <row r="106" spans="1:47" ht="25.5" hidden="1" outlineLevel="1">
      <c r="A106" s="145" t="str">
        <f>IF($B$5="",'Warning Messages'!$B$13,IF($B$6="",'Warning Messages'!$B$14,IF(COUNTIF(IO_Type_Lookup,$B$5&amp;$B$6),IF(VLOOKUP($B$5&amp;$B$6,IO_Type_Lookup,12,FALSE) = "N/A",'Warning Messages'!$B$20,GTZ!A5),'Warning Messages'!$B$3)))</f>
        <v>Insufficient data selection: Device information is blank.</v>
      </c>
      <c r="B106" s="92" t="str">
        <f>IF($B$5="",'Warning Messages'!$B$13,IF($B$6="",'Warning Messages'!$B$14,IF(COUNTIF(IO_Type_Lookup,$B$5&amp;$B$6),IF(VLOOKUP($B$5&amp;$B$6,IO_Type_Lookup,12,FALSE) = "N/A",'Warning Messages'!$B$20,GTZ!B5),'Warning Messages'!$B$3)))</f>
        <v>Insufficient data selection: Device information is blank.</v>
      </c>
      <c r="C106" s="130"/>
      <c r="D106" s="111"/>
      <c r="E106" s="92" t="str">
        <f>IF($B$5="",'Warning Messages'!$B$13,IF($B$6="",'Warning Messages'!$B$14,IF(COUNTIF(IO_Type_Lookup,$B$5&amp;$B$6),IF(VLOOKUP($B$5&amp;$B$6,IO_Type_Lookup,12,FALSE) = "N/A",'Warning Messages'!$B$16,GTZ!C5),'Warning Messages'!$B$3)))</f>
        <v>Insufficient data selection: Device information is blank.</v>
      </c>
      <c r="F106" s="11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row>
    <row r="107" spans="1:47" ht="25.5" hidden="1" outlineLevel="1">
      <c r="A107" s="145" t="str">
        <f>IF($B$5="",'Warning Messages'!$B$13,IF($B$6="",'Warning Messages'!$B$14,IF(COUNTIF(IO_Type_Lookup,$B$5&amp;$B$6),IF(VLOOKUP($B$5&amp;$B$6,IO_Type_Lookup,12,FALSE) = "N/A",'Warning Messages'!$B$20,GTZ!A6),'Warning Messages'!$B$3)))</f>
        <v>Insufficient data selection: Device information is blank.</v>
      </c>
      <c r="B107" s="92" t="str">
        <f>IF($B$5="",'Warning Messages'!$B$13,IF($B$6="",'Warning Messages'!$B$14,IF(COUNTIF(IO_Type_Lookup,$B$5&amp;$B$6),IF(VLOOKUP($B$5&amp;$B$6,IO_Type_Lookup,12,FALSE) = "N/A",'Warning Messages'!$B$20,GTZ!B6),'Warning Messages'!$B$3)))</f>
        <v>Insufficient data selection: Device information is blank.</v>
      </c>
      <c r="C107" s="130"/>
      <c r="D107" s="111"/>
      <c r="E107" s="92" t="str">
        <f>IF($B$5="",'Warning Messages'!$B$13,IF($B$6="",'Warning Messages'!$B$14,IF(COUNTIF(IO_Type_Lookup,$B$5&amp;$B$6),IF(VLOOKUP($B$5&amp;$B$6,IO_Type_Lookup,12,FALSE) = "N/A",'Warning Messages'!$B$16,GTZ!C6),'Warning Messages'!$B$3)))</f>
        <v>Insufficient data selection: Device information is blank.</v>
      </c>
      <c r="F107" s="11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row>
    <row r="108" spans="1:47" ht="25.5" hidden="1" outlineLevel="1">
      <c r="A108" s="145" t="str">
        <f>IF($B$5="",'Warning Messages'!$B$13,IF($B$6="",'Warning Messages'!$B$14,IF(COUNTIF(IO_Type_Lookup,$B$5&amp;$B$6),IF(VLOOKUP($B$5&amp;$B$6,IO_Type_Lookup,12,FALSE) = "N/A",'Warning Messages'!$B$20,GTZ!A7),'Warning Messages'!$B$3)))</f>
        <v>Insufficient data selection: Device information is blank.</v>
      </c>
      <c r="B108" s="92" t="str">
        <f>IF($B$5="",'Warning Messages'!$B$13,IF($B$6="",'Warning Messages'!$B$14,IF(COUNTIF(IO_Type_Lookup,$B$5&amp;$B$6),IF(VLOOKUP($B$5&amp;$B$6,IO_Type_Lookup,12,FALSE) = "N/A",'Warning Messages'!$B$20,GTZ!B7),'Warning Messages'!$B$3)))</f>
        <v>Insufficient data selection: Device information is blank.</v>
      </c>
      <c r="C108" s="130"/>
      <c r="D108" s="111"/>
      <c r="E108" s="92" t="str">
        <f>IF($B$5="",'Warning Messages'!$B$13,IF($B$6="",'Warning Messages'!$B$14,IF(COUNTIF(IO_Type_Lookup,$B$5&amp;$B$6),IF(VLOOKUP($B$5&amp;$B$6,IO_Type_Lookup,12,FALSE) = "N/A",'Warning Messages'!$B$16,GTZ!C7),'Warning Messages'!$B$3)))</f>
        <v>Insufficient data selection: Device information is blank.</v>
      </c>
      <c r="F108" s="11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row>
    <row r="109" spans="1:47" ht="25.5" hidden="1" outlineLevel="1">
      <c r="A109" s="145" t="str">
        <f>IF($B$5="",'Warning Messages'!$B$13,IF($B$6="",'Warning Messages'!$B$14,IF(COUNTIF(IO_Type_Lookup,$B$5&amp;$B$6),IF(VLOOKUP($B$5&amp;$B$6,IO_Type_Lookup,12,FALSE) = "N/A",'Warning Messages'!$B$20,GTZ!A8),'Warning Messages'!$B$3)))</f>
        <v>Insufficient data selection: Device information is blank.</v>
      </c>
      <c r="B109" s="92" t="str">
        <f>IF($B$5="",'Warning Messages'!$B$13,IF($B$6="",'Warning Messages'!$B$14,IF(COUNTIF(IO_Type_Lookup,$B$5&amp;$B$6),IF(VLOOKUP($B$5&amp;$B$6,IO_Type_Lookup,12,FALSE) = "N/A",'Warning Messages'!$B$20,GTZ!B8),'Warning Messages'!$B$3)))</f>
        <v>Insufficient data selection: Device information is blank.</v>
      </c>
      <c r="C109" s="112"/>
      <c r="D109" s="111"/>
      <c r="E109" s="92" t="str">
        <f>IF($B$5="",'Warning Messages'!$B$13,IF($B$6="",'Warning Messages'!$B$14,IF(COUNTIF(IO_Type_Lookup,$B$5&amp;$B$6),IF(VLOOKUP($B$5&amp;$B$6,IO_Type_Lookup,12,FALSE) = "N/A",'Warning Messages'!$B$16,GTZ!C8),'Warning Messages'!$B$3)))</f>
        <v>Insufficient data selection: Device information is blank.</v>
      </c>
      <c r="F109" s="11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row>
    <row r="110" spans="1:47" ht="25.5" hidden="1" outlineLevel="1">
      <c r="A110" s="145" t="str">
        <f>IF($B$5="",'Warning Messages'!$B$13,IF($B$6="",'Warning Messages'!$B$14,IF(COUNTIF(IO_Type_Lookup,$B$5&amp;$B$6),IF(VLOOKUP($B$5&amp;$B$6,IO_Type_Lookup,12,FALSE) = "N/A",'Warning Messages'!$B$20,GTZ!A9),'Warning Messages'!$B$3)))</f>
        <v>Insufficient data selection: Device information is blank.</v>
      </c>
      <c r="B110" s="92" t="str">
        <f>IF($B$5="",'Warning Messages'!$B$13,IF($B$6="",'Warning Messages'!$B$14,IF(COUNTIF(IO_Type_Lookup,$B$5&amp;$B$6),IF(VLOOKUP($B$5&amp;$B$6,IO_Type_Lookup,12,FALSE) = "N/A",'Warning Messages'!$B$20,GTZ!B9),'Warning Messages'!$B$3)))</f>
        <v>Insufficient data selection: Device information is blank.</v>
      </c>
      <c r="C110" s="112"/>
      <c r="D110" s="111"/>
      <c r="E110" s="92" t="str">
        <f>IF($B$5="",'Warning Messages'!$B$13,IF($B$6="",'Warning Messages'!$B$14,IF(COUNTIF(IO_Type_Lookup,$B$5&amp;$B$6),IF(VLOOKUP($B$5&amp;$B$6,IO_Type_Lookup,12,FALSE) = "N/A",'Warning Messages'!$B$16,GTZ!C9),'Warning Messages'!$B$3)))</f>
        <v>Insufficient data selection: Device information is blank.</v>
      </c>
      <c r="F110" s="11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row>
    <row r="111" spans="1:47" ht="25.5" hidden="1" outlineLevel="1">
      <c r="A111" s="145" t="str">
        <f>IF($B$5="",'Warning Messages'!$B$13,IF($B$6="",'Warning Messages'!$B$14,IF(COUNTIF(IO_Type_Lookup,$B$5&amp;$B$6),IF(VLOOKUP($B$5&amp;$B$6,IO_Type_Lookup,12,FALSE) = "N/A",'Warning Messages'!$B$20,GTZ!A10),'Warning Messages'!$B$3)))</f>
        <v>Insufficient data selection: Device information is blank.</v>
      </c>
      <c r="B111" s="92" t="str">
        <f>IF($B$5="",'Warning Messages'!$B$13,IF($B$6="",'Warning Messages'!$B$14,IF(COUNTIF(IO_Type_Lookup,$B$5&amp;$B$6),IF(VLOOKUP($B$5&amp;$B$6,IO_Type_Lookup,12,FALSE) = "N/A",'Warning Messages'!$B$20,GTZ!B10),'Warning Messages'!$B$3)))</f>
        <v>Insufficient data selection: Device information is blank.</v>
      </c>
      <c r="C111" s="112"/>
      <c r="D111" s="111"/>
      <c r="E111" s="92" t="str">
        <f>IF($B$5="",'Warning Messages'!$B$13,IF($B$6="",'Warning Messages'!$B$14,IF(COUNTIF(IO_Type_Lookup,$B$5&amp;$B$6),IF(VLOOKUP($B$5&amp;$B$6,IO_Type_Lookup,12,FALSE) = "N/A",'Warning Messages'!$B$16,GTZ!C10),'Warning Messages'!$B$3)))</f>
        <v>Insufficient data selection: Device information is blank.</v>
      </c>
      <c r="F111" s="11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row>
    <row r="112" spans="1:47" ht="25.5" hidden="1" outlineLevel="1">
      <c r="A112" s="145" t="str">
        <f>IF($B$5="",'Warning Messages'!$B$13,IF($B$6="",'Warning Messages'!$B$14,IF(COUNTIF(IO_Type_Lookup,$B$5&amp;$B$6),IF(VLOOKUP($B$5&amp;$B$6,IO_Type_Lookup,12,FALSE) = "N/A",'Warning Messages'!$B$20,GTZ!A11),'Warning Messages'!$B$3)))</f>
        <v>Insufficient data selection: Device information is blank.</v>
      </c>
      <c r="B112" s="92" t="str">
        <f>IF($B$5="",'Warning Messages'!$B$13,IF($B$6="",'Warning Messages'!$B$14,IF(COUNTIF(IO_Type_Lookup,$B$5&amp;$B$6),IF(VLOOKUP($B$5&amp;$B$6,IO_Type_Lookup,12,FALSE) = "N/A",'Warning Messages'!$B$20,GTZ!B11),'Warning Messages'!$B$3)))</f>
        <v>Insufficient data selection: Device information is blank.</v>
      </c>
      <c r="C112" s="112"/>
      <c r="D112" s="111"/>
      <c r="E112" s="92" t="str">
        <f>IF($B$5="",'Warning Messages'!$B$13,IF($B$6="",'Warning Messages'!$B$14,IF(COUNTIF(IO_Type_Lookup,$B$5&amp;$B$6),IF(VLOOKUP($B$5&amp;$B$6,IO_Type_Lookup,12,FALSE) = "N/A",'Warning Messages'!$B$16,GTZ!C11),'Warning Messages'!$B$3)))</f>
        <v>Insufficient data selection: Device information is blank.</v>
      </c>
      <c r="F112" s="11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row>
    <row r="113" spans="1:47" ht="25.5" hidden="1" outlineLevel="1">
      <c r="A113" s="145" t="str">
        <f>IF($B$5="",'Warning Messages'!$B$13,IF($B$6="",'Warning Messages'!$B$14,IF(COUNTIF(IO_Type_Lookup,$B$5&amp;$B$6),IF(VLOOKUP($B$5&amp;$B$6,IO_Type_Lookup,12,FALSE) = "N/A",'Warning Messages'!$B$20,GTZ!A12),'Warning Messages'!$B$3)))</f>
        <v>Insufficient data selection: Device information is blank.</v>
      </c>
      <c r="B113" s="92" t="str">
        <f>IF($B$5="",'Warning Messages'!$B$13,IF($B$6="",'Warning Messages'!$B$14,IF(COUNTIF(IO_Type_Lookup,$B$5&amp;$B$6),IF(VLOOKUP($B$5&amp;$B$6,IO_Type_Lookup,12,FALSE) = "N/A",'Warning Messages'!$B$20,GTZ!B12),'Warning Messages'!$B$3)))</f>
        <v>Insufficient data selection: Device information is blank.</v>
      </c>
      <c r="C113" s="112"/>
      <c r="D113" s="111"/>
      <c r="E113" s="92" t="str">
        <f>IF($B$5="",'Warning Messages'!$B$13,IF($B$6="",'Warning Messages'!$B$14,IF(COUNTIF(IO_Type_Lookup,$B$5&amp;$B$6),IF(VLOOKUP($B$5&amp;$B$6,IO_Type_Lookup,12,FALSE) = "N/A",'Warning Messages'!$B$16,GTZ!C12),'Warning Messages'!$B$3)))</f>
        <v>Insufficient data selection: Device information is blank.</v>
      </c>
      <c r="F113" s="11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row>
    <row r="114" spans="1:47" ht="25.5" hidden="1" outlineLevel="1">
      <c r="A114" s="145" t="str">
        <f>IF($B$5="",'Warning Messages'!$B$13,IF($B$6="",'Warning Messages'!$B$14,IF(COUNTIF(IO_Type_Lookup,$B$5&amp;$B$6),IF(VLOOKUP($B$5&amp;$B$6,IO_Type_Lookup,12,FALSE) = "N/A",'Warning Messages'!$B$20,GTZ!A13),'Warning Messages'!$B$3)))</f>
        <v>Insufficient data selection: Device information is blank.</v>
      </c>
      <c r="B114" s="92" t="str">
        <f>IF($B$5="",'Warning Messages'!$B$13,IF($B$6="",'Warning Messages'!$B$14,IF(COUNTIF(IO_Type_Lookup,$B$5&amp;$B$6),IF(VLOOKUP($B$5&amp;$B$6,IO_Type_Lookup,12,FALSE) = "N/A",'Warning Messages'!$B$20,GTZ!B13),'Warning Messages'!$B$3)))</f>
        <v>Insufficient data selection: Device information is blank.</v>
      </c>
      <c r="C114" s="112"/>
      <c r="D114" s="111"/>
      <c r="E114" s="92" t="str">
        <f>IF($B$5="",'Warning Messages'!$B$13,IF($B$6="",'Warning Messages'!$B$14,IF(COUNTIF(IO_Type_Lookup,$B$5&amp;$B$6),IF(VLOOKUP($B$5&amp;$B$6,IO_Type_Lookup,12,FALSE) = "N/A",'Warning Messages'!$B$16,GTZ!C13),'Warning Messages'!$B$3)))</f>
        <v>Insufficient data selection: Device information is blank.</v>
      </c>
      <c r="F114" s="11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row>
    <row r="115" spans="1:47" ht="25.5" hidden="1" outlineLevel="1">
      <c r="A115" s="145" t="str">
        <f>IF($B$5="",'Warning Messages'!$B$13,IF($B$6="",'Warning Messages'!$B$14,IF(COUNTIF(IO_Type_Lookup,$B$5&amp;$B$6),IF(VLOOKUP($B$5&amp;$B$6,IO_Type_Lookup,12,FALSE) = "N/A",'Warning Messages'!$B$20,GTZ!A14),'Warning Messages'!$B$3)))</f>
        <v>Insufficient data selection: Device information is blank.</v>
      </c>
      <c r="B115" s="92" t="str">
        <f>IF($B$5="",'Warning Messages'!$B$13,IF($B$6="",'Warning Messages'!$B$14,IF(COUNTIF(IO_Type_Lookup,$B$5&amp;$B$6),IF(VLOOKUP($B$5&amp;$B$6,IO_Type_Lookup,12,FALSE) = "N/A",'Warning Messages'!$B$20,GTZ!B14),'Warning Messages'!$B$3)))</f>
        <v>Insufficient data selection: Device information is blank.</v>
      </c>
      <c r="C115" s="112"/>
      <c r="D115" s="111"/>
      <c r="E115" s="92" t="str">
        <f>IF($B$5="",'Warning Messages'!$B$13,IF($B$6="",'Warning Messages'!$B$14,IF(COUNTIF(IO_Type_Lookup,$B$5&amp;$B$6),IF(VLOOKUP($B$5&amp;$B$6,IO_Type_Lookup,12,FALSE) = "N/A",'Warning Messages'!$B$16,GTZ!C14),'Warning Messages'!$B$3)))</f>
        <v>Insufficient data selection: Device information is blank.</v>
      </c>
      <c r="F115" s="11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row>
    <row r="116" spans="1:47" ht="25.5" hidden="1" outlineLevel="1">
      <c r="A116" s="145" t="str">
        <f>IF($B$5="",'Warning Messages'!$B$13,IF($B$6="",'Warning Messages'!$B$14,IF(COUNTIF(IO_Type_Lookup,$B$5&amp;$B$6),IF(VLOOKUP($B$5&amp;$B$6,IO_Type_Lookup,12,FALSE) = "N/A",'Warning Messages'!$B$20,GTZ!A15),'Warning Messages'!$B$3)))</f>
        <v>Insufficient data selection: Device information is blank.</v>
      </c>
      <c r="B116" s="92" t="str">
        <f>IF($B$5="",'Warning Messages'!$B$13,IF($B$6="",'Warning Messages'!$B$14,IF(COUNTIF(IO_Type_Lookup,$B$5&amp;$B$6),IF(VLOOKUP($B$5&amp;$B$6,IO_Type_Lookup,12,FALSE) = "N/A",'Warning Messages'!$B$20,GTZ!B15),'Warning Messages'!$B$3)))</f>
        <v>Insufficient data selection: Device information is blank.</v>
      </c>
      <c r="C116" s="112"/>
      <c r="D116" s="111"/>
      <c r="E116" s="92" t="str">
        <f>IF($B$5="",'Warning Messages'!$B$13,IF($B$6="",'Warning Messages'!$B$14,IF(COUNTIF(IO_Type_Lookup,$B$5&amp;$B$6),IF(VLOOKUP($B$5&amp;$B$6,IO_Type_Lookup,12,FALSE) = "N/A",'Warning Messages'!$B$16,GTZ!C15),'Warning Messages'!$B$3)))</f>
        <v>Insufficient data selection: Device information is blank.</v>
      </c>
      <c r="F116" s="11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row>
    <row r="117" spans="1:47" ht="25.5" hidden="1" outlineLevel="1">
      <c r="A117" s="145" t="str">
        <f>IF($B$5="",'Warning Messages'!$B$13,IF($B$6="",'Warning Messages'!$B$14,IF(COUNTIF(IO_Type_Lookup,$B$5&amp;$B$6),IF(VLOOKUP($B$5&amp;$B$6,IO_Type_Lookup,12,FALSE) = "N/A",'Warning Messages'!$B$20,GTZ!A16),'Warning Messages'!$B$3)))</f>
        <v>Insufficient data selection: Device information is blank.</v>
      </c>
      <c r="B117" s="92" t="str">
        <f>IF($B$5="",'Warning Messages'!$B$13,IF($B$6="",'Warning Messages'!$B$14,IF(COUNTIF(IO_Type_Lookup,$B$5&amp;$B$6),IF(VLOOKUP($B$5&amp;$B$6,IO_Type_Lookup,12,FALSE) = "N/A",'Warning Messages'!$B$20,GTZ!B16),'Warning Messages'!$B$3)))</f>
        <v>Insufficient data selection: Device information is blank.</v>
      </c>
      <c r="C117" s="112"/>
      <c r="D117" s="111"/>
      <c r="E117" s="92" t="str">
        <f>IF($B$5="",'Warning Messages'!$B$13,IF($B$6="",'Warning Messages'!$B$14,IF(COUNTIF(IO_Type_Lookup,$B$5&amp;$B$6),IF(VLOOKUP($B$5&amp;$B$6,IO_Type_Lookup,12,FALSE) = "N/A",'Warning Messages'!$B$16,GTZ!C16),'Warning Messages'!$B$3)))</f>
        <v>Insufficient data selection: Device information is blank.</v>
      </c>
      <c r="F117" s="11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row>
    <row r="118" spans="1:47" hidden="1">
      <c r="A118" s="113"/>
      <c r="B118" s="113"/>
      <c r="C118" s="113"/>
      <c r="D118" s="113"/>
      <c r="E118" s="113"/>
      <c r="F118" s="113"/>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row>
    <row r="119" spans="1:47" hidden="1">
      <c r="A119" s="113"/>
      <c r="B119" s="113"/>
      <c r="C119" s="113"/>
      <c r="D119" s="113"/>
      <c r="E119" s="113"/>
      <c r="F119" s="113"/>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row>
    <row r="120" spans="1:47">
      <c r="A120" s="225" t="s">
        <v>253</v>
      </c>
      <c r="B120" s="226"/>
      <c r="C120" s="226"/>
      <c r="D120" s="226"/>
      <c r="E120" s="226"/>
      <c r="F120" s="227"/>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row>
    <row r="121" spans="1:47" outlineLevel="1">
      <c r="A121" s="113"/>
      <c r="B121" s="113"/>
      <c r="C121" s="113"/>
      <c r="D121" s="113"/>
      <c r="E121" s="113"/>
      <c r="F121" s="113"/>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row>
    <row r="122" spans="1:47" outlineLevel="1">
      <c r="A122" s="113"/>
      <c r="B122" s="113"/>
      <c r="C122" s="113"/>
      <c r="D122" s="113"/>
      <c r="E122" s="113"/>
      <c r="F122" s="113"/>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row>
    <row r="123" spans="1:47" outlineLevel="1">
      <c r="A123" s="119" t="s">
        <v>176</v>
      </c>
      <c r="B123" s="119" t="s">
        <v>157</v>
      </c>
      <c r="C123" s="119" t="s">
        <v>158</v>
      </c>
      <c r="D123" s="119" t="s">
        <v>159</v>
      </c>
      <c r="E123" s="119" t="s">
        <v>206</v>
      </c>
      <c r="F123" s="119" t="s">
        <v>68</v>
      </c>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row>
    <row r="124" spans="1:47" ht="165.75" outlineLevel="1">
      <c r="A124" s="149" t="str">
        <f>Other_items!A3</f>
        <v>MRCC</v>
      </c>
      <c r="B124" s="120" t="str">
        <f>Other_items!B3</f>
        <v>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v>
      </c>
      <c r="C124" s="131"/>
      <c r="D124" s="110"/>
      <c r="E124" s="115" t="str">
        <f>Other_items!C3</f>
        <v xml:space="preserve">These are the clock capable I/Os driving BUFRs, BUFIOs, BUFGs, and MMCMs/PLLs. In addition, these pins can drive the BUFMR for multi-region BUFIO and BUFR support. These pins become regular user I/Os when not needed as a clock. </v>
      </c>
      <c r="F124" s="129"/>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row>
    <row r="125" spans="1:47" ht="102" outlineLevel="1">
      <c r="A125" s="148" t="str">
        <f>Other_items!A4</f>
        <v>SRCC</v>
      </c>
      <c r="B125" s="93" t="str">
        <f>Other_items!B4</f>
        <v>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v>
      </c>
      <c r="C125" s="130"/>
      <c r="D125" s="111"/>
      <c r="E125" s="94" t="str">
        <f>Other_items!C4</f>
        <v>These are the clock capable I/Os driving BUFRs, BUFIOs, and MMCMs/PLLs. These pins become regular user I/Os when not needed for clocks.</v>
      </c>
      <c r="F125" s="11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row>
    <row r="126" spans="1:47" ht="63.75" outlineLevel="1">
      <c r="A126" s="148" t="str">
        <f>Other_items!A5</f>
        <v>VRN</v>
      </c>
      <c r="B126" s="93" t="str">
        <f>Other_items!B5</f>
        <v>VRN is pulled High with a reference resistor, the value of reference resistor is dependent on the DCI I/O Standard used in the bank. VRN functionality does not apply to HR banks. NOTE: resistor values have changed from prior generations.</v>
      </c>
      <c r="C126" s="130"/>
      <c r="D126" s="111"/>
      <c r="E126" s="94" t="str">
        <f>Other_items!C5</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6" s="11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row>
    <row r="127" spans="1:47" ht="63.75" outlineLevel="1">
      <c r="A127" s="148" t="str">
        <f>Other_items!A6</f>
        <v>VRP</v>
      </c>
      <c r="B127" s="93" t="str">
        <f>Other_items!B6</f>
        <v>VRP is pulled Low with a reference resistor, the value of reference resistor is dependent on the DCI I/O Standard used in the bank. VRP functionality does not apply to HR banks. NOTE: resistor values have changed from prior generations.</v>
      </c>
      <c r="C127" s="130"/>
      <c r="D127" s="111"/>
      <c r="E127" s="94" t="str">
        <f>Other_items!C6</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7" s="11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row>
    <row r="128" spans="1:47" ht="38.25" outlineLevel="1">
      <c r="A128" s="148" t="str">
        <f>Other_items!A7</f>
        <v>DXP_0, DXN_0</v>
      </c>
      <c r="B128" s="93" t="str">
        <f>Other_items!B7</f>
        <v>When not used, tie to GND. See UG475, 7 Series FPGAs Packaging and Pinout Specification for more information and AR#5738 for implementation examples.</v>
      </c>
      <c r="C128" s="130"/>
      <c r="D128" s="111"/>
      <c r="E128" s="94" t="str">
        <f>Other_items!C7</f>
        <v>Temperature-sensing diode pins (Anode: DXP; Cathode: DXN). The thermal diode is accessed by using the DXP and DXN pins in bank 0.</v>
      </c>
      <c r="F128" s="112"/>
      <c r="G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row>
    <row r="129" spans="1:47" ht="76.5" outlineLevel="1">
      <c r="A129" s="148" t="str">
        <f>Other_items!A10</f>
        <v xml:space="preserve">DCI cascading </v>
      </c>
      <c r="B129" s="93" t="str">
        <f>Other_items!B10</f>
        <v>If you are using DCI Cascade then see UG471, 7 Series FPGAs SelectIO Resources User Guide. Make sure the DCI Cascade rules are followed.</v>
      </c>
      <c r="C129" s="130"/>
      <c r="D129" s="111"/>
      <c r="E129" s="94" t="str">
        <f>Other_items!C10</f>
        <v>Note for ISE users:
When running BitGen via a command line or script, the .pcf file must be included. The .pcf file is read into BitGen to include the DCI_CASCADE attributes. 
From Project Navigator, the .pcf file is automatically included during BitGen because it has the same name as the design name.</v>
      </c>
      <c r="F129" s="11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row>
    <row r="130" spans="1:47" ht="25.5" outlineLevel="1">
      <c r="A130" s="148" t="str">
        <f>Other_items!A11</f>
        <v>3.3V level translation</v>
      </c>
      <c r="B130" s="96" t="str">
        <f>HYPERLINK(Other_items!D11,Other_items!B11)</f>
        <v>See XAPP520, Interfacing 7 Series FPGAs High-Performance I/O Banks with 2.5V and 3.3V I/O Standards for 3.3V translation solutions.</v>
      </c>
      <c r="C130" s="130"/>
      <c r="D130" s="111"/>
      <c r="E130" s="94" t="str">
        <f>Other_items!C11</f>
        <v>HP I/O support 1.2V, 1.5V, and 1.8V I/O standards.</v>
      </c>
      <c r="F130" s="11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row>
    <row r="131" spans="1:47" outlineLevel="1">
      <c r="A131" s="148" t="str">
        <f>Other_items!A12</f>
        <v>I/O Standard Compatibility</v>
      </c>
      <c r="B131" s="93" t="str">
        <f>Other_items!B12</f>
        <v>Run DRC with Vivado.</v>
      </c>
      <c r="C131" s="130"/>
      <c r="D131" s="111"/>
      <c r="E131" s="94"/>
      <c r="F131" s="11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row>
    <row r="132" spans="1:47" outlineLevel="1">
      <c r="A132" s="148" t="str">
        <f>Other_items!A13</f>
        <v>SSO Analysis</v>
      </c>
      <c r="B132" s="93" t="str">
        <f>Other_items!B13</f>
        <v>Run SSN Analysis with Vivado using the report_ssn command.</v>
      </c>
      <c r="C132" s="130"/>
      <c r="D132" s="111"/>
      <c r="E132" s="94"/>
      <c r="F132" s="11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row>
    <row r="133" spans="1:47" outlineLevel="1">
      <c r="A133" s="148" t="str">
        <f>Other_items!A14</f>
        <v>MIG</v>
      </c>
      <c r="B133" s="93" t="str">
        <f>Other_items!B14</f>
        <v>Use MIG tool to verify pin placement rules.</v>
      </c>
      <c r="C133" s="130"/>
      <c r="D133" s="111"/>
      <c r="E133" s="94"/>
      <c r="F133" s="11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row>
    <row r="134" spans="1:47" ht="25.5" outlineLevel="1">
      <c r="A134" s="144" t="str">
        <f>Other_items!A15</f>
        <v>HR memory termination</v>
      </c>
      <c r="B134" s="92" t="str">
        <f>Other_items!B15</f>
        <v>The HR I/O have uncalibrated termination for HSTL and SSTL standards built in. Therefore, external termination is not necessary.</v>
      </c>
      <c r="C134" s="112"/>
      <c r="D134" s="111"/>
      <c r="E134" s="94"/>
      <c r="F134" s="11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row>
    <row r="135" spans="1:47" outlineLevel="1">
      <c r="A135" s="113"/>
      <c r="B135" s="113"/>
      <c r="C135" s="113"/>
      <c r="D135" s="113"/>
      <c r="E135" s="113"/>
      <c r="F135" s="113"/>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row>
    <row r="136" spans="1:47" outlineLevel="1">
      <c r="A136" s="113"/>
      <c r="B136" s="113"/>
      <c r="C136" s="113"/>
      <c r="D136" s="113"/>
      <c r="E136" s="113"/>
      <c r="F136" s="113"/>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row>
    <row r="137" spans="1:47" outlineLevel="1">
      <c r="A137" s="113"/>
      <c r="B137" s="113"/>
      <c r="C137" s="113"/>
      <c r="D137" s="113"/>
      <c r="E137" s="113"/>
      <c r="F137" s="113"/>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row>
    <row r="138" spans="1:47">
      <c r="A138" s="113"/>
      <c r="B138" s="113"/>
      <c r="C138" s="113"/>
      <c r="D138" s="113"/>
      <c r="E138" s="113"/>
      <c r="F138" s="113"/>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row>
    <row r="139" spans="1:47">
      <c r="A139" s="225" t="s">
        <v>587</v>
      </c>
      <c r="B139" s="226"/>
      <c r="C139" s="226"/>
      <c r="D139" s="226"/>
      <c r="E139" s="226"/>
      <c r="F139" s="227"/>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row>
    <row r="140" spans="1:47" outlineLevel="1">
      <c r="A140" s="147" t="s">
        <v>144</v>
      </c>
      <c r="B140" s="123" t="s">
        <v>588</v>
      </c>
      <c r="C140" s="113"/>
      <c r="D140" s="113"/>
      <c r="E140" s="113"/>
      <c r="F140" s="113"/>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row>
    <row r="141" spans="1:47" outlineLevel="1">
      <c r="A141" s="113"/>
      <c r="B141" s="113"/>
      <c r="C141" s="113"/>
      <c r="D141" s="113"/>
      <c r="E141" s="113"/>
      <c r="F141" s="113"/>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row>
    <row r="142" spans="1:47" outlineLevel="1">
      <c r="A142" s="119" t="s">
        <v>176</v>
      </c>
      <c r="B142" s="119" t="s">
        <v>157</v>
      </c>
      <c r="C142" s="119" t="s">
        <v>158</v>
      </c>
      <c r="D142" s="119" t="s">
        <v>159</v>
      </c>
      <c r="E142" s="119" t="s">
        <v>206</v>
      </c>
      <c r="F142" s="119" t="s">
        <v>68</v>
      </c>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row>
    <row r="143" spans="1:47" outlineLevel="1">
      <c r="A143" s="149" t="str">
        <f>Zynq!A2</f>
        <v>RSVDVCC</v>
      </c>
      <c r="B143" s="120" t="str">
        <f>IF(B4="",'Warning Messages'!B12,IF(B4="Zynq-7000","Tie to VCCO_0",'Warning Messages'!B17))</f>
        <v>Insufficient data selection: Family information is blank.</v>
      </c>
      <c r="C143" s="161"/>
      <c r="D143" s="110"/>
      <c r="E143" s="122" t="str">
        <f>IF(B4="Zynq-7000",""&amp;Zynq!C2,"")</f>
        <v/>
      </c>
      <c r="F143" s="159"/>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row>
    <row r="144" spans="1:47" outlineLevel="1">
      <c r="A144" s="148" t="str">
        <f>Zynq!A3</f>
        <v>RSVDGND</v>
      </c>
      <c r="B144" s="93" t="str">
        <f>IF(B4="",'Warning Messages'!B12,IF(B4="Zynq-7000","Leave floating",'Warning Messages'!B17))</f>
        <v>Insufficient data selection: Family information is blank.</v>
      </c>
      <c r="C144" s="130"/>
      <c r="D144" s="111"/>
      <c r="E144" s="95" t="str">
        <f>IF(B4="Zynq-7000",""&amp;Zynq!C3,"")</f>
        <v/>
      </c>
      <c r="F144" s="11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row>
    <row r="145" spans="1:47" outlineLevel="1">
      <c r="A145" s="148" t="str">
        <f>Zynq!A4</f>
        <v>VCCO_MIO0</v>
      </c>
      <c r="B145"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"&amp;ROUND(VLOOKUP($B$5&amp;$B$6,Decap_Artix,28,FALSE),0)&amp;" of "&amp;Decap!$AD$103&amp;", "&amp;ROUND(VLOOKUP($B$5&amp;$B$6,Decap_Artix,29,FALSE),0)&amp;" of "&amp;Decap!$AE$103&amp;", "&amp;ROUND(VLOOKUP($B$5&amp;$B$6,Decap_Artix,30,FALSE),0)&amp;" of "&amp;Decap!$AF$103),'Warning Messages'!B2)))))</f>
        <v>Insufficient data selection: Family information is blank.</v>
      </c>
      <c r="C145" s="130"/>
      <c r="D145" s="111"/>
      <c r="E145" s="95" t="str">
        <f>IF(B4="Zynq-7000",""&amp;Zynq!C4,"")</f>
        <v/>
      </c>
      <c r="F145" s="11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row>
    <row r="146" spans="1:47" outlineLevel="1">
      <c r="A146" s="148" t="str">
        <f>Zynq!A5</f>
        <v>VCCO_MIO1</v>
      </c>
      <c r="B146"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"&amp;ROUND(VLOOKUP($B$5&amp;$B$6,Decap_Artix,31,FALSE),0)&amp;" of "&amp;Decap!$AG$103&amp;", "&amp;ROUND(VLOOKUP($B$5&amp;$B$6,Decap_Artix,32,FALSE),0)&amp;" of "&amp;Decap!$AH$103&amp;", "&amp;ROUND(VLOOKUP($B$5&amp;$B$6,Decap_Artix,33,FALSE),0)&amp;" of "&amp;Decap!$AI$103),'Warning Messages'!B2)))))</f>
        <v>Insufficient data selection: Family information is blank.</v>
      </c>
      <c r="C146" s="130"/>
      <c r="D146" s="111"/>
      <c r="E146" s="95" t="str">
        <f>IF(B4="Zynq-7000",""&amp;Zynq!C5,"")</f>
        <v/>
      </c>
      <c r="F146" s="11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row>
    <row r="147" spans="1:47" outlineLevel="1">
      <c r="A147" s="148" t="str">
        <f>Zynq!A6</f>
        <v>VCCO_DDR</v>
      </c>
      <c r="B147"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1.2V - 1.8V, "&amp;ROUND(VLOOKUP($B$5&amp;$B$6,Decap_KV,27,FALSE),0)&amp;" of "&amp;Decap!$AA$2&amp;", "&amp;ROUND(VLOOKUP($B$5&amp;$B$6,Decap_KV,28,FALSE),0)&amp;" of "&amp;Decap!$AB$2&amp;", "&amp;ROUND(VLOOKUP($B$5&amp;$B$6,Decap_KV,29,FALSE),0)&amp;" of "&amp;Decap!$AC$2,"1.2V - 1.8V, "&amp;ROUND(VLOOKUP($B$5&amp;$B$6,Decap_Artix,25,FALSE),0)&amp;" of "&amp;Decap!$AA$103&amp;", "&amp;ROUND(VLOOKUP($B$5&amp;$B$6,Decap_Artix,26,FALSE),0)&amp;" of "&amp;Decap!$AB$103&amp;", "&amp;ROUND(VLOOKUP($B$5&amp;$B$6,Decap_Artix,27,FALSE),0)&amp;" of "&amp;Decap!$AC$103),'Warning Messages'!B2)))))</f>
        <v>Insufficient data selection: Family information is blank.</v>
      </c>
      <c r="C147" s="130"/>
      <c r="D147" s="111"/>
      <c r="E147" s="95" t="str">
        <f>IF(B4="Zynq-7000",""&amp;Zynq!C6,"")</f>
        <v/>
      </c>
      <c r="F147" s="112"/>
      <c r="G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row>
    <row r="148" spans="1:47" outlineLevel="1">
      <c r="A148" s="148" t="str">
        <f>Zynq!A7</f>
        <v>VCCPINT</v>
      </c>
      <c r="B148"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1.0V, "&amp;ROUND(VLOOKUP($B$5&amp;$B$6,Decap_KV,27,FALSE),0)&amp;" of "&amp;Decap!$AA$2&amp;", "&amp;ROUND(VLOOKUP($B$5&amp;$B$6,Decap_KV,28,FALSE),0)&amp;" of "&amp;Decap!$AB$2&amp;", "&amp;ROUND(VLOOKUP($B$5&amp;$B$6,Decap_KV,29,FALSE),0)&amp;" of "&amp;Decap!$AC$2,"1.0V, "&amp;ROUND(VLOOKUP($B$5&amp;$B$6,Decap_Artix,19,FALSE),0)&amp;" of "&amp;Decap!$U$103&amp;", "&amp;ROUND(VLOOKUP($B$5&amp;$B$6,Decap_Artix,20,FALSE),0)&amp;" of "&amp;Decap!$V$103&amp;", "&amp;ROUND(VLOOKUP($B$5&amp;$B$6,Decap_Artix,21,FALSE),0)&amp;" of "&amp;Decap!$W$103),'Warning Messages'!B2)))))</f>
        <v>Insufficient data selection: Family information is blank.</v>
      </c>
      <c r="C148" s="130"/>
      <c r="D148" s="111"/>
      <c r="E148" s="95" t="str">
        <f>IF(B4="Zynq-7000",""&amp;Zynq!C7,"")</f>
        <v/>
      </c>
      <c r="F148" s="11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row>
    <row r="149" spans="1:47" outlineLevel="1">
      <c r="A149" s="148" t="str">
        <f>Zynq!A8</f>
        <v>VCCPAUX</v>
      </c>
      <c r="B149"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"&amp;ROUND(VLOOKUP($B$5&amp;$B$6,Decap_KV,27,FALSE),0)&amp;" of "&amp;Decap!$AA$2&amp;", "&amp;ROUND(VLOOKUP($B$5&amp;$B$6,Decap_KV,28,FALSE),0)&amp;" of "&amp;Decap!$AB$2&amp;", "&amp;ROUND(VLOOKUP($B$5&amp;$B$6,Decap_KV,29,FALSE),0)&amp;" of "&amp;Decap!$AC$2,"1.8V, "&amp;ROUND(VLOOKUP($B$5&amp;$B$6,Decap_Artix,22,FALSE),0)&amp;" of "&amp;Decap!$X$103&amp;", "&amp;ROUND(VLOOKUP($B$5&amp;$B$6,Decap_Artix,23,FALSE),0)&amp;" of "&amp;Decap!$Y$103&amp;", "&amp;ROUND(VLOOKUP($B$5&amp;$B$6,Decap_Artix,24,FALSE),0)&amp;" of "&amp;Decap!$Z$103),'Warning Messages'!B2)))))</f>
        <v>Insufficient data selection: Family information is blank.</v>
      </c>
      <c r="C149" s="130"/>
      <c r="D149" s="111"/>
      <c r="E149" s="95" t="str">
        <f>IF(B4="Zynq-7000",""&amp;Zynq!C8,"")</f>
        <v/>
      </c>
      <c r="F149" s="11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row>
    <row r="150" spans="1:47" outlineLevel="1">
      <c r="A150" s="148" t="str">
        <f>Zynq!A9</f>
        <v>VCCPLL</v>
      </c>
      <c r="B150" s="93" t="str">
        <f>IF(B4="",'Warning Messages'!B12,IF(B4="Zynq-7000",Zynq!B9,'Warning Messages'!B17))</f>
        <v>Insufficient data selection: Family information is blank.</v>
      </c>
      <c r="C150" s="130"/>
      <c r="D150" s="111"/>
      <c r="E150" s="95" t="str">
        <f>IF(B4="Zynq-7000",""&amp;Zynq!C9,"")</f>
        <v/>
      </c>
      <c r="F150" s="11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row>
    <row r="151" spans="1:47" ht="25.5" outlineLevel="1">
      <c r="A151" s="148" t="str">
        <f>Zynq!A10</f>
        <v>PS_DDR_VREF0
PS_DDR_VREF1</v>
      </c>
      <c r="B151" s="93" t="str">
        <f>IF(B4="",'Warning Messages'!B12,IF(B4="Zynq-7000",Zynq!B10,'Warning Messages'!B17))</f>
        <v>Insufficient data selection: Family information is blank.</v>
      </c>
      <c r="C151" s="130"/>
      <c r="D151" s="111"/>
      <c r="E151" s="95" t="str">
        <f>IF(B4="Zynq-7000",""&amp;Zynq!C10,"")</f>
        <v/>
      </c>
      <c r="F151" s="11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row>
    <row r="152" spans="1:47" outlineLevel="1">
      <c r="A152" s="148" t="str">
        <f>Zynq!A11</f>
        <v>VTT</v>
      </c>
      <c r="B152" s="92" t="str">
        <f>IF(B4="",'Warning Messages'!B12,IF(B4="Zynq-7000",Zynq!B11,'Warning Messages'!B17))</f>
        <v>Insufficient data selection: Family information is blank.</v>
      </c>
      <c r="C152" s="130"/>
      <c r="D152" s="111"/>
      <c r="E152" s="95" t="str">
        <f>IF(B4="Zynq-7000",""&amp;Zynq!C11,"")</f>
        <v/>
      </c>
      <c r="F152" s="11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row>
    <row r="153" spans="1:47" outlineLevel="1">
      <c r="A153" s="148" t="str">
        <f>Zynq!A12</f>
        <v>PS_MIO_VREF</v>
      </c>
      <c r="B153" s="92" t="str">
        <f>IF(B4="",'Warning Messages'!B12,IF(B4="Zynq-7000",Zynq!B12,'Warning Messages'!B17))</f>
        <v>Insufficient data selection: Family information is blank.</v>
      </c>
      <c r="C153" s="130"/>
      <c r="D153" s="111"/>
      <c r="E153" s="95" t="str">
        <f>IF(B4="Zynq-7000",""&amp;Zynq!C12,"")</f>
        <v/>
      </c>
      <c r="F153" s="11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row>
    <row r="154" spans="1:47" outlineLevel="1">
      <c r="A154" s="148" t="str">
        <f>Zynq!A17</f>
        <v>Power-On/Off Sequence</v>
      </c>
      <c r="B154" s="92" t="str">
        <f>IF(B4="",'Warning Messages'!B12,IF(B4="Zynq-7000",Zynq!B17,'Warning Messages'!B17))</f>
        <v>Insufficient data selection: Family information is blank.</v>
      </c>
      <c r="C154" s="130"/>
      <c r="D154" s="111"/>
      <c r="E154" s="95" t="str">
        <f>IF(B4="Zynq-7000",""&amp;Zynq!C17,"")</f>
        <v/>
      </c>
      <c r="F154" s="11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row>
    <row r="155" spans="1:47" outlineLevel="1">
      <c r="A155" s="144" t="str">
        <f>Zynq!A18</f>
        <v>Power Supply Ramp Time</v>
      </c>
      <c r="B155" s="92" t="str">
        <f>IF(B4="",'Warning Messages'!B12,IF(B4="Zynq-7000",Zynq!B18,'Warning Messages'!B17))</f>
        <v>Insufficient data selection: Family information is blank.</v>
      </c>
      <c r="C155" s="112"/>
      <c r="D155" s="111"/>
      <c r="E155" s="94" t="str">
        <f>IF(B4="Zynq-7000",""&amp;Zynq!C18,"")</f>
        <v/>
      </c>
      <c r="F155" s="11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row>
    <row r="156" spans="1:47" outlineLevel="1">
      <c r="A156" s="113"/>
      <c r="B156" s="113"/>
      <c r="C156" s="113"/>
      <c r="D156" s="113"/>
      <c r="E156" s="113"/>
      <c r="F156" s="113"/>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row>
    <row r="157" spans="1:47" outlineLevel="1">
      <c r="A157" s="113"/>
      <c r="B157" s="113"/>
      <c r="C157" s="113"/>
      <c r="D157" s="113"/>
      <c r="E157" s="113"/>
      <c r="F157" s="113"/>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row>
    <row r="158" spans="1:47">
      <c r="A158" s="113"/>
      <c r="B158" s="113"/>
      <c r="C158" s="113"/>
      <c r="D158" s="113"/>
      <c r="E158" s="113"/>
      <c r="F158" s="113"/>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row>
    <row r="159" spans="1:47">
      <c r="A159" s="225" t="s">
        <v>589</v>
      </c>
      <c r="B159" s="226"/>
      <c r="C159" s="226"/>
      <c r="D159" s="226"/>
      <c r="E159" s="226"/>
      <c r="F159" s="227"/>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row>
    <row r="160" spans="1:47" outlineLevel="1">
      <c r="A160" s="144" t="s">
        <v>144</v>
      </c>
      <c r="B160" s="118" t="s">
        <v>588</v>
      </c>
      <c r="C160" s="113"/>
      <c r="D160" s="113"/>
      <c r="E160" s="113"/>
      <c r="F160" s="113"/>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row>
    <row r="161" spans="1:47" outlineLevel="1">
      <c r="A161" s="113"/>
      <c r="B161" s="113"/>
      <c r="C161" s="113"/>
      <c r="D161" s="113"/>
      <c r="E161" s="113"/>
      <c r="F161" s="113"/>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row>
    <row r="162" spans="1:47" outlineLevel="1">
      <c r="A162" s="119" t="s">
        <v>176</v>
      </c>
      <c r="B162" s="119" t="s">
        <v>157</v>
      </c>
      <c r="C162" s="119" t="s">
        <v>158</v>
      </c>
      <c r="D162" s="119" t="s">
        <v>159</v>
      </c>
      <c r="E162" s="119" t="s">
        <v>206</v>
      </c>
      <c r="F162" s="119" t="s">
        <v>68</v>
      </c>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row>
    <row r="163" spans="1:47" outlineLevel="1">
      <c r="A163" s="149" t="str">
        <f>Zynq!A21</f>
        <v>PS_CLK</v>
      </c>
      <c r="B163" s="120" t="str">
        <f>IF(B4="",'Warning Messages'!B12,IF(B4="Zynq-7000",Zynq!B21,'Warning Messages'!B17))</f>
        <v>Insufficient data selection: Family information is blank.</v>
      </c>
      <c r="C163" s="131"/>
      <c r="D163" s="110"/>
      <c r="E163" s="122" t="str">
        <f>IF(B4="Zynq-7000",""&amp;Zynq!C21,"")</f>
        <v/>
      </c>
      <c r="F163" s="129"/>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row>
    <row r="164" spans="1:47" ht="25.5" outlineLevel="1">
      <c r="A164" s="148" t="str">
        <f>Zynq!A22</f>
        <v>PS_POR_B
PS power-on reset</v>
      </c>
      <c r="B164" s="93" t="str">
        <f>IF(B4="",'Warning Messages'!B12,IF(B4="Zynq-7000",Zynq!B22,'Warning Messages'!B17))</f>
        <v>Insufficient data selection: Family information is blank.</v>
      </c>
      <c r="C164" s="130"/>
      <c r="D164" s="111"/>
      <c r="E164" s="95" t="str">
        <f>IF(B4="Zynq-7000",""&amp;Zynq!C22,"")</f>
        <v/>
      </c>
      <c r="F164" s="11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row>
    <row r="165" spans="1:47" ht="25.5" outlineLevel="1">
      <c r="A165" s="148" t="str">
        <f>Zynq!A23</f>
        <v>PS_SRST_B
PS system reset</v>
      </c>
      <c r="B165" s="93" t="str">
        <f>IF(B4="",'Warning Messages'!B12,IF(B4="Zynq-7000",Zynq!B23,'Warning Messages'!B17))</f>
        <v>Insufficient data selection: Family information is blank.</v>
      </c>
      <c r="C165" s="130"/>
      <c r="D165" s="111"/>
      <c r="E165" s="95" t="str">
        <f>IF(B4="Zynq-7000",""&amp;Zynq!C23,"")</f>
        <v/>
      </c>
      <c r="F165" s="11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row>
    <row r="166" spans="1:47" ht="25.5" outlineLevel="1">
      <c r="A166" s="148" t="str">
        <f>Zynq!A24</f>
        <v>vmode [1:0] = MIO[8:7]
I/O bank voltage</v>
      </c>
      <c r="B166" s="93" t="str">
        <f>IF(B4="",'Warning Messages'!B12,IF(B4="Zynq-7000",Zynq!B24,'Warning Messages'!B17))</f>
        <v>Insufficient data selection: Family information is blank.</v>
      </c>
      <c r="C166" s="130"/>
      <c r="D166" s="111"/>
      <c r="E166" s="95" t="str">
        <f>IF(B4="Zynq-7000",""&amp;Zynq!C24,"")</f>
        <v/>
      </c>
      <c r="F166" s="11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row>
    <row r="167" spans="1:47" ht="38.25" outlineLevel="1">
      <c r="A167" s="148" t="str">
        <f>Zynq!A25</f>
        <v xml:space="preserve">BOOT_MODE[3] = MIO[2]
JTAG mode
</v>
      </c>
      <c r="B167" s="93" t="str">
        <f>IF(B4="",'Warning Messages'!B12,IF(B4="Zynq-7000",Zynq!B25,'Warning Messages'!B17))</f>
        <v>Insufficient data selection: Family information is blank.</v>
      </c>
      <c r="C167" s="130"/>
      <c r="D167" s="111"/>
      <c r="E167" s="95" t="str">
        <f>IF(B4="Zynq-7000",""&amp;Zynq!C25,"")</f>
        <v/>
      </c>
      <c r="F167" s="11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row>
    <row r="168" spans="1:47" ht="25.5" outlineLevel="1">
      <c r="A168" s="148" t="str">
        <f>Zynq!A26</f>
        <v>BOOT_MODE[2:0] = MIO[5:3]
Boot devices</v>
      </c>
      <c r="B168" s="93" t="str">
        <f>IF(B4="",'Warning Messages'!B12,IF(B4="Zynq-7000",Zynq!B26,'Warning Messages'!B17))</f>
        <v>Insufficient data selection: Family information is blank.</v>
      </c>
      <c r="C168" s="130"/>
      <c r="D168" s="111"/>
      <c r="E168" s="95" t="str">
        <f>IF(B4="Zynq-7000",""&amp;Zynq!C26,"")</f>
        <v/>
      </c>
      <c r="F168" s="11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row>
    <row r="169" spans="1:47" ht="25.5" outlineLevel="1">
      <c r="A169" s="148" t="str">
        <f>Zynq!A27</f>
        <v>BOOT_MODE[4] = MIO[6] PLL mode</v>
      </c>
      <c r="B169" s="93" t="str">
        <f>IF(B4="",'Warning Messages'!B12,IF(B4="Zynq-7000",Zynq!B27,'Warning Messages'!B17))</f>
        <v>Insufficient data selection: Family information is blank.</v>
      </c>
      <c r="C169" s="130"/>
      <c r="D169" s="111"/>
      <c r="E169" s="95" t="str">
        <f>IF(B4="Zynq-7000",""&amp;Zynq!C27,"")</f>
        <v/>
      </c>
      <c r="F169" s="11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row>
    <row r="170" spans="1:47" outlineLevel="1">
      <c r="A170" s="148" t="str">
        <f>Zynq!A28</f>
        <v>CASCADED JTAG</v>
      </c>
      <c r="B170" s="93" t="str">
        <f>IF(B4="",'Warning Messages'!B12,IF(B4="Zynq-7000",Zynq!B28,'Warning Messages'!B17))</f>
        <v>Insufficient data selection: Family information is blank.</v>
      </c>
      <c r="C170" s="130"/>
      <c r="D170" s="111"/>
      <c r="E170" s="95" t="str">
        <f>IF(B4="Zynq-7000",""&amp;Zynq!C28,"")</f>
        <v/>
      </c>
      <c r="F170" s="11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row>
    <row r="171" spans="1:47" outlineLevel="1">
      <c r="A171" s="144" t="str">
        <f>Zynq!A29</f>
        <v>INDEPENDENT JTAG</v>
      </c>
      <c r="B171" s="92" t="str">
        <f>IF(B4="",'Warning Messages'!B12,IF(B4="Zynq-7000",Zynq!B29,'Warning Messages'!B17))</f>
        <v>Insufficient data selection: Family information is blank.</v>
      </c>
      <c r="C171" s="112"/>
      <c r="D171" s="111"/>
      <c r="E171" s="94" t="str">
        <f>IF(B4="Zynq-7000",""&amp;Zynq!C29,"")</f>
        <v/>
      </c>
      <c r="F171" s="11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row>
    <row r="172" spans="1:47" outlineLevel="1">
      <c r="A172" s="144" t="str">
        <f>Zynq!A33</f>
        <v>Note: PUDC_B</v>
      </c>
      <c r="B172" s="92" t="str">
        <f>IF(B4="",'Warning Messages'!B12,IF(B4="Zynq-7000",Zynq!B33,'Warning Messages'!B17))</f>
        <v>Insufficient data selection: Family information is blank.</v>
      </c>
      <c r="C172" s="112"/>
      <c r="D172" s="111"/>
      <c r="E172" s="94" t="str">
        <f>IF(B5="Zynq-7000",""&amp;Zynq!C30,"")</f>
        <v/>
      </c>
      <c r="F172" s="11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row>
    <row r="173" spans="1:47">
      <c r="A173" s="113"/>
      <c r="B173" s="113"/>
      <c r="C173" s="113"/>
      <c r="D173" s="113"/>
      <c r="E173" s="113"/>
      <c r="F173" s="113"/>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row>
    <row r="174" spans="1:47">
      <c r="A174" s="225" t="s">
        <v>590</v>
      </c>
      <c r="B174" s="226"/>
      <c r="C174" s="226"/>
      <c r="D174" s="226"/>
      <c r="E174" s="226"/>
      <c r="F174" s="227"/>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row>
    <row r="175" spans="1:47" outlineLevel="1">
      <c r="A175" s="144" t="s">
        <v>144</v>
      </c>
      <c r="B175" s="118" t="s">
        <v>588</v>
      </c>
      <c r="C175" s="113"/>
      <c r="D175" s="113"/>
      <c r="E175" s="113"/>
      <c r="F175" s="113"/>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row>
    <row r="176" spans="1:47" outlineLevel="1">
      <c r="A176" s="113"/>
      <c r="B176" s="113"/>
      <c r="C176" s="113"/>
      <c r="D176" s="113"/>
      <c r="E176" s="113"/>
      <c r="F176" s="113"/>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row>
    <row r="177" spans="1:47" outlineLevel="1">
      <c r="A177" s="124" t="s">
        <v>176</v>
      </c>
      <c r="B177" s="125" t="s">
        <v>157</v>
      </c>
      <c r="C177" s="125" t="s">
        <v>158</v>
      </c>
      <c r="D177" s="125" t="s">
        <v>159</v>
      </c>
      <c r="E177" s="125" t="s">
        <v>206</v>
      </c>
      <c r="F177" s="126" t="s">
        <v>68</v>
      </c>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row>
    <row r="178" spans="1:47" outlineLevel="1">
      <c r="A178" s="149" t="str">
        <f>Zynq!A30</f>
        <v>DDR Termination</v>
      </c>
      <c r="B178" s="120" t="str">
        <f>IF(B4="",'Warning Messages'!B12,IF(B4="Zynq-7000",Zynq!B30,'Warning Messages'!B17))</f>
        <v>Insufficient data selection: Family information is blank.</v>
      </c>
      <c r="C178" s="131"/>
      <c r="D178" s="110"/>
      <c r="E178" s="122" t="str">
        <f>IF(B4="Zynq-7000",""&amp;Zynq!C30,"")</f>
        <v/>
      </c>
      <c r="F178" s="129"/>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row>
    <row r="179" spans="1:47" ht="25.5" outlineLevel="1">
      <c r="A179" s="148" t="str">
        <f>Zynq!A31</f>
        <v>DDR_CK_P
DDR_CK_N</v>
      </c>
      <c r="B179" s="93" t="str">
        <f>IF(B4="",'Warning Messages'!B12,IF(B4="Zynq-7000",Zynq!B31,'Warning Messages'!B17))</f>
        <v>Insufficient data selection: Family information is blank.</v>
      </c>
      <c r="C179" s="130"/>
      <c r="D179" s="111"/>
      <c r="E179" s="95" t="str">
        <f>IF(B4="Zynq-7000",""&amp;Zynq!C31,"")</f>
        <v/>
      </c>
      <c r="F179" s="11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row>
    <row r="180" spans="1:47" ht="25.5" outlineLevel="1">
      <c r="A180" s="144" t="str">
        <f>Zynq!A32</f>
        <v xml:space="preserve">DDR topology
</v>
      </c>
      <c r="B180" s="92" t="str">
        <f>IF(B4="",'Warning Messages'!B12,IF(B4="Zynq-7000",Zynq!B32,'Warning Messages'!B17))</f>
        <v>Insufficient data selection: Family information is blank.</v>
      </c>
      <c r="C180" s="112"/>
      <c r="D180" s="111"/>
      <c r="E180" s="94" t="str">
        <f>IF(B4="Zynq-7000",""&amp;Zynq!C32,"")</f>
        <v/>
      </c>
      <c r="F180" s="11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row>
    <row r="181" spans="1:47" outlineLevel="1">
      <c r="A181" s="148" t="str">
        <f>Zynq!A13</f>
        <v>PS_DDR_VRP</v>
      </c>
      <c r="B181" s="92" t="str">
        <f>IF(B4="",'Warning Messages'!B12,IF(B4="Zynq-7000",Zynq!B13,'Warning Messages'!B17))</f>
        <v>Insufficient data selection: Family information is blank.</v>
      </c>
      <c r="C181" s="130"/>
      <c r="D181" s="111"/>
      <c r="E181" s="95" t="str">
        <f>IF(B35="Zynq-7000",""&amp;Zynq!C44,"")</f>
        <v/>
      </c>
      <c r="F181" s="11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row>
    <row r="182" spans="1:47" outlineLevel="1">
      <c r="A182" s="148" t="str">
        <f>Zynq!A14</f>
        <v>PS_DDR_VRN</v>
      </c>
      <c r="B182" s="92" t="str">
        <f>IF(B4="",'Warning Messages'!B12,IF(B4="Zynq-7000",Zynq!B14,'Warning Messages'!B17))</f>
        <v>Insufficient data selection: Family information is blank.</v>
      </c>
      <c r="C182" s="130"/>
      <c r="D182" s="111"/>
      <c r="E182" s="95" t="str">
        <f>IF(B35="Zynq-7000",""&amp;Zynq!C45,"")</f>
        <v/>
      </c>
      <c r="F182" s="11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row>
    <row r="183" spans="1:47" outlineLevel="1">
      <c r="A183" s="148" t="str">
        <f>Zynq!A15</f>
        <v>DDR ZQ Pin</v>
      </c>
      <c r="B183" s="92" t="str">
        <f>IF(B4="",'Warning Messages'!B12,IF(B4="Zynq-7000",Zynq!B15,'Warning Messages'!B17))</f>
        <v>Insufficient data selection: Family information is blank.</v>
      </c>
      <c r="C183" s="130"/>
      <c r="D183" s="111"/>
      <c r="E183" s="95" t="str">
        <f>IF(B35="Zynq-7000",""&amp;Zynq!C46,"")</f>
        <v/>
      </c>
      <c r="F183" s="11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row>
    <row r="184" spans="1:47" outlineLevel="1">
      <c r="A184" s="148" t="str">
        <f>Zynq!A16</f>
        <v>LPDDR2 simulation</v>
      </c>
      <c r="B184" s="92" t="str">
        <f>IF(B4="",'Warning Messages'!B12,IF(B4="Zynq-7000",Zynq!B16,'Warning Messages'!B17))</f>
        <v>Insufficient data selection: Family information is blank.</v>
      </c>
      <c r="C184" s="130"/>
      <c r="D184" s="111"/>
      <c r="E184" s="95" t="str">
        <f>IF(B35="Zynq-7000",""&amp;Zynq!C47,"")</f>
        <v/>
      </c>
      <c r="F184" s="11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row>
    <row r="185" spans="1:47" outlineLevel="1">
      <c r="A185" s="113"/>
      <c r="B185" s="113"/>
      <c r="C185" s="113"/>
      <c r="D185" s="113"/>
      <c r="E185" s="113"/>
      <c r="F185" s="113"/>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row>
    <row r="186" spans="1:47">
      <c r="A186" s="113"/>
      <c r="B186" s="113"/>
      <c r="C186" s="113"/>
      <c r="D186" s="113"/>
      <c r="E186" s="113"/>
      <c r="F186" s="113"/>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row>
    <row r="187" spans="1:47">
      <c r="A187" s="225" t="s">
        <v>591</v>
      </c>
      <c r="B187" s="226"/>
      <c r="C187" s="226"/>
      <c r="D187" s="226"/>
      <c r="E187" s="226"/>
      <c r="F187" s="227"/>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row>
    <row r="188" spans="1:47" outlineLevel="1">
      <c r="A188" s="113"/>
      <c r="B188" s="113"/>
      <c r="C188" s="113"/>
      <c r="D188" s="113"/>
      <c r="E188" s="113"/>
      <c r="F188" s="113"/>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row>
    <row r="189" spans="1:47" outlineLevel="1">
      <c r="A189" s="113"/>
      <c r="B189" s="113"/>
      <c r="C189" s="113"/>
      <c r="D189" s="113"/>
      <c r="E189" s="113"/>
      <c r="F189" s="113"/>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row>
    <row r="190" spans="1:47" outlineLevel="1">
      <c r="A190" s="119" t="s">
        <v>592</v>
      </c>
      <c r="B190" s="119" t="s">
        <v>593</v>
      </c>
      <c r="C190" s="113"/>
      <c r="D190" s="113"/>
      <c r="E190" s="113"/>
      <c r="F190" s="113"/>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row>
    <row r="191" spans="1:47" outlineLevel="1">
      <c r="A191" s="142" t="s">
        <v>361</v>
      </c>
      <c r="B191" s="127"/>
      <c r="C191" s="113"/>
      <c r="D191" s="113"/>
      <c r="E191" s="113"/>
      <c r="F191" s="113"/>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row>
    <row r="192" spans="1:47" outlineLevel="1">
      <c r="A192" s="142" t="s">
        <v>362</v>
      </c>
      <c r="B192" s="127"/>
      <c r="C192" s="113"/>
      <c r="D192" s="113"/>
      <c r="E192" s="113"/>
      <c r="F192" s="113"/>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row>
    <row r="193" spans="1:47" outlineLevel="1">
      <c r="A193" s="142" t="s">
        <v>363</v>
      </c>
      <c r="B193" s="127"/>
      <c r="C193" s="113"/>
      <c r="D193" s="113"/>
      <c r="E193" s="113"/>
      <c r="F193" s="113"/>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row>
    <row r="194" spans="1:47" outlineLevel="1">
      <c r="A194" s="142" t="s">
        <v>364</v>
      </c>
      <c r="B194" s="127"/>
      <c r="C194" s="113"/>
      <c r="D194" s="113"/>
      <c r="E194" s="113"/>
      <c r="F194" s="113"/>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row>
    <row r="195" spans="1:47" outlineLevel="1">
      <c r="A195" s="142" t="s">
        <v>365</v>
      </c>
      <c r="B195" s="127"/>
      <c r="C195" s="113"/>
      <c r="D195" s="113"/>
      <c r="E195" s="113"/>
      <c r="F195" s="113"/>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row>
    <row r="196" spans="1:47" outlineLevel="1">
      <c r="A196" s="142" t="s">
        <v>366</v>
      </c>
      <c r="B196" s="127"/>
      <c r="C196" s="113"/>
      <c r="D196" s="113"/>
      <c r="E196" s="113"/>
      <c r="F196" s="113"/>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row>
    <row r="197" spans="1:47" outlineLevel="1">
      <c r="A197" s="142" t="s">
        <v>367</v>
      </c>
      <c r="B197" s="127"/>
      <c r="C197" s="113"/>
      <c r="D197" s="113"/>
      <c r="E197" s="113"/>
      <c r="F197" s="113"/>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row>
    <row r="198" spans="1:47" outlineLevel="1">
      <c r="A198" s="142" t="s">
        <v>368</v>
      </c>
      <c r="B198" s="127"/>
      <c r="C198" s="113"/>
      <c r="D198" s="113"/>
      <c r="E198" s="113"/>
      <c r="F198" s="113"/>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row>
    <row r="199" spans="1:47" outlineLevel="1">
      <c r="A199" s="142" t="s">
        <v>369</v>
      </c>
      <c r="B199" s="127"/>
      <c r="C199" s="113"/>
      <c r="D199" s="113"/>
      <c r="E199" s="113"/>
      <c r="F199" s="113"/>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row>
    <row r="200" spans="1:47" outlineLevel="1">
      <c r="A200" s="142" t="s">
        <v>370</v>
      </c>
      <c r="B200" s="127"/>
      <c r="C200" s="113"/>
      <c r="D200" s="113"/>
      <c r="E200" s="113"/>
      <c r="F200" s="113"/>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row>
    <row r="201" spans="1:47" outlineLevel="1">
      <c r="A201" s="142" t="s">
        <v>371</v>
      </c>
      <c r="B201" s="127"/>
      <c r="C201" s="113"/>
      <c r="D201" s="113"/>
      <c r="E201" s="113"/>
      <c r="F201" s="113"/>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row>
    <row r="202" spans="1:47" outlineLevel="1">
      <c r="A202" s="142" t="s">
        <v>372</v>
      </c>
      <c r="B202" s="127"/>
      <c r="C202" s="113"/>
      <c r="D202" s="113"/>
      <c r="E202" s="113"/>
      <c r="F202" s="113"/>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row>
    <row r="203" spans="1:47" outlineLevel="1">
      <c r="A203" s="142" t="s">
        <v>373</v>
      </c>
      <c r="B203" s="127"/>
      <c r="C203" s="113"/>
      <c r="D203" s="113"/>
      <c r="E203" s="113"/>
      <c r="F203" s="113"/>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row>
    <row r="204" spans="1:47" outlineLevel="1">
      <c r="A204" s="142" t="s">
        <v>374</v>
      </c>
      <c r="B204" s="127"/>
      <c r="C204" s="113"/>
      <c r="D204" s="113"/>
      <c r="E204" s="113"/>
      <c r="F204" s="113"/>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row>
    <row r="205" spans="1:47" outlineLevel="1">
      <c r="A205" s="142" t="s">
        <v>375</v>
      </c>
      <c r="B205" s="127"/>
      <c r="C205" s="113"/>
      <c r="D205" s="113"/>
      <c r="E205" s="113"/>
      <c r="F205" s="113"/>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row>
    <row r="206" spans="1:47" outlineLevel="1">
      <c r="A206" s="142" t="s">
        <v>376</v>
      </c>
      <c r="B206" s="127"/>
      <c r="C206" s="113"/>
      <c r="D206" s="113"/>
      <c r="E206" s="113"/>
      <c r="F206" s="113"/>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row>
    <row r="207" spans="1:47" outlineLevel="1">
      <c r="A207" s="142" t="s">
        <v>377</v>
      </c>
      <c r="B207" s="127"/>
      <c r="C207" s="113"/>
      <c r="D207" s="113"/>
      <c r="E207" s="113"/>
      <c r="F207" s="113"/>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row>
    <row r="208" spans="1:47" outlineLevel="1">
      <c r="A208" s="142" t="s">
        <v>378</v>
      </c>
      <c r="B208" s="127"/>
      <c r="C208" s="113"/>
      <c r="D208" s="113"/>
      <c r="E208" s="113"/>
      <c r="F208" s="113"/>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row>
    <row r="209" spans="1:47" outlineLevel="1">
      <c r="A209" s="142" t="s">
        <v>379</v>
      </c>
      <c r="B209" s="127"/>
      <c r="C209" s="113"/>
      <c r="D209" s="113"/>
      <c r="E209" s="113"/>
      <c r="F209" s="113"/>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row>
    <row r="210" spans="1:47" outlineLevel="1">
      <c r="A210" s="142" t="s">
        <v>380</v>
      </c>
      <c r="B210" s="127"/>
      <c r="C210" s="113"/>
      <c r="D210" s="113"/>
      <c r="E210" s="113"/>
      <c r="F210" s="113"/>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row>
    <row r="211" spans="1:47" outlineLevel="1">
      <c r="A211" s="142" t="s">
        <v>381</v>
      </c>
      <c r="B211" s="127"/>
      <c r="C211" s="113"/>
      <c r="D211" s="113"/>
      <c r="E211" s="113"/>
      <c r="F211" s="113"/>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row>
    <row r="212" spans="1:47" outlineLevel="1">
      <c r="A212" s="142" t="s">
        <v>382</v>
      </c>
      <c r="B212" s="127"/>
      <c r="C212" s="113"/>
      <c r="D212" s="113"/>
      <c r="E212" s="113"/>
      <c r="F212" s="113"/>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row>
    <row r="213" spans="1:47" outlineLevel="1">
      <c r="A213" s="142" t="s">
        <v>383</v>
      </c>
      <c r="B213" s="127"/>
      <c r="C213" s="113"/>
      <c r="D213" s="113"/>
      <c r="E213" s="113"/>
      <c r="F213" s="113"/>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row>
    <row r="214" spans="1:47" outlineLevel="1">
      <c r="A214" s="142" t="s">
        <v>384</v>
      </c>
      <c r="B214" s="127"/>
      <c r="C214" s="113"/>
      <c r="D214" s="113"/>
      <c r="E214" s="113"/>
      <c r="F214" s="113"/>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row>
    <row r="215" spans="1:47" outlineLevel="1">
      <c r="A215" s="142" t="s">
        <v>385</v>
      </c>
      <c r="B215" s="127"/>
      <c r="C215" s="113"/>
      <c r="D215" s="113"/>
      <c r="E215" s="113"/>
      <c r="F215" s="113"/>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row>
    <row r="216" spans="1:47" outlineLevel="1">
      <c r="A216" s="142" t="s">
        <v>386</v>
      </c>
      <c r="B216" s="127"/>
      <c r="C216" s="113"/>
      <c r="D216" s="113"/>
      <c r="E216" s="113"/>
      <c r="F216" s="113"/>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row>
    <row r="217" spans="1:47" outlineLevel="1">
      <c r="A217" s="142" t="s">
        <v>387</v>
      </c>
      <c r="B217" s="127"/>
      <c r="C217" s="113"/>
      <c r="D217" s="113"/>
      <c r="E217" s="113"/>
      <c r="F217" s="113"/>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row>
    <row r="218" spans="1:47" outlineLevel="1">
      <c r="A218" s="142" t="s">
        <v>388</v>
      </c>
      <c r="B218" s="127"/>
      <c r="C218" s="113"/>
      <c r="D218" s="113"/>
      <c r="E218" s="113"/>
      <c r="F218" s="113"/>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row>
    <row r="219" spans="1:47" outlineLevel="1">
      <c r="A219" s="142" t="s">
        <v>389</v>
      </c>
      <c r="B219" s="127"/>
      <c r="C219" s="113"/>
      <c r="D219" s="113"/>
      <c r="E219" s="113"/>
      <c r="F219" s="113"/>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row>
    <row r="220" spans="1:47" outlineLevel="1">
      <c r="A220" s="142" t="s">
        <v>390</v>
      </c>
      <c r="B220" s="127"/>
      <c r="C220" s="113"/>
      <c r="D220" s="113"/>
      <c r="E220" s="113"/>
      <c r="F220" s="113"/>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row>
    <row r="221" spans="1:47" outlineLevel="1">
      <c r="A221" s="142" t="s">
        <v>391</v>
      </c>
      <c r="B221" s="127"/>
      <c r="C221" s="113"/>
      <c r="D221" s="113"/>
      <c r="E221" s="113"/>
      <c r="F221" s="113"/>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row>
    <row r="222" spans="1:47" outlineLevel="1">
      <c r="A222" s="142" t="s">
        <v>392</v>
      </c>
      <c r="B222" s="127"/>
      <c r="C222" s="113"/>
      <c r="D222" s="113"/>
      <c r="E222" s="113"/>
      <c r="F222" s="113"/>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c r="AQ222" s="82"/>
      <c r="AR222" s="82"/>
      <c r="AS222" s="82"/>
      <c r="AT222" s="82"/>
      <c r="AU222" s="82"/>
    </row>
    <row r="223" spans="1:47" outlineLevel="1">
      <c r="A223" s="142" t="s">
        <v>393</v>
      </c>
      <c r="B223" s="127"/>
      <c r="C223" s="113"/>
      <c r="D223" s="113"/>
      <c r="E223" s="113"/>
      <c r="F223" s="113"/>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82"/>
      <c r="AS223" s="82"/>
      <c r="AT223" s="82"/>
      <c r="AU223" s="82"/>
    </row>
    <row r="224" spans="1:47" outlineLevel="1">
      <c r="A224" s="142" t="s">
        <v>394</v>
      </c>
      <c r="B224" s="127"/>
      <c r="C224" s="113"/>
      <c r="D224" s="113"/>
      <c r="E224" s="113"/>
      <c r="F224" s="113"/>
      <c r="G224" s="82"/>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c r="AQ224" s="82"/>
      <c r="AR224" s="82"/>
      <c r="AS224" s="82"/>
      <c r="AT224" s="82"/>
      <c r="AU224" s="82"/>
    </row>
    <row r="225" spans="1:47" outlineLevel="1">
      <c r="A225" s="142" t="s">
        <v>1732</v>
      </c>
      <c r="B225" s="127"/>
      <c r="C225" s="113"/>
      <c r="D225" s="113"/>
      <c r="E225" s="113"/>
      <c r="F225" s="113"/>
      <c r="G225" s="82"/>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82"/>
      <c r="AS225" s="82"/>
      <c r="AT225" s="82"/>
      <c r="AU225" s="82"/>
    </row>
    <row r="226" spans="1:47" outlineLevel="1">
      <c r="A226" s="142" t="s">
        <v>395</v>
      </c>
      <c r="B226" s="127"/>
      <c r="C226" s="113"/>
      <c r="D226" s="113"/>
      <c r="E226" s="113"/>
      <c r="F226" s="113"/>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row>
    <row r="227" spans="1:47" outlineLevel="1">
      <c r="A227" s="142" t="s">
        <v>398</v>
      </c>
      <c r="B227" s="127"/>
      <c r="C227" s="113"/>
      <c r="D227" s="113"/>
      <c r="E227" s="113"/>
      <c r="F227" s="113"/>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c r="AS227" s="82"/>
      <c r="AT227" s="82"/>
      <c r="AU227" s="82"/>
    </row>
    <row r="228" spans="1:47" outlineLevel="1">
      <c r="A228" s="151" t="s">
        <v>396</v>
      </c>
      <c r="B228" s="128"/>
      <c r="C228" s="113"/>
      <c r="D228" s="113"/>
      <c r="E228" s="113"/>
      <c r="F228" s="113"/>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82"/>
      <c r="AS228" s="82"/>
      <c r="AT228" s="82"/>
      <c r="AU228" s="82"/>
    </row>
    <row r="229" spans="1:47" outlineLevel="1">
      <c r="A229" s="142" t="s">
        <v>655</v>
      </c>
      <c r="B229" s="127"/>
      <c r="C229" s="113"/>
      <c r="D229" s="113"/>
      <c r="E229" s="113"/>
      <c r="F229" s="113"/>
      <c r="G229" s="82"/>
      <c r="H229" s="82"/>
      <c r="I229" s="82"/>
      <c r="J229" s="82"/>
      <c r="K229" s="82"/>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82"/>
      <c r="AS229" s="82"/>
      <c r="AT229" s="82"/>
      <c r="AU229" s="82"/>
    </row>
    <row r="230" spans="1:47" outlineLevel="1">
      <c r="A230" s="142" t="s">
        <v>656</v>
      </c>
      <c r="B230" s="127"/>
      <c r="C230" s="113"/>
      <c r="D230" s="113"/>
      <c r="E230" s="113"/>
      <c r="F230" s="113"/>
      <c r="G230" s="82"/>
      <c r="H230" s="82"/>
      <c r="I230" s="82"/>
      <c r="J230" s="82"/>
      <c r="K230" s="82"/>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row>
    <row r="231" spans="1:47" outlineLevel="1">
      <c r="A231" s="113"/>
      <c r="B231" s="113"/>
      <c r="C231" s="113"/>
      <c r="D231" s="113"/>
      <c r="E231" s="113"/>
      <c r="F231" s="113"/>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82"/>
      <c r="AS231" s="82"/>
      <c r="AT231" s="82"/>
      <c r="AU231" s="82"/>
    </row>
    <row r="232" spans="1:47" outlineLevel="1">
      <c r="A232" s="119" t="s">
        <v>176</v>
      </c>
      <c r="B232" s="119" t="str">
        <f>IF(B4="Zynq-7000","MIO pin not used",IF(B4="",'Warning Messages'!B12,'Warning Messages'!B17))</f>
        <v>Insufficient data selection: Family information is blank.</v>
      </c>
      <c r="C232" s="119" t="s">
        <v>158</v>
      </c>
      <c r="D232" s="119" t="s">
        <v>159</v>
      </c>
      <c r="E232" s="119" t="s">
        <v>206</v>
      </c>
      <c r="F232" s="119" t="s">
        <v>68</v>
      </c>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82"/>
      <c r="AS232" s="82"/>
      <c r="AT232" s="82"/>
      <c r="AU232" s="82"/>
    </row>
    <row r="233" spans="1:47" outlineLevel="1">
      <c r="A233" s="149" t="s">
        <v>594</v>
      </c>
      <c r="B233" s="120" t="str">
        <f>IF(B4="Zynq-7000","MIO pin not used",IF(B4="",'Warning Messages'!B12,'Warning Messages'!B17))</f>
        <v>Insufficient data selection: Family information is blank.</v>
      </c>
      <c r="C233" s="131"/>
      <c r="D233" s="110"/>
      <c r="E233" s="162"/>
      <c r="F233" s="129"/>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82"/>
      <c r="AS233" s="82"/>
      <c r="AT233" s="82"/>
      <c r="AU233" s="82"/>
    </row>
    <row r="234" spans="1:47" outlineLevel="1">
      <c r="A234" s="148" t="s">
        <v>595</v>
      </c>
      <c r="B234" s="93" t="str">
        <f>IF(B4="Zynq-7000","MIO pin not used",IF(B4="",'Warning Messages'!B12,'Warning Messages'!B17))</f>
        <v>Insufficient data selection: Family information is blank.</v>
      </c>
      <c r="C234" s="130"/>
      <c r="D234" s="111"/>
      <c r="E234" s="163"/>
      <c r="F234" s="11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82"/>
      <c r="AS234" s="82"/>
      <c r="AT234" s="82"/>
      <c r="AU234" s="82"/>
    </row>
    <row r="235" spans="1:47" outlineLevel="1">
      <c r="A235" s="148" t="s">
        <v>596</v>
      </c>
      <c r="B235" s="93" t="str">
        <f>IF(B4="Zynq-7000","MIO pin not used",IF(B4="",'Warning Messages'!B12,'Warning Messages'!B17))</f>
        <v>Insufficient data selection: Family information is blank.</v>
      </c>
      <c r="C235" s="130"/>
      <c r="D235" s="111"/>
      <c r="E235" s="163"/>
      <c r="F235" s="11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row>
    <row r="236" spans="1:47" outlineLevel="1">
      <c r="A236" s="148" t="s">
        <v>597</v>
      </c>
      <c r="B236" s="93" t="str">
        <f>IF(B4="Zynq-7000","MIO pin not used",IF(B4="",'Warning Messages'!B12,'Warning Messages'!B17))</f>
        <v>Insufficient data selection: Family information is blank.</v>
      </c>
      <c r="C236" s="130"/>
      <c r="D236" s="111"/>
      <c r="E236" s="163"/>
      <c r="F236" s="112"/>
      <c r="G236" s="82"/>
      <c r="H236" s="82"/>
      <c r="I236" s="82"/>
      <c r="J236" s="82"/>
      <c r="K236" s="82"/>
      <c r="L236" s="82"/>
      <c r="M236" s="82"/>
      <c r="N236" s="82"/>
      <c r="O236" s="82"/>
      <c r="P236" s="82"/>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c r="AQ236" s="82"/>
      <c r="AR236" s="82"/>
      <c r="AS236" s="82"/>
      <c r="AT236" s="82"/>
      <c r="AU236" s="82"/>
    </row>
    <row r="237" spans="1:47" outlineLevel="1">
      <c r="A237" s="148" t="s">
        <v>598</v>
      </c>
      <c r="B237" s="93" t="str">
        <f>IF(B4="Zynq-7000","MIO pin not used",IF(B4="",'Warning Messages'!B12,'Warning Messages'!B17))</f>
        <v>Insufficient data selection: Family information is blank.</v>
      </c>
      <c r="C237" s="130"/>
      <c r="D237" s="111"/>
      <c r="E237" s="163"/>
      <c r="F237" s="112"/>
      <c r="G237" s="82"/>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82"/>
      <c r="AU237" s="82"/>
    </row>
    <row r="238" spans="1:47" outlineLevel="1">
      <c r="A238" s="148" t="s">
        <v>599</v>
      </c>
      <c r="B238" s="93" t="str">
        <f>IF(B4="Zynq-7000","MIO pin not used",IF(B4="",'Warning Messages'!B12,'Warning Messages'!B17))</f>
        <v>Insufficient data selection: Family information is blank.</v>
      </c>
      <c r="C238" s="130"/>
      <c r="D238" s="111"/>
      <c r="E238" s="163"/>
      <c r="F238" s="112"/>
      <c r="G238" s="82"/>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82"/>
      <c r="AU238" s="82"/>
    </row>
    <row r="239" spans="1:47" outlineLevel="1">
      <c r="A239" s="148" t="s">
        <v>600</v>
      </c>
      <c r="B239" s="93" t="str">
        <f>IF(B4="Zynq-7000","MIO pin not used",IF(B4="",'Warning Messages'!B12,'Warning Messages'!B17))</f>
        <v>Insufficient data selection: Family information is blank.</v>
      </c>
      <c r="C239" s="130"/>
      <c r="D239" s="111"/>
      <c r="E239" s="163"/>
      <c r="F239" s="112"/>
      <c r="G239" s="82"/>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82"/>
      <c r="AU239" s="82"/>
    </row>
    <row r="240" spans="1:47" outlineLevel="1">
      <c r="A240" s="148" t="s">
        <v>601</v>
      </c>
      <c r="B240" s="93" t="str">
        <f>IF(B4="Zynq-7000","MIO pin not used",IF(B4="",'Warning Messages'!B12,'Warning Messages'!B17))</f>
        <v>Insufficient data selection: Family information is blank.</v>
      </c>
      <c r="C240" s="130"/>
      <c r="D240" s="111"/>
      <c r="E240" s="163"/>
      <c r="F240" s="112"/>
      <c r="G240" s="82"/>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row>
    <row r="241" spans="1:47" outlineLevel="1">
      <c r="A241" s="148" t="s">
        <v>602</v>
      </c>
      <c r="B241" s="93" t="str">
        <f>IF(B4="Zynq-7000","MIO pin not used",IF(B4="",'Warning Messages'!B12,'Warning Messages'!B17))</f>
        <v>Insufficient data selection: Family information is blank.</v>
      </c>
      <c r="C241" s="130"/>
      <c r="D241" s="111"/>
      <c r="E241" s="163"/>
      <c r="F241" s="112"/>
      <c r="G241" s="82"/>
      <c r="H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row>
    <row r="242" spans="1:47" outlineLevel="1">
      <c r="A242" s="148" t="s">
        <v>603</v>
      </c>
      <c r="B242" s="93" t="str">
        <f>IF(B4="Zynq-7000","MIO pin not used",IF(B4="",'Warning Messages'!B12,'Warning Messages'!B17))</f>
        <v>Insufficient data selection: Family information is blank.</v>
      </c>
      <c r="C242" s="130"/>
      <c r="D242" s="111"/>
      <c r="E242" s="163"/>
      <c r="F242" s="112"/>
      <c r="G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row>
    <row r="243" spans="1:47" outlineLevel="1">
      <c r="A243" s="148" t="s">
        <v>604</v>
      </c>
      <c r="B243" s="93" t="str">
        <f>IF(B4="Zynq-7000","MIO pin not used",IF(B4="",'Warning Messages'!B12,'Warning Messages'!B17))</f>
        <v>Insufficient data selection: Family information is blank.</v>
      </c>
      <c r="C243" s="130"/>
      <c r="D243" s="111"/>
      <c r="E243" s="163"/>
      <c r="F243" s="112"/>
      <c r="G243" s="82"/>
      <c r="H243" s="82"/>
      <c r="I243" s="82"/>
      <c r="J243" s="82"/>
      <c r="K243" s="82"/>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row>
    <row r="244" spans="1:47" outlineLevel="1">
      <c r="A244" s="148" t="s">
        <v>605</v>
      </c>
      <c r="B244" s="93" t="str">
        <f>IF(B4="Zynq-7000","MIO pin not used",IF(B4="",'Warning Messages'!B12,'Warning Messages'!B17))</f>
        <v>Insufficient data selection: Family information is blank.</v>
      </c>
      <c r="C244" s="130"/>
      <c r="D244" s="111"/>
      <c r="E244" s="163"/>
      <c r="F244" s="112"/>
      <c r="G244" s="82"/>
      <c r="H244" s="82"/>
      <c r="I244" s="82"/>
      <c r="J244" s="82"/>
      <c r="K244" s="82"/>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row>
    <row r="245" spans="1:47" outlineLevel="1">
      <c r="A245" s="148" t="s">
        <v>606</v>
      </c>
      <c r="B245" s="93" t="str">
        <f>IF(B4="Zynq-7000","MIO pin not used",IF(B4="",'Warning Messages'!B12,'Warning Messages'!B17))</f>
        <v>Insufficient data selection: Family information is blank.</v>
      </c>
      <c r="C245" s="130"/>
      <c r="D245" s="111"/>
      <c r="E245" s="163"/>
      <c r="F245" s="112"/>
      <c r="G245" s="82"/>
      <c r="H245" s="82"/>
      <c r="I245" s="82"/>
      <c r="J245" s="82"/>
      <c r="K245" s="82"/>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row>
    <row r="246" spans="1:47" outlineLevel="1">
      <c r="A246" s="148" t="s">
        <v>607</v>
      </c>
      <c r="B246" s="93" t="str">
        <f>IF(B4="Zynq-7000","MIO pin not used",IF(B4="",'Warning Messages'!B12,'Warning Messages'!B17))</f>
        <v>Insufficient data selection: Family information is blank.</v>
      </c>
      <c r="C246" s="130"/>
      <c r="D246" s="111"/>
      <c r="E246" s="163"/>
      <c r="F246" s="11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row>
    <row r="247" spans="1:47" outlineLevel="1">
      <c r="A247" s="148" t="s">
        <v>608</v>
      </c>
      <c r="B247" s="93" t="str">
        <f>IF(B4="Zynq-7000","MIO pin not used",IF(B4="",'Warning Messages'!B12,'Warning Messages'!B17))</f>
        <v>Insufficient data selection: Family information is blank.</v>
      </c>
      <c r="C247" s="130"/>
      <c r="D247" s="111"/>
      <c r="E247" s="163"/>
      <c r="F247" s="112"/>
      <c r="G247" s="82"/>
      <c r="H247" s="82"/>
      <c r="I247" s="82"/>
      <c r="J247" s="82"/>
      <c r="K247" s="82"/>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row>
    <row r="248" spans="1:47" outlineLevel="1">
      <c r="A248" s="148" t="s">
        <v>609</v>
      </c>
      <c r="B248" s="93" t="str">
        <f>IF(B4="Zynq-7000","MIO pin not used",IF(B4="",'Warning Messages'!B12,'Warning Messages'!B17))</f>
        <v>Insufficient data selection: Family information is blank.</v>
      </c>
      <c r="C248" s="130"/>
      <c r="D248" s="111"/>
      <c r="E248" s="163"/>
      <c r="F248" s="112"/>
      <c r="G248" s="82"/>
      <c r="H248" s="82"/>
      <c r="I248" s="82"/>
      <c r="J248" s="82"/>
      <c r="K248" s="82"/>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row>
    <row r="249" spans="1:47" outlineLevel="1">
      <c r="A249" s="148" t="s">
        <v>610</v>
      </c>
      <c r="B249" s="93" t="str">
        <f>IF(B4="Zynq-7000","MIO pin not used",IF(B4="",'Warning Messages'!B12,'Warning Messages'!B17))</f>
        <v>Insufficient data selection: Family information is blank.</v>
      </c>
      <c r="C249" s="130"/>
      <c r="D249" s="111"/>
      <c r="E249" s="163"/>
      <c r="F249" s="11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row>
    <row r="250" spans="1:47" outlineLevel="1">
      <c r="A250" s="148" t="s">
        <v>611</v>
      </c>
      <c r="B250" s="93" t="str">
        <f>IF(B4="Zynq-7000","MIO pin not used",IF(B4="",'Warning Messages'!B12,'Warning Messages'!B17))</f>
        <v>Insufficient data selection: Family information is blank.</v>
      </c>
      <c r="C250" s="130"/>
      <c r="D250" s="111"/>
      <c r="E250" s="163"/>
      <c r="F250" s="112"/>
      <c r="G250" s="82"/>
      <c r="H250" s="82"/>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row>
    <row r="251" spans="1:47" outlineLevel="1">
      <c r="A251" s="148" t="s">
        <v>612</v>
      </c>
      <c r="B251" s="93" t="str">
        <f>IF(B4="Zynq-7000","MIO pin not used",IF(B4="",'Warning Messages'!B12,'Warning Messages'!B17))</f>
        <v>Insufficient data selection: Family information is blank.</v>
      </c>
      <c r="C251" s="130"/>
      <c r="D251" s="111"/>
      <c r="E251" s="163"/>
      <c r="F251" s="11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row>
    <row r="252" spans="1:47" outlineLevel="1">
      <c r="A252" s="148" t="s">
        <v>613</v>
      </c>
      <c r="B252" s="93" t="str">
        <f>IF(B4="Zynq-7000","MIO pin not used",IF(B4="",'Warning Messages'!B12,'Warning Messages'!B17))</f>
        <v>Insufficient data selection: Family information is blank.</v>
      </c>
      <c r="C252" s="130"/>
      <c r="D252" s="111"/>
      <c r="E252" s="163"/>
      <c r="F252" s="112"/>
      <c r="G252" s="82"/>
      <c r="H252" s="82"/>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c r="AQ252" s="82"/>
      <c r="AR252" s="82"/>
      <c r="AS252" s="82"/>
      <c r="AT252" s="82"/>
      <c r="AU252" s="82"/>
    </row>
    <row r="253" spans="1:47" outlineLevel="1">
      <c r="A253" s="148" t="s">
        <v>614</v>
      </c>
      <c r="B253" s="93" t="str">
        <f>IF(B4="Zynq-7000","MIO pin not used",IF(B4="",'Warning Messages'!B12,'Warning Messages'!B17))</f>
        <v>Insufficient data selection: Family information is blank.</v>
      </c>
      <c r="C253" s="130"/>
      <c r="D253" s="111"/>
      <c r="E253" s="163"/>
      <c r="F253" s="112"/>
      <c r="G253" s="82"/>
      <c r="H253" s="82"/>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c r="AQ253" s="82"/>
      <c r="AR253" s="82"/>
      <c r="AS253" s="82"/>
      <c r="AT253" s="82"/>
      <c r="AU253" s="82"/>
    </row>
    <row r="254" spans="1:47" outlineLevel="1">
      <c r="A254" s="148" t="s">
        <v>615</v>
      </c>
      <c r="B254" s="93" t="str">
        <f>IF(B4="Zynq-7000","MIO pin not used",IF(B4="",'Warning Messages'!B12,'Warning Messages'!B17))</f>
        <v>Insufficient data selection: Family information is blank.</v>
      </c>
      <c r="C254" s="130"/>
      <c r="D254" s="111"/>
      <c r="E254" s="163"/>
      <c r="F254" s="112"/>
      <c r="G254" s="82"/>
      <c r="H254" s="82"/>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c r="AQ254" s="82"/>
      <c r="AR254" s="82"/>
      <c r="AS254" s="82"/>
      <c r="AT254" s="82"/>
      <c r="AU254" s="82"/>
    </row>
    <row r="255" spans="1:47" outlineLevel="1">
      <c r="A255" s="148" t="s">
        <v>616</v>
      </c>
      <c r="B255" s="93" t="str">
        <f>IF(B4="Zynq-7000","MIO pin not used",IF(B4="",'Warning Messages'!B12,'Warning Messages'!B17))</f>
        <v>Insufficient data selection: Family information is blank.</v>
      </c>
      <c r="C255" s="130"/>
      <c r="D255" s="111"/>
      <c r="E255" s="163"/>
      <c r="F255" s="112"/>
      <c r="G255" s="82"/>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row>
    <row r="256" spans="1:47" outlineLevel="1">
      <c r="A256" s="148" t="s">
        <v>617</v>
      </c>
      <c r="B256" s="93" t="str">
        <f>IF(B4="Zynq-7000","MIO pin not used",IF(B4="",'Warning Messages'!B12,'Warning Messages'!B17))</f>
        <v>Insufficient data selection: Family information is blank.</v>
      </c>
      <c r="C256" s="130"/>
      <c r="D256" s="111"/>
      <c r="E256" s="163"/>
      <c r="F256" s="11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row>
    <row r="257" spans="1:47" outlineLevel="1">
      <c r="A257" s="148" t="s">
        <v>618</v>
      </c>
      <c r="B257" s="93" t="str">
        <f>IF(B4="Zynq-7000","MIO pin not used",IF(B4="",'Warning Messages'!B12,'Warning Messages'!B17))</f>
        <v>Insufficient data selection: Family information is blank.</v>
      </c>
      <c r="C257" s="130"/>
      <c r="D257" s="111"/>
      <c r="E257" s="163"/>
      <c r="F257" s="112"/>
      <c r="G257" s="82"/>
      <c r="H257" s="82"/>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row>
    <row r="258" spans="1:47" outlineLevel="1">
      <c r="A258" s="148" t="s">
        <v>619</v>
      </c>
      <c r="B258" s="93" t="str">
        <f>IF(B4="Zynq-7000","MIO pin not used",IF(B4="",'Warning Messages'!B12,'Warning Messages'!B17))</f>
        <v>Insufficient data selection: Family information is blank.</v>
      </c>
      <c r="C258" s="130"/>
      <c r="D258" s="111"/>
      <c r="E258" s="163"/>
      <c r="F258" s="112"/>
      <c r="G258" s="82"/>
      <c r="H258" s="82"/>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row>
    <row r="259" spans="1:47" outlineLevel="1">
      <c r="A259" s="148" t="s">
        <v>620</v>
      </c>
      <c r="B259" s="93" t="str">
        <f>IF(B4="Zynq-7000","MIO pin not used",IF(B4="",'Warning Messages'!B12,'Warning Messages'!B17))</f>
        <v>Insufficient data selection: Family information is blank.</v>
      </c>
      <c r="C259" s="130"/>
      <c r="D259" s="111"/>
      <c r="E259" s="163"/>
      <c r="F259" s="112"/>
      <c r="G259" s="82"/>
      <c r="H259" s="82"/>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row>
    <row r="260" spans="1:47" outlineLevel="1">
      <c r="A260" s="148" t="s">
        <v>621</v>
      </c>
      <c r="B260" s="93" t="str">
        <f>IF(B4="Zynq-7000","MIO pin not used",IF(B4="",'Warning Messages'!B12,'Warning Messages'!B17))</f>
        <v>Insufficient data selection: Family information is blank.</v>
      </c>
      <c r="C260" s="130"/>
      <c r="D260" s="111"/>
      <c r="E260" s="163"/>
      <c r="F260" s="112"/>
      <c r="G260" s="82"/>
      <c r="H260" s="82"/>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row>
    <row r="261" spans="1:47" outlineLevel="1">
      <c r="A261" s="148" t="s">
        <v>622</v>
      </c>
      <c r="B261" s="93" t="str">
        <f>IF(B4="Zynq-7000","MIO pin not used",IF(B4="",'Warning Messages'!B12,'Warning Messages'!B17))</f>
        <v>Insufficient data selection: Family information is blank.</v>
      </c>
      <c r="C261" s="130"/>
      <c r="D261" s="111"/>
      <c r="E261" s="163"/>
      <c r="F261" s="112"/>
      <c r="G261" s="82"/>
      <c r="H261" s="82"/>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row>
    <row r="262" spans="1:47" outlineLevel="1">
      <c r="A262" s="148" t="s">
        <v>623</v>
      </c>
      <c r="B262" s="93" t="str">
        <f>IF(B4="Zynq-7000","MIO pin not used",IF(B4="",'Warning Messages'!B12,'Warning Messages'!B17))</f>
        <v>Insufficient data selection: Family information is blank.</v>
      </c>
      <c r="C262" s="130"/>
      <c r="D262" s="111"/>
      <c r="E262" s="163"/>
      <c r="F262" s="112"/>
      <c r="G262" s="82"/>
      <c r="H262" s="82"/>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row>
    <row r="263" spans="1:47" outlineLevel="1">
      <c r="A263" s="148" t="s">
        <v>624</v>
      </c>
      <c r="B263" s="93" t="str">
        <f>IF(B4="Zynq-7000","MIO pin not used",IF(B4="",'Warning Messages'!B12,'Warning Messages'!B17))</f>
        <v>Insufficient data selection: Family information is blank.</v>
      </c>
      <c r="C263" s="130"/>
      <c r="D263" s="111"/>
      <c r="E263" s="163"/>
      <c r="F263" s="112"/>
      <c r="G263" s="82"/>
      <c r="H263" s="82"/>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row>
    <row r="264" spans="1:47" outlineLevel="1">
      <c r="A264" s="148" t="s">
        <v>625</v>
      </c>
      <c r="B264" s="93" t="str">
        <f>IF(B4="Zynq-7000","MIO pin not used",IF(B4="",'Warning Messages'!B12,'Warning Messages'!B17))</f>
        <v>Insufficient data selection: Family information is blank.</v>
      </c>
      <c r="C264" s="130"/>
      <c r="D264" s="111"/>
      <c r="E264" s="163"/>
      <c r="F264" s="112"/>
      <c r="G264" s="82"/>
      <c r="H264" s="82"/>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row>
    <row r="265" spans="1:47" outlineLevel="1">
      <c r="A265" s="148" t="s">
        <v>626</v>
      </c>
      <c r="B265" s="93" t="str">
        <f>IF(B4="Zynq-7000","MIO pin not used",IF(B4="",'Warning Messages'!B12,'Warning Messages'!B17))</f>
        <v>Insufficient data selection: Family information is blank.</v>
      </c>
      <c r="C265" s="130"/>
      <c r="D265" s="111"/>
      <c r="E265" s="163"/>
      <c r="F265" s="112"/>
      <c r="G265" s="82"/>
      <c r="H265" s="82"/>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row>
    <row r="266" spans="1:47" outlineLevel="1">
      <c r="A266" s="148" t="s">
        <v>627</v>
      </c>
      <c r="B266" s="93" t="str">
        <f>IF(B4="Zynq-7000","MIO pin not used",IF(B4="",'Warning Messages'!B12,'Warning Messages'!B17))</f>
        <v>Insufficient data selection: Family information is blank.</v>
      </c>
      <c r="C266" s="130"/>
      <c r="D266" s="111"/>
      <c r="E266" s="163"/>
      <c r="F266" s="112"/>
      <c r="G266" s="82"/>
      <c r="H266" s="82"/>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row>
    <row r="267" spans="1:47" outlineLevel="1">
      <c r="A267" s="148" t="s">
        <v>628</v>
      </c>
      <c r="B267" s="93" t="str">
        <f>IF(B4="Zynq-7000","MIO pin not used",IF(B4="",'Warning Messages'!B12,'Warning Messages'!B17))</f>
        <v>Insufficient data selection: Family information is blank.</v>
      </c>
      <c r="C267" s="130"/>
      <c r="D267" s="111"/>
      <c r="E267" s="163"/>
      <c r="F267" s="112"/>
      <c r="G267" s="82"/>
      <c r="H267" s="82"/>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row>
    <row r="268" spans="1:47" outlineLevel="1">
      <c r="A268" s="148" t="s">
        <v>629</v>
      </c>
      <c r="B268" s="93" t="str">
        <f>IF(B4="Zynq-7000","MIO pin not used",IF(B4="",'Warning Messages'!B12,'Warning Messages'!B17))</f>
        <v>Insufficient data selection: Family information is blank.</v>
      </c>
      <c r="C268" s="130"/>
      <c r="D268" s="111"/>
      <c r="E268" s="163"/>
      <c r="F268" s="112"/>
      <c r="G268" s="82"/>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row>
    <row r="269" spans="1:47" outlineLevel="1">
      <c r="A269" s="148" t="s">
        <v>630</v>
      </c>
      <c r="B269" s="93" t="str">
        <f>IF(B4="Zynq-7000","MIO pin not used",IF(B4="",'Warning Messages'!B12,'Warning Messages'!B17))</f>
        <v>Insufficient data selection: Family information is blank.</v>
      </c>
      <c r="C269" s="130"/>
      <c r="D269" s="111"/>
      <c r="E269" s="163"/>
      <c r="F269" s="112"/>
      <c r="G269" s="82"/>
      <c r="H269" s="82"/>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row>
    <row r="270" spans="1:47" outlineLevel="1">
      <c r="A270" s="148" t="s">
        <v>631</v>
      </c>
      <c r="B270" s="93" t="str">
        <f>IF(B4="Zynq-7000","MIO pin not used",IF(B4="",'Warning Messages'!B12,'Warning Messages'!B17))</f>
        <v>Insufficient data selection: Family information is blank.</v>
      </c>
      <c r="C270" s="130"/>
      <c r="D270" s="111"/>
      <c r="E270" s="163"/>
      <c r="F270" s="112"/>
      <c r="G270" s="82"/>
      <c r="H270" s="82"/>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row>
    <row r="271" spans="1:47" outlineLevel="1">
      <c r="A271" s="148" t="s">
        <v>632</v>
      </c>
      <c r="B271" s="93" t="str">
        <f>IF(B4="Zynq-7000","MIO pin not used",IF(B4="",'Warning Messages'!B12,'Warning Messages'!B17))</f>
        <v>Insufficient data selection: Family information is blank.</v>
      </c>
      <c r="C271" s="130"/>
      <c r="D271" s="111"/>
      <c r="E271" s="163"/>
      <c r="F271" s="112"/>
      <c r="G271" s="82"/>
      <c r="H271" s="82"/>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row>
    <row r="272" spans="1:47" outlineLevel="1">
      <c r="A272" s="148" t="s">
        <v>633</v>
      </c>
      <c r="B272" s="93" t="str">
        <f>IF(B4="Zynq-7000","MIO pin not used",IF(B4="",'Warning Messages'!B12,'Warning Messages'!B17))</f>
        <v>Insufficient data selection: Family information is blank.</v>
      </c>
      <c r="C272" s="130"/>
      <c r="D272" s="111"/>
      <c r="E272" s="163"/>
      <c r="F272" s="112"/>
      <c r="G272" s="82"/>
      <c r="H272" s="82"/>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row>
    <row r="273" spans="1:47" outlineLevel="1">
      <c r="A273" s="148" t="s">
        <v>634</v>
      </c>
      <c r="B273" s="93" t="str">
        <f>IF(B4="Zynq-7000","MIO pin not used",IF(B4="",'Warning Messages'!B12,'Warning Messages'!B17))</f>
        <v>Insufficient data selection: Family information is blank.</v>
      </c>
      <c r="C273" s="130"/>
      <c r="D273" s="111"/>
      <c r="E273" s="163"/>
      <c r="F273" s="112"/>
      <c r="G273" s="82"/>
      <c r="H273" s="82"/>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row>
    <row r="274" spans="1:47" outlineLevel="1">
      <c r="A274" s="148" t="s">
        <v>635</v>
      </c>
      <c r="B274" s="93" t="str">
        <f>IF(B4="Zynq-7000","MIO pin not used",IF(B4="",'Warning Messages'!B12,'Warning Messages'!B17))</f>
        <v>Insufficient data selection: Family information is blank.</v>
      </c>
      <c r="C274" s="130"/>
      <c r="D274" s="111"/>
      <c r="E274" s="163"/>
      <c r="F274" s="112"/>
      <c r="G274" s="82"/>
      <c r="H274" s="82"/>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row>
    <row r="275" spans="1:47" outlineLevel="1">
      <c r="A275" s="148" t="s">
        <v>636</v>
      </c>
      <c r="B275" s="93" t="str">
        <f>IF(B4="Zynq-7000","MIO pin not used",IF(B4="",'Warning Messages'!B12,'Warning Messages'!B17))</f>
        <v>Insufficient data selection: Family information is blank.</v>
      </c>
      <c r="C275" s="130"/>
      <c r="D275" s="111"/>
      <c r="E275" s="163"/>
      <c r="F275" s="112"/>
      <c r="G275" s="82"/>
      <c r="H275" s="82"/>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row>
    <row r="276" spans="1:47" outlineLevel="1">
      <c r="A276" s="148" t="s">
        <v>637</v>
      </c>
      <c r="B276" s="93" t="str">
        <f>IF(B4="Zynq-7000","MIO pin not used",IF(B4="",'Warning Messages'!B12,'Warning Messages'!B17))</f>
        <v>Insufficient data selection: Family information is blank.</v>
      </c>
      <c r="C276" s="130"/>
      <c r="D276" s="111"/>
      <c r="E276" s="163"/>
      <c r="F276" s="112"/>
      <c r="G276" s="82"/>
      <c r="H276" s="82"/>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row>
    <row r="277" spans="1:47" outlineLevel="1">
      <c r="A277" s="148" t="s">
        <v>638</v>
      </c>
      <c r="B277" s="93" t="str">
        <f>IF(B4="Zynq-7000","MIO pin not used",IF(B4="",'Warning Messages'!B12,'Warning Messages'!B17))</f>
        <v>Insufficient data selection: Family information is blank.</v>
      </c>
      <c r="C277" s="130"/>
      <c r="D277" s="111"/>
      <c r="E277" s="163"/>
      <c r="F277" s="112"/>
      <c r="G277" s="82"/>
      <c r="H277" s="82"/>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row>
    <row r="278" spans="1:47" outlineLevel="1">
      <c r="A278" s="148" t="s">
        <v>639</v>
      </c>
      <c r="B278" s="93" t="str">
        <f>IF(B4="Zynq-7000","MIO pin not used",IF(B4="",'Warning Messages'!B12,'Warning Messages'!B17))</f>
        <v>Insufficient data selection: Family information is blank.</v>
      </c>
      <c r="C278" s="130"/>
      <c r="D278" s="111"/>
      <c r="E278" s="163"/>
      <c r="F278" s="112"/>
      <c r="G278" s="82"/>
      <c r="H278" s="82"/>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row>
    <row r="279" spans="1:47" outlineLevel="1">
      <c r="A279" s="148" t="s">
        <v>640</v>
      </c>
      <c r="B279" s="93" t="str">
        <f>IF(B4="Zynq-7000","MIO pin not used",IF(B4="",'Warning Messages'!B12,'Warning Messages'!B17))</f>
        <v>Insufficient data selection: Family information is blank.</v>
      </c>
      <c r="C279" s="130"/>
      <c r="D279" s="111"/>
      <c r="E279" s="163"/>
      <c r="F279" s="112"/>
      <c r="G279" s="82"/>
      <c r="H279" s="82"/>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row>
    <row r="280" spans="1:47" outlineLevel="1">
      <c r="A280" s="148" t="s">
        <v>641</v>
      </c>
      <c r="B280" s="93" t="str">
        <f>IF(B4="Zynq-7000","MIO pin not used",IF(B4="",'Warning Messages'!B12,'Warning Messages'!B17))</f>
        <v>Insufficient data selection: Family information is blank.</v>
      </c>
      <c r="C280" s="130"/>
      <c r="D280" s="111"/>
      <c r="E280" s="163"/>
      <c r="F280" s="112"/>
      <c r="G280" s="82"/>
      <c r="H280" s="82"/>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row>
    <row r="281" spans="1:47" outlineLevel="1">
      <c r="A281" s="148" t="s">
        <v>642</v>
      </c>
      <c r="B281" s="93" t="str">
        <f>IF(B4="Zynq-7000","MIO pin not used",IF(B4="",'Warning Messages'!B12,'Warning Messages'!B17))</f>
        <v>Insufficient data selection: Family information is blank.</v>
      </c>
      <c r="C281" s="130"/>
      <c r="D281" s="111"/>
      <c r="E281" s="163"/>
      <c r="F281" s="112"/>
      <c r="G281" s="82"/>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row>
    <row r="282" spans="1:47" outlineLevel="1">
      <c r="A282" s="148" t="s">
        <v>643</v>
      </c>
      <c r="B282" s="93" t="str">
        <f>IF(B4="Zynq-7000","MIO pin not used",IF(B4="",'Warning Messages'!B12,'Warning Messages'!B17))</f>
        <v>Insufficient data selection: Family information is blank.</v>
      </c>
      <c r="C282" s="130"/>
      <c r="D282" s="111"/>
      <c r="E282" s="163"/>
      <c r="F282" s="112"/>
      <c r="G282" s="82"/>
      <c r="H282" s="82"/>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row>
    <row r="283" spans="1:47" outlineLevel="1">
      <c r="A283" s="148" t="s">
        <v>644</v>
      </c>
      <c r="B283" s="93" t="str">
        <f>IF(B4="Zynq-7000","MIO pin not used",IF(B4="",'Warning Messages'!B12,'Warning Messages'!B17))</f>
        <v>Insufficient data selection: Family information is blank.</v>
      </c>
      <c r="C283" s="130"/>
      <c r="D283" s="111"/>
      <c r="E283" s="163"/>
      <c r="F283" s="112"/>
      <c r="G283" s="82"/>
      <c r="H283" s="82"/>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row>
    <row r="284" spans="1:47" outlineLevel="1">
      <c r="A284" s="148" t="s">
        <v>645</v>
      </c>
      <c r="B284" s="93" t="str">
        <f>IF(B4="Zynq-7000","MIO pin not used",IF(B4="",'Warning Messages'!B12,'Warning Messages'!B17))</f>
        <v>Insufficient data selection: Family information is blank.</v>
      </c>
      <c r="C284" s="130"/>
      <c r="D284" s="111"/>
      <c r="E284" s="163"/>
      <c r="F284" s="112"/>
      <c r="G284" s="82"/>
      <c r="H284" s="82"/>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c r="AQ284" s="82"/>
      <c r="AR284" s="82"/>
      <c r="AS284" s="82"/>
      <c r="AT284" s="82"/>
      <c r="AU284" s="82"/>
    </row>
    <row r="285" spans="1:47" outlineLevel="1">
      <c r="A285" s="148" t="s">
        <v>646</v>
      </c>
      <c r="B285" s="93" t="str">
        <f>IF(B4="Zynq-7000","MIO pin not used",IF(B4="",'Warning Messages'!B12,'Warning Messages'!B17))</f>
        <v>Insufficient data selection: Family information is blank.</v>
      </c>
      <c r="C285" s="130"/>
      <c r="D285" s="111"/>
      <c r="E285" s="163"/>
      <c r="F285" s="112"/>
      <c r="G285" s="82"/>
      <c r="H285" s="82"/>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c r="AQ285" s="82"/>
      <c r="AR285" s="82"/>
      <c r="AS285" s="82"/>
      <c r="AT285" s="82"/>
      <c r="AU285" s="82"/>
    </row>
    <row r="286" spans="1:47" outlineLevel="1">
      <c r="A286" s="144" t="s">
        <v>647</v>
      </c>
      <c r="B286" s="92" t="str">
        <f>IF(B4="Zynq-7000","MIO pin not used",IF(B4="",'Warning Messages'!B12,'Warning Messages'!B17))</f>
        <v>Insufficient data selection: Family information is blank.</v>
      </c>
      <c r="C286" s="112"/>
      <c r="D286" s="111"/>
      <c r="E286" s="117"/>
      <c r="F286" s="112"/>
      <c r="G286" s="82"/>
      <c r="H286" s="82"/>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c r="AQ286" s="82"/>
      <c r="AR286" s="82"/>
      <c r="AS286" s="82"/>
      <c r="AT286" s="82"/>
      <c r="AU286" s="82"/>
    </row>
    <row r="287" spans="1:47" outlineLevel="1">
      <c r="A287" s="237" t="s">
        <v>704</v>
      </c>
      <c r="B287" s="238"/>
      <c r="C287" s="239"/>
      <c r="D287" s="113"/>
      <c r="E287" s="113"/>
      <c r="F287" s="113"/>
      <c r="G287" s="82"/>
      <c r="H287" s="82"/>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c r="AQ287" s="82"/>
      <c r="AR287" s="82"/>
      <c r="AS287" s="82"/>
      <c r="AT287" s="82"/>
      <c r="AU287" s="82"/>
    </row>
    <row r="288" spans="1:47">
      <c r="A288" s="113"/>
      <c r="B288" s="113"/>
      <c r="C288" s="113"/>
      <c r="D288" s="113"/>
      <c r="E288" s="113"/>
      <c r="F288" s="113"/>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row>
    <row r="289" spans="1:47">
      <c r="A289" s="225" t="s">
        <v>271</v>
      </c>
      <c r="B289" s="226"/>
      <c r="C289" s="226"/>
      <c r="D289" s="226"/>
      <c r="E289" s="226"/>
      <c r="F289" s="227"/>
      <c r="G289" s="82"/>
      <c r="H289" s="82"/>
      <c r="I289" s="82"/>
      <c r="J289" s="82"/>
      <c r="K289" s="82"/>
      <c r="L289" s="82"/>
      <c r="M289" s="82"/>
      <c r="N289" s="82"/>
      <c r="O289" s="82"/>
      <c r="P289" s="82"/>
      <c r="Q289" s="82"/>
      <c r="R289" s="82"/>
      <c r="S289" s="82"/>
      <c r="T289" s="82"/>
      <c r="U289" s="82"/>
      <c r="V289" s="82"/>
      <c r="W289" s="82"/>
      <c r="X289" s="82"/>
      <c r="Y289" s="82"/>
      <c r="Z289" s="82"/>
      <c r="AA289" s="82"/>
      <c r="AB289" s="82"/>
      <c r="AC289" s="82"/>
      <c r="AD289" s="82"/>
      <c r="AE289" s="82"/>
      <c r="AF289" s="82"/>
      <c r="AG289" s="82"/>
      <c r="AH289" s="82"/>
      <c r="AI289" s="82"/>
      <c r="AJ289" s="82"/>
      <c r="AK289" s="82"/>
      <c r="AL289" s="82"/>
      <c r="AM289" s="82"/>
      <c r="AN289" s="82"/>
      <c r="AO289" s="82"/>
      <c r="AP289" s="82"/>
      <c r="AQ289" s="82"/>
      <c r="AR289" s="82"/>
      <c r="AS289" s="82"/>
      <c r="AT289" s="82"/>
      <c r="AU289" s="82"/>
    </row>
    <row r="290" spans="1:47">
      <c r="A290" s="77"/>
      <c r="B290" s="77"/>
      <c r="C290" s="77"/>
      <c r="D290" s="77"/>
      <c r="E290" s="77"/>
      <c r="F290" s="77"/>
    </row>
    <row r="291" spans="1:47">
      <c r="A291" s="77"/>
      <c r="B291" s="77"/>
      <c r="C291" s="77"/>
      <c r="D291" s="77"/>
      <c r="E291" s="77"/>
      <c r="F291" s="77"/>
    </row>
    <row r="292" spans="1:47">
      <c r="A292" s="77"/>
      <c r="B292" s="77"/>
      <c r="C292" s="77"/>
      <c r="D292" s="77"/>
      <c r="E292" s="77"/>
      <c r="F292" s="77"/>
    </row>
    <row r="293" spans="1:47">
      <c r="A293" s="77"/>
      <c r="B293" s="77"/>
      <c r="C293" s="77"/>
      <c r="D293" s="77"/>
      <c r="E293" s="77"/>
      <c r="F293" s="77"/>
    </row>
    <row r="294" spans="1:47">
      <c r="A294" s="77"/>
      <c r="B294" s="77"/>
      <c r="C294" s="77"/>
      <c r="D294" s="77"/>
      <c r="E294" s="77"/>
      <c r="F294" s="77"/>
    </row>
    <row r="295" spans="1:47">
      <c r="A295" s="77"/>
      <c r="B295" s="77"/>
      <c r="C295" s="77"/>
      <c r="D295" s="77"/>
      <c r="E295" s="77"/>
      <c r="F295" s="77"/>
    </row>
    <row r="296" spans="1:47">
      <c r="A296" s="77"/>
      <c r="B296" s="77"/>
      <c r="C296" s="77"/>
      <c r="D296" s="77"/>
      <c r="E296" s="77"/>
      <c r="F296" s="77"/>
    </row>
    <row r="297" spans="1:47">
      <c r="A297" s="77"/>
      <c r="B297" s="77"/>
      <c r="C297" s="77"/>
      <c r="D297" s="77"/>
      <c r="E297" s="77"/>
      <c r="F297" s="77"/>
    </row>
    <row r="298" spans="1:47">
      <c r="A298" s="77"/>
      <c r="B298" s="77"/>
      <c r="C298" s="77"/>
      <c r="D298" s="77"/>
      <c r="E298" s="77"/>
      <c r="F298" s="77"/>
    </row>
    <row r="299" spans="1:47">
      <c r="A299" s="77"/>
      <c r="B299" s="77"/>
      <c r="C299" s="77"/>
      <c r="D299" s="77"/>
      <c r="E299" s="77"/>
      <c r="F299" s="77"/>
    </row>
    <row r="300" spans="1:47">
      <c r="A300" s="77"/>
      <c r="B300" s="77"/>
      <c r="C300" s="77"/>
      <c r="D300" s="77"/>
      <c r="E300" s="77"/>
      <c r="F300" s="77"/>
    </row>
    <row r="301" spans="1:47">
      <c r="A301" s="77"/>
      <c r="B301" s="77"/>
      <c r="C301" s="77"/>
      <c r="D301" s="77"/>
      <c r="E301" s="77"/>
      <c r="F301" s="77"/>
    </row>
    <row r="302" spans="1:47">
      <c r="A302" s="77"/>
      <c r="B302" s="77"/>
      <c r="C302" s="77"/>
      <c r="D302" s="77"/>
      <c r="E302" s="77"/>
      <c r="F302" s="77"/>
    </row>
    <row r="303" spans="1:47">
      <c r="A303" s="77"/>
      <c r="B303" s="77"/>
      <c r="C303" s="77"/>
      <c r="D303" s="77"/>
      <c r="E303" s="77"/>
      <c r="F303" s="77"/>
    </row>
    <row r="304" spans="1:47">
      <c r="A304" s="77"/>
      <c r="B304" s="77"/>
      <c r="C304" s="77"/>
      <c r="D304" s="77"/>
      <c r="E304" s="77"/>
      <c r="F304" s="77"/>
    </row>
    <row r="305" spans="1:6">
      <c r="A305" s="77"/>
      <c r="B305" s="77"/>
      <c r="C305" s="77"/>
      <c r="D305" s="77"/>
      <c r="E305" s="77"/>
      <c r="F305" s="77"/>
    </row>
    <row r="306" spans="1:6">
      <c r="A306" s="77"/>
      <c r="B306" s="77"/>
      <c r="C306" s="77"/>
      <c r="D306" s="77"/>
      <c r="E306" s="77"/>
      <c r="F306" s="77"/>
    </row>
    <row r="307" spans="1:6">
      <c r="A307" s="77"/>
      <c r="B307" s="77"/>
      <c r="C307" s="77"/>
      <c r="D307" s="77"/>
      <c r="E307" s="77"/>
      <c r="F307" s="77"/>
    </row>
    <row r="308" spans="1:6">
      <c r="A308" s="77"/>
      <c r="B308" s="77"/>
      <c r="C308" s="77"/>
      <c r="D308" s="77"/>
      <c r="E308" s="77"/>
      <c r="F308" s="77"/>
    </row>
    <row r="309" spans="1:6">
      <c r="A309" s="77"/>
      <c r="B309" s="77"/>
      <c r="C309" s="77"/>
      <c r="D309" s="77"/>
      <c r="E309" s="77"/>
      <c r="F309" s="77"/>
    </row>
    <row r="310" spans="1:6">
      <c r="A310" s="77"/>
      <c r="B310" s="77"/>
      <c r="C310" s="77"/>
      <c r="D310" s="77"/>
      <c r="E310" s="77"/>
      <c r="F310" s="77"/>
    </row>
    <row r="311" spans="1:6">
      <c r="A311" s="77"/>
      <c r="B311" s="77"/>
      <c r="C311" s="77"/>
      <c r="D311" s="77"/>
      <c r="E311" s="77"/>
      <c r="F311" s="77"/>
    </row>
    <row r="312" spans="1:6">
      <c r="A312" s="77"/>
      <c r="B312" s="77"/>
      <c r="C312" s="77"/>
      <c r="D312" s="77"/>
      <c r="E312" s="77"/>
      <c r="F312" s="77"/>
    </row>
    <row r="313" spans="1:6">
      <c r="A313" s="77"/>
      <c r="B313" s="77"/>
      <c r="C313" s="77"/>
      <c r="D313" s="77"/>
      <c r="E313" s="77"/>
      <c r="F313" s="77"/>
    </row>
    <row r="314" spans="1:6">
      <c r="A314" s="77"/>
      <c r="B314" s="77"/>
      <c r="C314" s="77"/>
      <c r="D314" s="77"/>
      <c r="E314" s="77"/>
      <c r="F314" s="77"/>
    </row>
    <row r="315" spans="1:6">
      <c r="A315" s="77"/>
      <c r="B315" s="77"/>
      <c r="C315" s="77"/>
      <c r="D315" s="77"/>
      <c r="E315" s="77"/>
      <c r="F315" s="77"/>
    </row>
    <row r="316" spans="1:6">
      <c r="A316" s="77"/>
      <c r="B316" s="77"/>
      <c r="C316" s="77"/>
      <c r="D316" s="77"/>
      <c r="E316" s="77"/>
      <c r="F316" s="77"/>
    </row>
    <row r="317" spans="1:6">
      <c r="A317" s="77"/>
      <c r="B317" s="77"/>
      <c r="C317" s="77"/>
      <c r="D317" s="77"/>
      <c r="E317" s="77"/>
      <c r="F317" s="77"/>
    </row>
    <row r="318" spans="1:6">
      <c r="A318" s="77"/>
      <c r="B318" s="77"/>
      <c r="C318" s="77"/>
      <c r="D318" s="77"/>
      <c r="E318" s="77"/>
      <c r="F318" s="77"/>
    </row>
    <row r="319" spans="1:6">
      <c r="A319" s="77"/>
      <c r="B319" s="77"/>
      <c r="C319" s="77"/>
      <c r="D319" s="77"/>
      <c r="E319" s="77"/>
      <c r="F319" s="77"/>
    </row>
    <row r="320" spans="1:6">
      <c r="A320" s="77"/>
      <c r="B320" s="77"/>
      <c r="C320" s="77"/>
      <c r="D320" s="77"/>
      <c r="E320" s="77"/>
      <c r="F320" s="77"/>
    </row>
    <row r="321" spans="1:6">
      <c r="A321" s="77"/>
      <c r="B321" s="77"/>
      <c r="C321" s="77"/>
      <c r="D321" s="77"/>
      <c r="E321" s="77"/>
      <c r="F321" s="77"/>
    </row>
    <row r="322" spans="1:6">
      <c r="A322" s="77"/>
      <c r="B322" s="77"/>
      <c r="C322" s="77"/>
      <c r="D322" s="77"/>
      <c r="E322" s="77"/>
      <c r="F322" s="77"/>
    </row>
    <row r="323" spans="1:6">
      <c r="A323" s="77"/>
      <c r="B323" s="77"/>
      <c r="C323" s="77"/>
      <c r="D323" s="77"/>
      <c r="E323" s="77"/>
      <c r="F323" s="77"/>
    </row>
    <row r="324" spans="1:6">
      <c r="A324" s="77"/>
      <c r="B324" s="77"/>
      <c r="C324" s="77"/>
      <c r="D324" s="77"/>
      <c r="E324" s="77"/>
      <c r="F324" s="77"/>
    </row>
    <row r="325" spans="1:6">
      <c r="A325" s="77"/>
      <c r="B325" s="77"/>
      <c r="C325" s="77"/>
      <c r="D325" s="77"/>
      <c r="E325" s="77"/>
      <c r="F325" s="77"/>
    </row>
    <row r="326" spans="1:6">
      <c r="A326" s="77"/>
      <c r="B326" s="77"/>
      <c r="C326" s="77"/>
      <c r="D326" s="77"/>
      <c r="E326" s="77"/>
      <c r="F326" s="77"/>
    </row>
    <row r="327" spans="1:6">
      <c r="A327" s="77"/>
      <c r="B327" s="77"/>
      <c r="C327" s="77"/>
      <c r="D327" s="77"/>
      <c r="E327" s="77"/>
      <c r="F327" s="77"/>
    </row>
    <row r="328" spans="1:6">
      <c r="A328" s="77"/>
      <c r="B328" s="77"/>
      <c r="C328" s="77"/>
      <c r="D328" s="77"/>
      <c r="E328" s="77"/>
      <c r="F328" s="77"/>
    </row>
    <row r="329" spans="1:6">
      <c r="A329" s="77"/>
      <c r="B329" s="77"/>
      <c r="C329" s="77"/>
      <c r="D329" s="77"/>
      <c r="E329" s="77"/>
      <c r="F329" s="77"/>
    </row>
    <row r="330" spans="1:6">
      <c r="A330" s="77"/>
      <c r="B330" s="77"/>
      <c r="C330" s="77"/>
      <c r="D330" s="77"/>
      <c r="E330" s="77"/>
      <c r="F330" s="77"/>
    </row>
    <row r="331" spans="1:6">
      <c r="A331" s="77"/>
      <c r="B331" s="77"/>
      <c r="C331" s="77"/>
      <c r="D331" s="77"/>
      <c r="E331" s="77"/>
      <c r="F331" s="77"/>
    </row>
    <row r="332" spans="1:6">
      <c r="A332" s="77"/>
      <c r="B332" s="77"/>
      <c r="C332" s="77"/>
      <c r="D332" s="77"/>
      <c r="E332" s="77"/>
      <c r="F332" s="77"/>
    </row>
    <row r="333" spans="1:6">
      <c r="A333" s="77"/>
      <c r="B333" s="77"/>
      <c r="C333" s="77"/>
      <c r="D333" s="77"/>
      <c r="E333" s="77"/>
      <c r="F333" s="77"/>
    </row>
    <row r="334" spans="1:6">
      <c r="A334" s="77"/>
      <c r="B334" s="77"/>
      <c r="C334" s="77"/>
      <c r="D334" s="77"/>
      <c r="E334" s="77"/>
      <c r="F334" s="77"/>
    </row>
    <row r="335" spans="1:6">
      <c r="A335" s="77"/>
      <c r="B335" s="77"/>
      <c r="C335" s="77"/>
      <c r="D335" s="77"/>
      <c r="E335" s="77"/>
      <c r="F335" s="77"/>
    </row>
    <row r="336" spans="1:6">
      <c r="A336" s="77"/>
      <c r="B336" s="77"/>
      <c r="C336" s="77"/>
      <c r="D336" s="77"/>
      <c r="E336" s="77"/>
      <c r="F336" s="77"/>
    </row>
    <row r="337" spans="1:6">
      <c r="A337" s="77"/>
      <c r="B337" s="77"/>
      <c r="C337" s="77"/>
      <c r="D337" s="77"/>
      <c r="E337" s="77"/>
      <c r="F337" s="77"/>
    </row>
    <row r="338" spans="1:6">
      <c r="A338" s="77"/>
      <c r="B338" s="77"/>
      <c r="C338" s="77"/>
      <c r="D338" s="77"/>
      <c r="E338" s="77"/>
      <c r="F338" s="77"/>
    </row>
    <row r="339" spans="1:6">
      <c r="A339" s="77"/>
      <c r="B339" s="77"/>
      <c r="C339" s="77"/>
      <c r="D339" s="77"/>
      <c r="E339" s="77"/>
      <c r="F339" s="77"/>
    </row>
    <row r="340" spans="1:6">
      <c r="A340" s="77"/>
      <c r="B340" s="77"/>
      <c r="C340" s="77"/>
      <c r="D340" s="77"/>
      <c r="E340" s="77"/>
      <c r="F340" s="77"/>
    </row>
    <row r="341" spans="1:6">
      <c r="A341" s="77"/>
      <c r="B341" s="77"/>
      <c r="C341" s="77"/>
      <c r="D341" s="77"/>
      <c r="E341" s="77"/>
      <c r="F341" s="77"/>
    </row>
    <row r="342" spans="1:6">
      <c r="A342" s="77"/>
      <c r="B342" s="77"/>
      <c r="C342" s="77"/>
      <c r="D342" s="77"/>
      <c r="E342" s="77"/>
      <c r="F342" s="77"/>
    </row>
    <row r="343" spans="1:6">
      <c r="A343" s="77"/>
      <c r="B343" s="77"/>
      <c r="C343" s="77"/>
      <c r="D343" s="77"/>
      <c r="E343" s="77"/>
      <c r="F343" s="77"/>
    </row>
    <row r="344" spans="1:6">
      <c r="A344" s="77"/>
      <c r="B344" s="77"/>
      <c r="C344" s="77"/>
      <c r="D344" s="77"/>
      <c r="E344" s="77"/>
      <c r="F344" s="77"/>
    </row>
    <row r="345" spans="1:6">
      <c r="A345" s="77"/>
      <c r="B345" s="77"/>
      <c r="C345" s="77"/>
      <c r="D345" s="77"/>
      <c r="E345" s="77"/>
      <c r="F345" s="77"/>
    </row>
    <row r="346" spans="1:6">
      <c r="A346" s="77"/>
      <c r="B346" s="77"/>
      <c r="C346" s="77"/>
      <c r="D346" s="77"/>
      <c r="E346" s="77"/>
      <c r="F346" s="77"/>
    </row>
    <row r="347" spans="1:6">
      <c r="A347" s="77"/>
      <c r="B347" s="77"/>
      <c r="C347" s="77"/>
      <c r="D347" s="77"/>
      <c r="E347" s="77"/>
      <c r="F347" s="77"/>
    </row>
    <row r="348" spans="1:6">
      <c r="A348" s="77"/>
      <c r="B348" s="77"/>
      <c r="C348" s="77"/>
      <c r="D348" s="77"/>
      <c r="E348" s="77"/>
      <c r="F348" s="77"/>
    </row>
    <row r="349" spans="1:6">
      <c r="A349" s="77"/>
      <c r="B349" s="77"/>
      <c r="C349" s="77"/>
      <c r="D349" s="77"/>
      <c r="E349" s="77"/>
      <c r="F349" s="77"/>
    </row>
    <row r="350" spans="1:6">
      <c r="A350" s="77"/>
      <c r="B350" s="77"/>
      <c r="C350" s="77"/>
      <c r="D350" s="77"/>
      <c r="E350" s="77"/>
      <c r="F350" s="77"/>
    </row>
    <row r="351" spans="1:6">
      <c r="A351" s="77"/>
      <c r="B351" s="77"/>
      <c r="C351" s="77"/>
      <c r="D351" s="77"/>
      <c r="E351" s="77"/>
      <c r="F351" s="77"/>
    </row>
    <row r="352" spans="1:6">
      <c r="A352" s="77"/>
      <c r="B352" s="77"/>
      <c r="C352" s="77"/>
      <c r="D352" s="77"/>
      <c r="E352" s="77"/>
      <c r="F352" s="77"/>
    </row>
    <row r="353" spans="1:6">
      <c r="A353" s="77"/>
      <c r="B353" s="77"/>
      <c r="C353" s="77"/>
      <c r="D353" s="77"/>
      <c r="E353" s="77"/>
      <c r="F353" s="77"/>
    </row>
    <row r="354" spans="1:6">
      <c r="A354" s="77"/>
      <c r="B354" s="77"/>
      <c r="C354" s="77"/>
      <c r="D354" s="77"/>
      <c r="E354" s="77"/>
      <c r="F354" s="77"/>
    </row>
    <row r="355" spans="1:6">
      <c r="A355" s="77"/>
      <c r="B355" s="77"/>
      <c r="C355" s="77"/>
      <c r="D355" s="77"/>
      <c r="E355" s="77"/>
      <c r="F355" s="77"/>
    </row>
    <row r="356" spans="1:6">
      <c r="A356" s="77"/>
      <c r="B356" s="77"/>
      <c r="C356" s="77"/>
      <c r="D356" s="77"/>
      <c r="E356" s="77"/>
      <c r="F356" s="77"/>
    </row>
    <row r="357" spans="1:6">
      <c r="A357" s="77"/>
      <c r="B357" s="77"/>
      <c r="C357" s="77"/>
      <c r="D357" s="77"/>
      <c r="E357" s="77"/>
      <c r="F357" s="77"/>
    </row>
    <row r="358" spans="1:6">
      <c r="A358" s="77"/>
      <c r="B358" s="77"/>
      <c r="C358" s="77"/>
      <c r="D358" s="77"/>
      <c r="E358" s="77"/>
      <c r="F358" s="77"/>
    </row>
    <row r="359" spans="1:6">
      <c r="A359" s="77"/>
      <c r="B359" s="77"/>
      <c r="C359" s="77"/>
      <c r="D359" s="77"/>
      <c r="E359" s="77"/>
      <c r="F359" s="77"/>
    </row>
    <row r="360" spans="1:6">
      <c r="A360" s="77"/>
      <c r="B360" s="77"/>
      <c r="C360" s="77"/>
      <c r="D360" s="77"/>
      <c r="E360" s="77"/>
      <c r="F360" s="77"/>
    </row>
    <row r="361" spans="1:6">
      <c r="A361" s="77"/>
      <c r="B361" s="77"/>
      <c r="C361" s="77"/>
      <c r="D361" s="77"/>
      <c r="E361" s="77"/>
      <c r="F361" s="77"/>
    </row>
    <row r="362" spans="1:6">
      <c r="A362" s="77"/>
      <c r="B362" s="77"/>
      <c r="C362" s="77"/>
      <c r="D362" s="77"/>
      <c r="E362" s="77"/>
      <c r="F362" s="77"/>
    </row>
    <row r="363" spans="1:6">
      <c r="A363" s="77"/>
      <c r="B363" s="77"/>
      <c r="C363" s="77"/>
      <c r="D363" s="77"/>
      <c r="E363" s="77"/>
      <c r="F363" s="77"/>
    </row>
    <row r="364" spans="1:6">
      <c r="A364" s="77"/>
      <c r="B364" s="77"/>
      <c r="C364" s="77"/>
      <c r="D364" s="77"/>
      <c r="E364" s="77"/>
      <c r="F364" s="77"/>
    </row>
    <row r="365" spans="1:6">
      <c r="A365" s="77"/>
      <c r="B365" s="77"/>
      <c r="C365" s="77"/>
      <c r="D365" s="77"/>
      <c r="E365" s="77"/>
      <c r="F365" s="77"/>
    </row>
    <row r="366" spans="1:6">
      <c r="A366" s="77"/>
      <c r="B366" s="77"/>
      <c r="C366" s="77"/>
      <c r="D366" s="77"/>
      <c r="E366" s="77"/>
      <c r="F366" s="77"/>
    </row>
    <row r="367" spans="1:6">
      <c r="A367" s="77"/>
      <c r="B367" s="77"/>
      <c r="C367" s="77"/>
      <c r="D367" s="77"/>
      <c r="E367" s="77"/>
      <c r="F367" s="77"/>
    </row>
    <row r="368" spans="1:6">
      <c r="A368" s="77"/>
      <c r="B368" s="77"/>
      <c r="C368" s="77"/>
      <c r="D368" s="77"/>
      <c r="E368" s="77"/>
      <c r="F368" s="77"/>
    </row>
    <row r="369" spans="1:6">
      <c r="A369" s="77"/>
      <c r="B369" s="77"/>
      <c r="C369" s="77"/>
      <c r="D369" s="77"/>
      <c r="E369" s="77"/>
      <c r="F369" s="77"/>
    </row>
    <row r="370" spans="1:6">
      <c r="A370" s="77"/>
      <c r="B370" s="77"/>
      <c r="C370" s="77"/>
      <c r="D370" s="77"/>
      <c r="E370" s="77"/>
      <c r="F370" s="77"/>
    </row>
    <row r="371" spans="1:6">
      <c r="A371" s="77"/>
      <c r="B371" s="77"/>
      <c r="C371" s="77"/>
      <c r="D371" s="77"/>
      <c r="E371" s="77"/>
      <c r="F371" s="77"/>
    </row>
    <row r="372" spans="1:6">
      <c r="A372" s="77"/>
      <c r="B372" s="77"/>
      <c r="C372" s="77"/>
      <c r="D372" s="77"/>
      <c r="E372" s="77"/>
      <c r="F372" s="77"/>
    </row>
    <row r="373" spans="1:6">
      <c r="A373" s="77"/>
      <c r="B373" s="77"/>
      <c r="C373" s="77"/>
      <c r="D373" s="77"/>
      <c r="E373" s="77"/>
      <c r="F373" s="77"/>
    </row>
    <row r="374" spans="1:6">
      <c r="A374" s="77"/>
      <c r="B374" s="77"/>
      <c r="C374" s="77"/>
      <c r="D374" s="77"/>
      <c r="E374" s="77"/>
      <c r="F374" s="77"/>
    </row>
    <row r="375" spans="1:6">
      <c r="A375" s="77"/>
      <c r="B375" s="77"/>
      <c r="C375" s="77"/>
      <c r="D375" s="77"/>
      <c r="E375" s="77"/>
      <c r="F375" s="77"/>
    </row>
    <row r="376" spans="1:6">
      <c r="A376" s="77"/>
      <c r="B376" s="77"/>
      <c r="C376" s="77"/>
      <c r="D376" s="77"/>
      <c r="E376" s="77"/>
      <c r="F376" s="77"/>
    </row>
    <row r="377" spans="1:6">
      <c r="A377" s="77"/>
      <c r="B377" s="77"/>
      <c r="C377" s="77"/>
      <c r="D377" s="77"/>
      <c r="E377" s="77"/>
      <c r="F377" s="77"/>
    </row>
    <row r="378" spans="1:6">
      <c r="A378" s="77"/>
      <c r="B378" s="77"/>
      <c r="C378" s="77"/>
      <c r="D378" s="77"/>
      <c r="E378" s="77"/>
      <c r="F378" s="77"/>
    </row>
    <row r="379" spans="1:6">
      <c r="A379" s="77"/>
      <c r="B379" s="77"/>
      <c r="C379" s="77"/>
      <c r="D379" s="77"/>
      <c r="E379" s="77"/>
      <c r="F379" s="77"/>
    </row>
    <row r="380" spans="1:6">
      <c r="A380" s="77"/>
      <c r="B380" s="77"/>
      <c r="C380" s="77"/>
      <c r="D380" s="77"/>
      <c r="E380" s="77"/>
      <c r="F380" s="77"/>
    </row>
    <row r="381" spans="1:6">
      <c r="A381" s="77"/>
      <c r="B381" s="77"/>
      <c r="C381" s="77"/>
      <c r="D381" s="77"/>
      <c r="E381" s="77"/>
      <c r="F381" s="77"/>
    </row>
    <row r="382" spans="1:6">
      <c r="A382" s="77"/>
      <c r="B382" s="77"/>
      <c r="C382" s="77"/>
      <c r="D382" s="77"/>
      <c r="E382" s="77"/>
      <c r="F382" s="77"/>
    </row>
    <row r="383" spans="1:6">
      <c r="A383" s="77"/>
      <c r="B383" s="77"/>
      <c r="C383" s="77"/>
      <c r="D383" s="77"/>
      <c r="E383" s="77"/>
      <c r="F383" s="77"/>
    </row>
    <row r="384" spans="1:6">
      <c r="A384" s="77"/>
      <c r="B384" s="77"/>
      <c r="C384" s="77"/>
      <c r="D384" s="77"/>
      <c r="E384" s="77"/>
      <c r="F384" s="77"/>
    </row>
    <row r="385" spans="1:6">
      <c r="A385" s="77"/>
      <c r="B385" s="77"/>
      <c r="C385" s="77"/>
      <c r="D385" s="77"/>
      <c r="E385" s="77"/>
      <c r="F385" s="77"/>
    </row>
    <row r="386" spans="1:6">
      <c r="A386" s="77"/>
      <c r="B386" s="77"/>
      <c r="C386" s="77"/>
      <c r="D386" s="77"/>
      <c r="E386" s="77"/>
      <c r="F386" s="77"/>
    </row>
    <row r="387" spans="1:6">
      <c r="A387" s="77"/>
      <c r="B387" s="77"/>
      <c r="C387" s="77"/>
      <c r="D387" s="77"/>
      <c r="E387" s="77"/>
      <c r="F387" s="77"/>
    </row>
    <row r="388" spans="1:6">
      <c r="A388" s="77"/>
      <c r="B388" s="77"/>
      <c r="C388" s="77"/>
      <c r="D388" s="77"/>
      <c r="E388" s="77"/>
      <c r="F388" s="77"/>
    </row>
    <row r="389" spans="1:6">
      <c r="A389" s="77"/>
      <c r="B389" s="77"/>
      <c r="C389" s="77"/>
      <c r="D389" s="77"/>
      <c r="E389" s="77"/>
      <c r="F389" s="77"/>
    </row>
    <row r="390" spans="1:6">
      <c r="A390" s="77"/>
      <c r="B390" s="77"/>
      <c r="C390" s="77"/>
      <c r="D390" s="77"/>
      <c r="E390" s="77"/>
      <c r="F390" s="77"/>
    </row>
    <row r="391" spans="1:6">
      <c r="A391" s="77"/>
      <c r="B391" s="77"/>
      <c r="C391" s="77"/>
      <c r="D391" s="77"/>
      <c r="E391" s="77"/>
      <c r="F391" s="77"/>
    </row>
    <row r="392" spans="1:6">
      <c r="A392" s="77"/>
      <c r="B392" s="77"/>
      <c r="C392" s="77"/>
      <c r="D392" s="77"/>
      <c r="E392" s="77"/>
      <c r="F392" s="77"/>
    </row>
    <row r="393" spans="1:6">
      <c r="A393" s="77"/>
      <c r="B393" s="77"/>
      <c r="C393" s="77"/>
      <c r="D393" s="77"/>
      <c r="E393" s="77"/>
      <c r="F393" s="77"/>
    </row>
    <row r="394" spans="1:6">
      <c r="A394" s="77"/>
      <c r="B394" s="77"/>
      <c r="C394" s="77"/>
      <c r="D394" s="77"/>
      <c r="E394" s="77"/>
      <c r="F394" s="77"/>
    </row>
    <row r="395" spans="1:6">
      <c r="A395" s="77"/>
      <c r="B395" s="77"/>
      <c r="C395" s="77"/>
      <c r="D395" s="77"/>
      <c r="E395" s="77"/>
      <c r="F395" s="77"/>
    </row>
    <row r="396" spans="1:6">
      <c r="A396" s="77"/>
      <c r="B396" s="77"/>
      <c r="C396" s="77"/>
      <c r="D396" s="77"/>
      <c r="E396" s="77"/>
      <c r="F396" s="77"/>
    </row>
    <row r="397" spans="1:6">
      <c r="A397" s="77"/>
      <c r="B397" s="77"/>
      <c r="C397" s="77"/>
      <c r="D397" s="77"/>
      <c r="E397" s="77"/>
      <c r="F397" s="77"/>
    </row>
    <row r="398" spans="1:6">
      <c r="A398" s="77"/>
      <c r="B398" s="77"/>
      <c r="C398" s="77"/>
      <c r="D398" s="77"/>
      <c r="E398" s="77"/>
      <c r="F398" s="77"/>
    </row>
    <row r="399" spans="1:6">
      <c r="A399" s="77"/>
      <c r="B399" s="77"/>
      <c r="C399" s="77"/>
      <c r="D399" s="77"/>
      <c r="E399" s="77"/>
      <c r="F399" s="77"/>
    </row>
    <row r="400" spans="1:6">
      <c r="A400" s="77"/>
      <c r="B400" s="77"/>
      <c r="C400" s="77"/>
      <c r="D400" s="77"/>
      <c r="E400" s="77"/>
      <c r="F400" s="77"/>
    </row>
    <row r="401" spans="1:6">
      <c r="A401" s="77"/>
      <c r="B401" s="77"/>
      <c r="C401" s="77"/>
      <c r="D401" s="77"/>
      <c r="E401" s="77"/>
      <c r="F401" s="77"/>
    </row>
    <row r="402" spans="1:6">
      <c r="A402" s="77"/>
      <c r="B402" s="77"/>
      <c r="C402" s="77"/>
      <c r="D402" s="77"/>
      <c r="E402" s="77"/>
      <c r="F402" s="77"/>
    </row>
    <row r="403" spans="1:6">
      <c r="A403" s="77"/>
      <c r="B403" s="77"/>
      <c r="C403" s="77"/>
      <c r="D403" s="77"/>
      <c r="E403" s="77"/>
      <c r="F403" s="77"/>
    </row>
    <row r="404" spans="1:6">
      <c r="A404" s="77"/>
      <c r="B404" s="77"/>
      <c r="C404" s="77"/>
      <c r="D404" s="77"/>
      <c r="E404" s="77"/>
      <c r="F404" s="77"/>
    </row>
    <row r="405" spans="1:6">
      <c r="A405" s="77"/>
      <c r="B405" s="77"/>
      <c r="C405" s="77"/>
      <c r="D405" s="77"/>
      <c r="E405" s="77"/>
      <c r="F405" s="77"/>
    </row>
    <row r="406" spans="1:6">
      <c r="A406" s="77"/>
      <c r="B406" s="77"/>
      <c r="C406" s="77"/>
      <c r="D406" s="77"/>
      <c r="E406" s="77"/>
      <c r="F406" s="77"/>
    </row>
    <row r="407" spans="1:6">
      <c r="A407" s="77"/>
      <c r="B407" s="77"/>
      <c r="C407" s="77"/>
      <c r="D407" s="77"/>
      <c r="E407" s="77"/>
      <c r="F407" s="77"/>
    </row>
    <row r="408" spans="1:6">
      <c r="A408" s="77"/>
      <c r="B408" s="77"/>
      <c r="C408" s="77"/>
      <c r="D408" s="77"/>
      <c r="E408" s="77"/>
      <c r="F408" s="77"/>
    </row>
    <row r="409" spans="1:6">
      <c r="A409" s="77"/>
      <c r="B409" s="77"/>
      <c r="C409" s="77"/>
      <c r="D409" s="77"/>
      <c r="E409" s="77"/>
      <c r="F409" s="77"/>
    </row>
    <row r="410" spans="1:6">
      <c r="A410" s="77"/>
      <c r="B410" s="77"/>
      <c r="C410" s="77"/>
      <c r="D410" s="77"/>
      <c r="E410" s="77"/>
      <c r="F410" s="77"/>
    </row>
    <row r="411" spans="1:6">
      <c r="A411" s="77"/>
      <c r="B411" s="77"/>
      <c r="C411" s="77"/>
      <c r="D411" s="77"/>
      <c r="E411" s="77"/>
      <c r="F411" s="77"/>
    </row>
    <row r="412" spans="1:6">
      <c r="A412" s="77"/>
      <c r="B412" s="77"/>
      <c r="C412" s="77"/>
      <c r="D412" s="77"/>
      <c r="E412" s="77"/>
      <c r="F412" s="77"/>
    </row>
    <row r="413" spans="1:6">
      <c r="A413" s="77"/>
      <c r="B413" s="77"/>
      <c r="C413" s="77"/>
      <c r="D413" s="77"/>
      <c r="E413" s="77"/>
      <c r="F413" s="77"/>
    </row>
    <row r="414" spans="1:6">
      <c r="A414" s="77"/>
      <c r="B414" s="77"/>
      <c r="C414" s="77"/>
      <c r="D414" s="77"/>
      <c r="E414" s="77"/>
      <c r="F414" s="77"/>
    </row>
    <row r="415" spans="1:6">
      <c r="A415" s="77"/>
      <c r="B415" s="77"/>
      <c r="C415" s="77"/>
      <c r="D415" s="77"/>
      <c r="E415" s="77"/>
      <c r="F415" s="77"/>
    </row>
    <row r="416" spans="1:6">
      <c r="A416" s="77"/>
      <c r="B416" s="77"/>
      <c r="C416" s="77"/>
      <c r="D416" s="77"/>
      <c r="E416" s="77"/>
      <c r="F416" s="77"/>
    </row>
    <row r="417" spans="1:6">
      <c r="A417" s="77"/>
      <c r="B417" s="77"/>
      <c r="C417" s="77"/>
      <c r="D417" s="77"/>
      <c r="E417" s="77"/>
      <c r="F417" s="77"/>
    </row>
    <row r="418" spans="1:6">
      <c r="A418" s="77"/>
      <c r="B418" s="77"/>
      <c r="C418" s="77"/>
      <c r="D418" s="77"/>
      <c r="E418" s="77"/>
      <c r="F418" s="77"/>
    </row>
    <row r="419" spans="1:6">
      <c r="A419" s="77"/>
      <c r="B419" s="77"/>
      <c r="C419" s="77"/>
      <c r="D419" s="77"/>
      <c r="E419" s="77"/>
      <c r="F419" s="77"/>
    </row>
    <row r="420" spans="1:6">
      <c r="A420" s="77"/>
      <c r="B420" s="77"/>
      <c r="C420" s="77"/>
      <c r="D420" s="77"/>
      <c r="E420" s="77"/>
      <c r="F420" s="77"/>
    </row>
    <row r="421" spans="1:6">
      <c r="A421" s="77"/>
      <c r="B421" s="77"/>
      <c r="C421" s="77"/>
      <c r="D421" s="77"/>
      <c r="E421" s="77"/>
      <c r="F421" s="77"/>
    </row>
    <row r="422" spans="1:6">
      <c r="A422" s="77"/>
      <c r="B422" s="77"/>
      <c r="C422" s="77"/>
      <c r="D422" s="77"/>
      <c r="E422" s="77"/>
      <c r="F422" s="77"/>
    </row>
    <row r="423" spans="1:6">
      <c r="A423" s="77"/>
      <c r="B423" s="77"/>
      <c r="C423" s="77"/>
      <c r="D423" s="77"/>
      <c r="E423" s="77"/>
      <c r="F423" s="77"/>
    </row>
    <row r="424" spans="1:6">
      <c r="A424" s="77"/>
      <c r="B424" s="77"/>
      <c r="C424" s="77"/>
      <c r="D424" s="77"/>
      <c r="E424" s="77"/>
      <c r="F424" s="77"/>
    </row>
    <row r="425" spans="1:6">
      <c r="A425" s="77"/>
      <c r="B425" s="77"/>
      <c r="C425" s="77"/>
      <c r="D425" s="77"/>
      <c r="E425" s="77"/>
      <c r="F425" s="77"/>
    </row>
    <row r="426" spans="1:6">
      <c r="A426" s="77"/>
      <c r="B426" s="77"/>
      <c r="C426" s="77"/>
      <c r="D426" s="77"/>
      <c r="E426" s="77"/>
      <c r="F426" s="77"/>
    </row>
    <row r="427" spans="1:6">
      <c r="A427" s="77"/>
      <c r="B427" s="77"/>
      <c r="C427" s="77"/>
      <c r="D427" s="77"/>
      <c r="E427" s="77"/>
      <c r="F427" s="77"/>
    </row>
    <row r="428" spans="1:6">
      <c r="A428" s="77"/>
      <c r="B428" s="77"/>
      <c r="C428" s="77"/>
      <c r="D428" s="77"/>
      <c r="E428" s="77"/>
      <c r="F428" s="77"/>
    </row>
    <row r="429" spans="1:6">
      <c r="A429" s="77"/>
      <c r="B429" s="77"/>
      <c r="C429" s="77"/>
      <c r="D429" s="77"/>
      <c r="E429" s="77"/>
      <c r="F429" s="77"/>
    </row>
    <row r="430" spans="1:6">
      <c r="A430" s="77"/>
      <c r="B430" s="77"/>
      <c r="C430" s="77"/>
      <c r="D430" s="77"/>
      <c r="E430" s="77"/>
      <c r="F430" s="77"/>
    </row>
    <row r="431" spans="1:6">
      <c r="A431" s="77"/>
      <c r="B431" s="77"/>
      <c r="C431" s="77"/>
      <c r="D431" s="77"/>
      <c r="E431" s="77"/>
      <c r="F431" s="77"/>
    </row>
    <row r="432" spans="1:6">
      <c r="A432" s="77"/>
      <c r="B432" s="77"/>
      <c r="C432" s="77"/>
      <c r="D432" s="77"/>
      <c r="E432" s="77"/>
      <c r="F432" s="77"/>
    </row>
    <row r="433" spans="1:6">
      <c r="A433" s="77"/>
      <c r="B433" s="77"/>
      <c r="C433" s="77"/>
      <c r="D433" s="77"/>
      <c r="E433" s="77"/>
      <c r="F433" s="77"/>
    </row>
    <row r="434" spans="1:6">
      <c r="A434" s="77"/>
      <c r="B434" s="77"/>
      <c r="C434" s="77"/>
      <c r="D434" s="77"/>
      <c r="E434" s="77"/>
      <c r="F434" s="77"/>
    </row>
    <row r="435" spans="1:6">
      <c r="A435" s="77"/>
      <c r="B435" s="77"/>
      <c r="C435" s="77"/>
      <c r="D435" s="77"/>
      <c r="E435" s="77"/>
      <c r="F435" s="77"/>
    </row>
    <row r="436" spans="1:6">
      <c r="A436" s="77"/>
      <c r="B436" s="77"/>
      <c r="C436" s="77"/>
      <c r="D436" s="77"/>
      <c r="E436" s="77"/>
      <c r="F436" s="77"/>
    </row>
    <row r="437" spans="1:6">
      <c r="A437" s="77"/>
      <c r="B437" s="77"/>
      <c r="C437" s="77"/>
      <c r="D437" s="77"/>
      <c r="E437" s="77"/>
      <c r="F437" s="77"/>
    </row>
    <row r="438" spans="1:6">
      <c r="A438" s="77"/>
      <c r="B438" s="77"/>
      <c r="C438" s="77"/>
      <c r="D438" s="77"/>
      <c r="E438" s="77"/>
      <c r="F438" s="77"/>
    </row>
    <row r="439" spans="1:6">
      <c r="A439" s="77"/>
      <c r="B439" s="77"/>
      <c r="C439" s="77"/>
      <c r="D439" s="77"/>
      <c r="E439" s="77"/>
      <c r="F439" s="77"/>
    </row>
    <row r="440" spans="1:6">
      <c r="A440" s="77"/>
      <c r="B440" s="77"/>
      <c r="C440" s="77"/>
      <c r="D440" s="77"/>
      <c r="E440" s="77"/>
      <c r="F440" s="77"/>
    </row>
    <row r="441" spans="1:6">
      <c r="A441" s="77"/>
      <c r="B441" s="77"/>
      <c r="C441" s="77"/>
      <c r="D441" s="77"/>
      <c r="E441" s="77"/>
      <c r="F441" s="77"/>
    </row>
    <row r="442" spans="1:6">
      <c r="A442" s="77"/>
      <c r="B442" s="77"/>
      <c r="C442" s="77"/>
      <c r="D442" s="77"/>
      <c r="E442" s="77"/>
      <c r="F442" s="77"/>
    </row>
    <row r="443" spans="1:6">
      <c r="A443" s="77"/>
      <c r="B443" s="77"/>
      <c r="C443" s="77"/>
      <c r="D443" s="77"/>
      <c r="E443" s="77"/>
      <c r="F443" s="77"/>
    </row>
    <row r="444" spans="1:6">
      <c r="A444" s="77"/>
      <c r="B444" s="77"/>
      <c r="C444" s="77"/>
      <c r="D444" s="77"/>
      <c r="E444" s="77"/>
      <c r="F444" s="77"/>
    </row>
    <row r="445" spans="1:6">
      <c r="A445" s="77"/>
      <c r="B445" s="77"/>
      <c r="C445" s="77"/>
      <c r="D445" s="77"/>
      <c r="E445" s="77"/>
      <c r="F445" s="77"/>
    </row>
    <row r="446" spans="1:6">
      <c r="A446" s="77"/>
      <c r="B446" s="77"/>
      <c r="C446" s="77"/>
      <c r="D446" s="77"/>
      <c r="E446" s="77"/>
      <c r="F446" s="77"/>
    </row>
    <row r="447" spans="1:6">
      <c r="A447" s="77"/>
      <c r="B447" s="77"/>
      <c r="C447" s="77"/>
      <c r="D447" s="77"/>
      <c r="E447" s="77"/>
      <c r="F447" s="77"/>
    </row>
    <row r="448" spans="1:6">
      <c r="A448" s="77"/>
      <c r="B448" s="77"/>
      <c r="C448" s="77"/>
      <c r="D448" s="77"/>
      <c r="E448" s="77"/>
      <c r="F448" s="77"/>
    </row>
    <row r="449" spans="1:6">
      <c r="A449" s="77"/>
      <c r="B449" s="77"/>
      <c r="C449" s="77"/>
      <c r="D449" s="77"/>
      <c r="E449" s="77"/>
      <c r="F449" s="77"/>
    </row>
    <row r="450" spans="1:6">
      <c r="A450" s="77"/>
      <c r="B450" s="77"/>
      <c r="C450" s="77"/>
      <c r="D450" s="77"/>
      <c r="E450" s="77"/>
      <c r="F450" s="77"/>
    </row>
    <row r="451" spans="1:6">
      <c r="A451" s="77"/>
      <c r="B451" s="77"/>
      <c r="C451" s="77"/>
      <c r="D451" s="77"/>
      <c r="E451" s="77"/>
      <c r="F451" s="77"/>
    </row>
    <row r="452" spans="1:6">
      <c r="A452" s="77"/>
      <c r="B452" s="77"/>
      <c r="C452" s="77"/>
      <c r="D452" s="77"/>
      <c r="E452" s="77"/>
      <c r="F452" s="77"/>
    </row>
    <row r="453" spans="1:6">
      <c r="A453" s="77"/>
      <c r="B453" s="77"/>
      <c r="C453" s="77"/>
      <c r="D453" s="77"/>
      <c r="E453" s="77"/>
      <c r="F453" s="77"/>
    </row>
    <row r="454" spans="1:6">
      <c r="A454" s="77"/>
      <c r="B454" s="77"/>
      <c r="C454" s="77"/>
      <c r="D454" s="77"/>
      <c r="E454" s="77"/>
      <c r="F454" s="77"/>
    </row>
    <row r="455" spans="1:6">
      <c r="A455" s="77"/>
      <c r="B455" s="77"/>
      <c r="C455" s="77"/>
      <c r="D455" s="77"/>
      <c r="E455" s="77"/>
      <c r="F455" s="77"/>
    </row>
    <row r="456" spans="1:6">
      <c r="A456" s="77"/>
      <c r="B456" s="77"/>
      <c r="C456" s="77"/>
      <c r="D456" s="77"/>
      <c r="E456" s="77"/>
      <c r="F456" s="77"/>
    </row>
    <row r="457" spans="1:6">
      <c r="A457" s="77"/>
      <c r="B457" s="77"/>
      <c r="C457" s="77"/>
      <c r="D457" s="77"/>
      <c r="E457" s="77"/>
      <c r="F457" s="77"/>
    </row>
    <row r="458" spans="1:6">
      <c r="A458" s="77"/>
      <c r="B458" s="77"/>
      <c r="C458" s="77"/>
      <c r="D458" s="77"/>
      <c r="E458" s="77"/>
      <c r="F458" s="77"/>
    </row>
    <row r="459" spans="1:6">
      <c r="A459" s="77"/>
      <c r="B459" s="77"/>
      <c r="C459" s="77"/>
      <c r="D459" s="77"/>
      <c r="E459" s="77"/>
      <c r="F459" s="77"/>
    </row>
    <row r="460" spans="1:6">
      <c r="A460" s="77"/>
      <c r="B460" s="77"/>
      <c r="C460" s="77"/>
      <c r="D460" s="77"/>
      <c r="E460" s="77"/>
      <c r="F460" s="77"/>
    </row>
    <row r="461" spans="1:6">
      <c r="A461" s="77"/>
      <c r="B461" s="77"/>
      <c r="C461" s="77"/>
      <c r="D461" s="77"/>
      <c r="E461" s="77"/>
      <c r="F461" s="77"/>
    </row>
    <row r="462" spans="1:6">
      <c r="A462" s="77"/>
      <c r="B462" s="77"/>
      <c r="C462" s="77"/>
      <c r="D462" s="77"/>
      <c r="E462" s="77"/>
      <c r="F462" s="77"/>
    </row>
    <row r="463" spans="1:6">
      <c r="A463" s="77"/>
      <c r="B463" s="77"/>
      <c r="C463" s="77"/>
      <c r="D463" s="77"/>
      <c r="E463" s="77"/>
      <c r="F463" s="77"/>
    </row>
    <row r="464" spans="1:6">
      <c r="A464" s="77"/>
      <c r="B464" s="77"/>
      <c r="C464" s="77"/>
      <c r="D464" s="77"/>
      <c r="E464" s="77"/>
      <c r="F464" s="77"/>
    </row>
    <row r="465" spans="1:6">
      <c r="A465" s="77"/>
      <c r="B465" s="77"/>
      <c r="C465" s="77"/>
      <c r="D465" s="77"/>
      <c r="E465" s="77"/>
      <c r="F465" s="77"/>
    </row>
    <row r="466" spans="1:6">
      <c r="A466" s="77"/>
      <c r="B466" s="77"/>
      <c r="C466" s="77"/>
      <c r="D466" s="77"/>
      <c r="E466" s="77"/>
      <c r="F466" s="77"/>
    </row>
    <row r="467" spans="1:6">
      <c r="A467" s="77"/>
      <c r="B467" s="77"/>
      <c r="C467" s="77"/>
      <c r="D467" s="77"/>
      <c r="E467" s="77"/>
      <c r="F467" s="77"/>
    </row>
    <row r="468" spans="1:6">
      <c r="A468" s="77"/>
      <c r="B468" s="77"/>
      <c r="C468" s="77"/>
      <c r="D468" s="77"/>
      <c r="E468" s="77"/>
      <c r="F468" s="77"/>
    </row>
    <row r="469" spans="1:6">
      <c r="A469" s="77"/>
      <c r="B469" s="77"/>
      <c r="C469" s="77"/>
      <c r="D469" s="77"/>
      <c r="E469" s="77"/>
      <c r="F469" s="77"/>
    </row>
    <row r="470" spans="1:6">
      <c r="A470" s="77"/>
      <c r="B470" s="77"/>
      <c r="C470" s="77"/>
      <c r="D470" s="77"/>
      <c r="E470" s="77"/>
      <c r="F470" s="77"/>
    </row>
    <row r="471" spans="1:6">
      <c r="A471" s="77"/>
      <c r="B471" s="77"/>
      <c r="C471" s="77"/>
      <c r="D471" s="77"/>
      <c r="E471" s="77"/>
      <c r="F471" s="77"/>
    </row>
    <row r="472" spans="1:6">
      <c r="A472" s="77"/>
      <c r="B472" s="77"/>
      <c r="C472" s="77"/>
      <c r="D472" s="77"/>
      <c r="E472" s="77"/>
      <c r="F472" s="77"/>
    </row>
    <row r="473" spans="1:6">
      <c r="A473" s="77"/>
      <c r="B473" s="77"/>
      <c r="C473" s="77"/>
      <c r="D473" s="77"/>
      <c r="E473" s="77"/>
      <c r="F473" s="77"/>
    </row>
    <row r="474" spans="1:6">
      <c r="A474" s="77"/>
      <c r="B474" s="77"/>
      <c r="C474" s="77"/>
      <c r="D474" s="77"/>
      <c r="E474" s="77"/>
      <c r="F474" s="77"/>
    </row>
    <row r="475" spans="1:6">
      <c r="A475" s="77"/>
      <c r="B475" s="77"/>
      <c r="C475" s="77"/>
      <c r="D475" s="77"/>
      <c r="E475" s="77"/>
      <c r="F475" s="77"/>
    </row>
    <row r="476" spans="1:6">
      <c r="A476" s="77"/>
      <c r="B476" s="77"/>
      <c r="C476" s="77"/>
      <c r="D476" s="77"/>
      <c r="E476" s="77"/>
      <c r="F476" s="77"/>
    </row>
    <row r="477" spans="1:6">
      <c r="A477" s="77"/>
      <c r="B477" s="77"/>
      <c r="C477" s="77"/>
      <c r="D477" s="77"/>
      <c r="E477" s="77"/>
      <c r="F477" s="77"/>
    </row>
    <row r="478" spans="1:6">
      <c r="A478" s="77"/>
      <c r="B478" s="77"/>
      <c r="C478" s="77"/>
      <c r="D478" s="77"/>
      <c r="E478" s="77"/>
      <c r="F478" s="77"/>
    </row>
    <row r="479" spans="1:6">
      <c r="A479" s="77"/>
      <c r="B479" s="77"/>
      <c r="C479" s="77"/>
      <c r="D479" s="77"/>
      <c r="E479" s="77"/>
      <c r="F479" s="77"/>
    </row>
    <row r="480" spans="1:6">
      <c r="A480" s="77"/>
      <c r="B480" s="77"/>
      <c r="C480" s="77"/>
      <c r="D480" s="77"/>
      <c r="E480" s="77"/>
      <c r="F480" s="77"/>
    </row>
    <row r="481" spans="1:6">
      <c r="A481" s="77"/>
      <c r="B481" s="77"/>
      <c r="C481" s="77"/>
      <c r="D481" s="77"/>
      <c r="E481" s="77"/>
      <c r="F481" s="77"/>
    </row>
    <row r="482" spans="1:6">
      <c r="A482" s="77"/>
      <c r="B482" s="77"/>
      <c r="C482" s="77"/>
      <c r="D482" s="77"/>
      <c r="E482" s="77"/>
      <c r="F482" s="77"/>
    </row>
    <row r="483" spans="1:6">
      <c r="A483" s="77"/>
      <c r="B483" s="77"/>
      <c r="C483" s="77"/>
      <c r="D483" s="77"/>
      <c r="E483" s="77"/>
      <c r="F483" s="77"/>
    </row>
    <row r="484" spans="1:6">
      <c r="A484" s="77"/>
      <c r="B484" s="77"/>
      <c r="C484" s="77"/>
      <c r="D484" s="77"/>
      <c r="E484" s="77"/>
      <c r="F484" s="77"/>
    </row>
    <row r="485" spans="1:6">
      <c r="A485" s="77"/>
      <c r="B485" s="77"/>
      <c r="C485" s="77"/>
      <c r="D485" s="77"/>
      <c r="E485" s="77"/>
      <c r="F485" s="77"/>
    </row>
    <row r="486" spans="1:6">
      <c r="A486" s="77"/>
      <c r="B486" s="77"/>
      <c r="C486" s="77"/>
      <c r="D486" s="77"/>
      <c r="E486" s="77"/>
      <c r="F486" s="77"/>
    </row>
    <row r="487" spans="1:6">
      <c r="A487" s="77"/>
      <c r="B487" s="77"/>
      <c r="C487" s="77"/>
      <c r="D487" s="77"/>
      <c r="E487" s="77"/>
      <c r="F487" s="77"/>
    </row>
    <row r="488" spans="1:6">
      <c r="A488" s="77"/>
      <c r="B488" s="77"/>
      <c r="C488" s="77"/>
      <c r="D488" s="77"/>
      <c r="E488" s="77"/>
      <c r="F488" s="77"/>
    </row>
    <row r="489" spans="1:6">
      <c r="A489" s="77"/>
      <c r="B489" s="77"/>
      <c r="C489" s="77"/>
      <c r="D489" s="77"/>
      <c r="E489" s="77"/>
      <c r="F489" s="77"/>
    </row>
    <row r="490" spans="1:6">
      <c r="A490" s="77"/>
      <c r="B490" s="77"/>
      <c r="C490" s="77"/>
      <c r="D490" s="77"/>
      <c r="E490" s="77"/>
      <c r="F490" s="77"/>
    </row>
    <row r="491" spans="1:6">
      <c r="A491" s="77"/>
      <c r="B491" s="77"/>
      <c r="C491" s="77"/>
      <c r="D491" s="77"/>
      <c r="E491" s="77"/>
      <c r="F491" s="77"/>
    </row>
    <row r="492" spans="1:6">
      <c r="A492" s="77"/>
      <c r="B492" s="77"/>
      <c r="C492" s="77"/>
      <c r="D492" s="77"/>
      <c r="E492" s="77"/>
      <c r="F492" s="77"/>
    </row>
    <row r="493" spans="1:6">
      <c r="A493" s="77"/>
      <c r="B493" s="77"/>
      <c r="C493" s="77"/>
      <c r="D493" s="77"/>
      <c r="E493" s="77"/>
      <c r="F493" s="77"/>
    </row>
    <row r="494" spans="1:6">
      <c r="A494" s="77"/>
      <c r="B494" s="77"/>
      <c r="C494" s="77"/>
      <c r="D494" s="77"/>
      <c r="E494" s="77"/>
      <c r="F494" s="77"/>
    </row>
    <row r="495" spans="1:6">
      <c r="A495" s="77"/>
      <c r="B495" s="77"/>
      <c r="C495" s="77"/>
      <c r="D495" s="77"/>
      <c r="E495" s="77"/>
      <c r="F495" s="77"/>
    </row>
    <row r="496" spans="1:6">
      <c r="A496" s="77"/>
      <c r="B496" s="77"/>
      <c r="C496" s="77"/>
      <c r="D496" s="77"/>
      <c r="E496" s="77"/>
      <c r="F496" s="77"/>
    </row>
    <row r="497" spans="1:6">
      <c r="A497" s="77"/>
      <c r="B497" s="77"/>
      <c r="C497" s="77"/>
      <c r="D497" s="77"/>
      <c r="E497" s="77"/>
      <c r="F497" s="77"/>
    </row>
    <row r="498" spans="1:6">
      <c r="A498" s="77"/>
      <c r="B498" s="77"/>
      <c r="C498" s="77"/>
      <c r="D498" s="77"/>
      <c r="E498" s="77"/>
      <c r="F498" s="77"/>
    </row>
    <row r="499" spans="1:6">
      <c r="A499" s="77"/>
      <c r="B499" s="77"/>
      <c r="C499" s="77"/>
      <c r="D499" s="77"/>
      <c r="E499" s="77"/>
      <c r="F499" s="77"/>
    </row>
    <row r="500" spans="1:6">
      <c r="A500" s="77"/>
      <c r="B500" s="77"/>
      <c r="C500" s="77"/>
      <c r="D500" s="77"/>
      <c r="E500" s="77"/>
      <c r="F500" s="77"/>
    </row>
    <row r="501" spans="1:6">
      <c r="A501" s="77"/>
      <c r="B501" s="77"/>
      <c r="C501" s="77"/>
      <c r="D501" s="77"/>
      <c r="E501" s="77"/>
      <c r="F501" s="77"/>
    </row>
    <row r="502" spans="1:6">
      <c r="A502" s="77"/>
      <c r="B502" s="77"/>
      <c r="C502" s="77"/>
      <c r="D502" s="77"/>
      <c r="E502" s="77"/>
      <c r="F502" s="77"/>
    </row>
    <row r="503" spans="1:6">
      <c r="A503" s="77"/>
      <c r="B503" s="77"/>
      <c r="C503" s="77"/>
      <c r="D503" s="77"/>
      <c r="E503" s="77"/>
      <c r="F503" s="77"/>
    </row>
    <row r="504" spans="1:6">
      <c r="A504" s="77"/>
      <c r="B504" s="77"/>
      <c r="C504" s="77"/>
      <c r="D504" s="77"/>
      <c r="E504" s="77"/>
      <c r="F504" s="77"/>
    </row>
    <row r="505" spans="1:6">
      <c r="A505" s="77"/>
      <c r="B505" s="77"/>
      <c r="C505" s="77"/>
      <c r="D505" s="77"/>
      <c r="E505" s="77"/>
      <c r="F505" s="77"/>
    </row>
    <row r="506" spans="1:6">
      <c r="A506" s="77"/>
      <c r="B506" s="77"/>
      <c r="C506" s="77"/>
      <c r="D506" s="77"/>
      <c r="E506" s="77"/>
      <c r="F506" s="77"/>
    </row>
    <row r="507" spans="1:6">
      <c r="A507" s="77"/>
      <c r="B507" s="77"/>
      <c r="C507" s="77"/>
      <c r="D507" s="77"/>
      <c r="E507" s="77"/>
      <c r="F507" s="77"/>
    </row>
    <row r="508" spans="1:6">
      <c r="A508" s="77"/>
      <c r="B508" s="77"/>
      <c r="C508" s="77"/>
      <c r="D508" s="77"/>
      <c r="E508" s="77"/>
      <c r="F508" s="77"/>
    </row>
    <row r="509" spans="1:6">
      <c r="A509" s="77"/>
      <c r="B509" s="77"/>
      <c r="C509" s="77"/>
      <c r="D509" s="77"/>
      <c r="E509" s="77"/>
      <c r="F509" s="77"/>
    </row>
    <row r="510" spans="1:6">
      <c r="A510" s="77"/>
      <c r="B510" s="77"/>
      <c r="C510" s="77"/>
      <c r="D510" s="77"/>
      <c r="E510" s="77"/>
      <c r="F510" s="77"/>
    </row>
    <row r="511" spans="1:6">
      <c r="A511" s="77"/>
      <c r="B511" s="77"/>
      <c r="C511" s="77"/>
      <c r="D511" s="77"/>
      <c r="E511" s="77"/>
      <c r="F511" s="77"/>
    </row>
    <row r="512" spans="1:6">
      <c r="A512" s="77"/>
      <c r="B512" s="77"/>
      <c r="C512" s="77"/>
      <c r="D512" s="77"/>
      <c r="E512" s="77"/>
      <c r="F512" s="77"/>
    </row>
    <row r="513" spans="1:6">
      <c r="A513" s="77"/>
      <c r="B513" s="77"/>
      <c r="C513" s="77"/>
      <c r="D513" s="77"/>
      <c r="E513" s="77"/>
      <c r="F513" s="77"/>
    </row>
    <row r="514" spans="1:6">
      <c r="A514" s="77"/>
      <c r="B514" s="77"/>
      <c r="C514" s="77"/>
      <c r="D514" s="77"/>
      <c r="E514" s="77"/>
      <c r="F514" s="77"/>
    </row>
    <row r="515" spans="1:6">
      <c r="A515" s="77"/>
      <c r="B515" s="77"/>
      <c r="C515" s="77"/>
      <c r="D515" s="77"/>
      <c r="E515" s="77"/>
      <c r="F515" s="77"/>
    </row>
    <row r="516" spans="1:6">
      <c r="A516" s="77"/>
      <c r="B516" s="77"/>
      <c r="C516" s="77"/>
      <c r="D516" s="77"/>
      <c r="E516" s="77"/>
      <c r="F516" s="77"/>
    </row>
    <row r="517" spans="1:6">
      <c r="A517" s="77"/>
      <c r="B517" s="77"/>
      <c r="C517" s="77"/>
      <c r="D517" s="77"/>
      <c r="E517" s="77"/>
      <c r="F517" s="77"/>
    </row>
    <row r="518" spans="1:6">
      <c r="A518" s="77"/>
      <c r="B518" s="77"/>
      <c r="C518" s="77"/>
      <c r="D518" s="77"/>
      <c r="E518" s="77"/>
      <c r="F518" s="77"/>
    </row>
    <row r="519" spans="1:6">
      <c r="A519" s="77"/>
      <c r="B519" s="77"/>
      <c r="C519" s="77"/>
      <c r="D519" s="77"/>
      <c r="E519" s="77"/>
      <c r="F519" s="77"/>
    </row>
    <row r="520" spans="1:6">
      <c r="A520" s="77"/>
      <c r="B520" s="77"/>
      <c r="C520" s="77"/>
      <c r="D520" s="77"/>
      <c r="E520" s="77"/>
      <c r="F520" s="77"/>
    </row>
    <row r="521" spans="1:6">
      <c r="A521" s="77"/>
      <c r="B521" s="77"/>
      <c r="C521" s="77"/>
      <c r="D521" s="77"/>
      <c r="E521" s="77"/>
      <c r="F521" s="77"/>
    </row>
    <row r="522" spans="1:6">
      <c r="A522" s="77"/>
      <c r="B522" s="77"/>
      <c r="C522" s="77"/>
      <c r="D522" s="77"/>
      <c r="E522" s="77"/>
      <c r="F522" s="77"/>
    </row>
    <row r="523" spans="1:6">
      <c r="A523" s="77"/>
      <c r="B523" s="77"/>
      <c r="C523" s="77"/>
      <c r="D523" s="77"/>
      <c r="E523" s="77"/>
      <c r="F523" s="77"/>
    </row>
    <row r="524" spans="1:6">
      <c r="A524" s="77"/>
      <c r="B524" s="77"/>
      <c r="C524" s="77"/>
      <c r="D524" s="77"/>
      <c r="E524" s="77"/>
      <c r="F524" s="77"/>
    </row>
    <row r="525" spans="1:6">
      <c r="A525" s="77"/>
      <c r="B525" s="77"/>
      <c r="C525" s="77"/>
      <c r="D525" s="77"/>
      <c r="E525" s="77"/>
      <c r="F525" s="77"/>
    </row>
    <row r="526" spans="1:6">
      <c r="A526" s="77"/>
      <c r="B526" s="77"/>
      <c r="C526" s="77"/>
      <c r="D526" s="77"/>
      <c r="E526" s="77"/>
      <c r="F526" s="77"/>
    </row>
    <row r="527" spans="1:6">
      <c r="A527" s="77"/>
      <c r="B527" s="77"/>
      <c r="C527" s="77"/>
      <c r="D527" s="77"/>
      <c r="E527" s="77"/>
      <c r="F527" s="77"/>
    </row>
    <row r="528" spans="1:6">
      <c r="A528" s="77"/>
      <c r="B528" s="77"/>
      <c r="C528" s="77"/>
      <c r="D528" s="77"/>
      <c r="E528" s="77"/>
      <c r="F528" s="77"/>
    </row>
    <row r="529" spans="1:6">
      <c r="A529" s="77"/>
      <c r="B529" s="77"/>
      <c r="C529" s="77"/>
      <c r="D529" s="77"/>
      <c r="E529" s="77"/>
      <c r="F529" s="77"/>
    </row>
    <row r="530" spans="1:6">
      <c r="A530" s="77"/>
      <c r="B530" s="77"/>
      <c r="C530" s="77"/>
      <c r="D530" s="77"/>
      <c r="E530" s="77"/>
      <c r="F530" s="77"/>
    </row>
    <row r="531" spans="1:6">
      <c r="A531" s="77"/>
      <c r="B531" s="77"/>
      <c r="C531" s="77"/>
      <c r="D531" s="77"/>
      <c r="E531" s="77"/>
      <c r="F531" s="77"/>
    </row>
    <row r="532" spans="1:6">
      <c r="A532" s="77"/>
      <c r="B532" s="77"/>
      <c r="C532" s="77"/>
      <c r="D532" s="77"/>
      <c r="E532" s="77"/>
      <c r="F532" s="77"/>
    </row>
    <row r="533" spans="1:6">
      <c r="A533" s="77"/>
      <c r="B533" s="77"/>
      <c r="C533" s="77"/>
      <c r="D533" s="77"/>
      <c r="E533" s="77"/>
      <c r="F533" s="77"/>
    </row>
    <row r="534" spans="1:6">
      <c r="A534" s="77"/>
      <c r="B534" s="77"/>
      <c r="C534" s="77"/>
      <c r="D534" s="77"/>
      <c r="E534" s="77"/>
      <c r="F534" s="77"/>
    </row>
    <row r="535" spans="1:6">
      <c r="A535" s="77"/>
      <c r="B535" s="77"/>
      <c r="C535" s="77"/>
      <c r="D535" s="77"/>
      <c r="E535" s="77"/>
      <c r="F535" s="77"/>
    </row>
    <row r="536" spans="1:6">
      <c r="A536" s="77"/>
      <c r="B536" s="77"/>
      <c r="C536" s="77"/>
      <c r="D536" s="77"/>
      <c r="E536" s="77"/>
      <c r="F536" s="77"/>
    </row>
    <row r="537" spans="1:6">
      <c r="A537" s="77"/>
      <c r="B537" s="77"/>
      <c r="C537" s="77"/>
      <c r="D537" s="77"/>
      <c r="E537" s="77"/>
      <c r="F537" s="77"/>
    </row>
    <row r="538" spans="1:6">
      <c r="A538" s="77"/>
      <c r="B538" s="77"/>
      <c r="C538" s="77"/>
      <c r="D538" s="77"/>
      <c r="E538" s="77"/>
      <c r="F538" s="77"/>
    </row>
    <row r="539" spans="1:6">
      <c r="A539" s="77"/>
      <c r="B539" s="77"/>
      <c r="C539" s="77"/>
      <c r="D539" s="77"/>
      <c r="E539" s="77"/>
      <c r="F539" s="77"/>
    </row>
    <row r="540" spans="1:6">
      <c r="A540" s="77"/>
      <c r="B540" s="77"/>
      <c r="C540" s="77"/>
      <c r="D540" s="77"/>
      <c r="E540" s="77"/>
      <c r="F540" s="77"/>
    </row>
    <row r="541" spans="1:6">
      <c r="A541" s="77"/>
      <c r="B541" s="77"/>
      <c r="C541" s="77"/>
      <c r="D541" s="77"/>
      <c r="E541" s="77"/>
      <c r="F541" s="77"/>
    </row>
    <row r="542" spans="1:6">
      <c r="A542" s="77"/>
      <c r="B542" s="77"/>
      <c r="C542" s="77"/>
      <c r="D542" s="77"/>
      <c r="E542" s="77"/>
      <c r="F542" s="77"/>
    </row>
    <row r="543" spans="1:6">
      <c r="A543" s="77"/>
      <c r="B543" s="77"/>
      <c r="C543" s="77"/>
      <c r="D543" s="77"/>
      <c r="E543" s="77"/>
      <c r="F543" s="77"/>
    </row>
    <row r="544" spans="1:6">
      <c r="A544" s="77"/>
      <c r="B544" s="77"/>
      <c r="C544" s="77"/>
      <c r="D544" s="77"/>
      <c r="E544" s="77"/>
      <c r="F544" s="77"/>
    </row>
    <row r="545" spans="1:6">
      <c r="A545" s="77"/>
      <c r="B545" s="77"/>
      <c r="C545" s="77"/>
      <c r="D545" s="77"/>
      <c r="E545" s="77"/>
      <c r="F545" s="77"/>
    </row>
    <row r="546" spans="1:6">
      <c r="A546" s="77"/>
      <c r="B546" s="77"/>
      <c r="C546" s="77"/>
      <c r="D546" s="77"/>
      <c r="E546" s="77"/>
      <c r="F546" s="77"/>
    </row>
    <row r="547" spans="1:6">
      <c r="A547" s="77"/>
      <c r="B547" s="77"/>
      <c r="C547" s="77"/>
      <c r="D547" s="77"/>
      <c r="E547" s="77"/>
      <c r="F547" s="77"/>
    </row>
    <row r="548" spans="1:6">
      <c r="A548" s="77"/>
      <c r="B548" s="77"/>
      <c r="C548" s="77"/>
      <c r="D548" s="77"/>
      <c r="E548" s="77"/>
      <c r="F548" s="77"/>
    </row>
    <row r="549" spans="1:6">
      <c r="A549" s="77"/>
      <c r="B549" s="77"/>
      <c r="C549" s="77"/>
      <c r="D549" s="77"/>
      <c r="E549" s="77"/>
      <c r="F549" s="77"/>
    </row>
    <row r="550" spans="1:6">
      <c r="A550" s="77"/>
      <c r="B550" s="77"/>
      <c r="C550" s="77"/>
      <c r="D550" s="77"/>
      <c r="E550" s="77"/>
      <c r="F550" s="77"/>
    </row>
    <row r="551" spans="1:6">
      <c r="A551" s="77"/>
      <c r="B551" s="77"/>
      <c r="C551" s="77"/>
      <c r="D551" s="77"/>
      <c r="E551" s="77"/>
      <c r="F551" s="77"/>
    </row>
    <row r="552" spans="1:6">
      <c r="A552" s="77"/>
      <c r="B552" s="77"/>
      <c r="C552" s="77"/>
      <c r="D552" s="77"/>
      <c r="E552" s="77"/>
      <c r="F552" s="77"/>
    </row>
    <row r="553" spans="1:6">
      <c r="A553" s="77"/>
      <c r="B553" s="77"/>
      <c r="C553" s="77"/>
      <c r="D553" s="77"/>
      <c r="E553" s="77"/>
      <c r="F553" s="77"/>
    </row>
    <row r="554" spans="1:6">
      <c r="A554" s="77"/>
      <c r="B554" s="77"/>
      <c r="C554" s="77"/>
      <c r="D554" s="77"/>
      <c r="E554" s="77"/>
      <c r="F554" s="77"/>
    </row>
    <row r="555" spans="1:6">
      <c r="A555" s="77"/>
      <c r="B555" s="77"/>
      <c r="C555" s="77"/>
      <c r="D555" s="77"/>
      <c r="E555" s="77"/>
      <c r="F555" s="77"/>
    </row>
    <row r="556" spans="1:6">
      <c r="A556" s="77"/>
      <c r="B556" s="77"/>
      <c r="C556" s="77"/>
      <c r="D556" s="77"/>
      <c r="E556" s="77"/>
      <c r="F556" s="77"/>
    </row>
    <row r="557" spans="1:6">
      <c r="A557" s="77"/>
      <c r="B557" s="77"/>
      <c r="C557" s="77"/>
      <c r="D557" s="77"/>
      <c r="E557" s="77"/>
      <c r="F557" s="77"/>
    </row>
    <row r="558" spans="1:6">
      <c r="A558" s="77"/>
      <c r="B558" s="77"/>
      <c r="C558" s="77"/>
      <c r="D558" s="77"/>
      <c r="E558" s="77"/>
      <c r="F558" s="77"/>
    </row>
    <row r="559" spans="1:6">
      <c r="A559" s="77"/>
      <c r="B559" s="77"/>
      <c r="C559" s="77"/>
      <c r="D559" s="77"/>
      <c r="E559" s="77"/>
      <c r="F559" s="77"/>
    </row>
    <row r="560" spans="1:6">
      <c r="A560" s="77"/>
      <c r="B560" s="77"/>
      <c r="C560" s="77"/>
      <c r="D560" s="77"/>
      <c r="E560" s="77"/>
      <c r="F560" s="77"/>
    </row>
    <row r="561" spans="1:6">
      <c r="A561" s="77"/>
      <c r="B561" s="77"/>
      <c r="C561" s="77"/>
      <c r="D561" s="77"/>
      <c r="E561" s="77"/>
      <c r="F561" s="77"/>
    </row>
    <row r="562" spans="1:6">
      <c r="A562" s="77"/>
      <c r="B562" s="77"/>
      <c r="C562" s="77"/>
      <c r="D562" s="77"/>
      <c r="E562" s="77"/>
      <c r="F562" s="77"/>
    </row>
    <row r="563" spans="1:6">
      <c r="A563" s="77"/>
      <c r="B563" s="77"/>
      <c r="C563" s="77"/>
      <c r="D563" s="77"/>
      <c r="E563" s="77"/>
      <c r="F563" s="77"/>
    </row>
    <row r="564" spans="1:6">
      <c r="A564" s="77"/>
      <c r="B564" s="77"/>
      <c r="C564" s="77"/>
      <c r="D564" s="77"/>
      <c r="E564" s="77"/>
      <c r="F564" s="77"/>
    </row>
    <row r="565" spans="1:6">
      <c r="A565" s="77"/>
      <c r="B565" s="77"/>
      <c r="C565" s="77"/>
      <c r="D565" s="77"/>
      <c r="E565" s="77"/>
      <c r="F565" s="77"/>
    </row>
    <row r="566" spans="1:6">
      <c r="A566" s="77"/>
      <c r="B566" s="77"/>
      <c r="C566" s="77"/>
      <c r="D566" s="77"/>
      <c r="E566" s="77"/>
      <c r="F566" s="77"/>
    </row>
    <row r="567" spans="1:6">
      <c r="A567" s="77"/>
      <c r="B567" s="77"/>
      <c r="C567" s="77"/>
      <c r="D567" s="77"/>
      <c r="E567" s="77"/>
      <c r="F567" s="77"/>
    </row>
    <row r="568" spans="1:6">
      <c r="A568" s="77"/>
      <c r="B568" s="77"/>
      <c r="C568" s="77"/>
      <c r="D568" s="77"/>
      <c r="E568" s="77"/>
      <c r="F568" s="77"/>
    </row>
    <row r="569" spans="1:6">
      <c r="A569" s="77"/>
      <c r="B569" s="77"/>
      <c r="C569" s="77"/>
      <c r="D569" s="77"/>
      <c r="E569" s="77"/>
      <c r="F569" s="77"/>
    </row>
    <row r="570" spans="1:6">
      <c r="A570" s="77"/>
      <c r="B570" s="77"/>
      <c r="C570" s="77"/>
      <c r="D570" s="77"/>
      <c r="E570" s="77"/>
      <c r="F570" s="77"/>
    </row>
    <row r="571" spans="1:6">
      <c r="A571" s="77"/>
      <c r="B571" s="77"/>
      <c r="C571" s="77"/>
      <c r="D571" s="77"/>
      <c r="E571" s="77"/>
      <c r="F571" s="77"/>
    </row>
    <row r="572" spans="1:6">
      <c r="A572" s="77"/>
      <c r="B572" s="77"/>
      <c r="C572" s="77"/>
      <c r="D572" s="77"/>
      <c r="E572" s="77"/>
      <c r="F572" s="77"/>
    </row>
    <row r="573" spans="1:6">
      <c r="A573" s="77"/>
      <c r="B573" s="77"/>
      <c r="C573" s="77"/>
      <c r="D573" s="77"/>
      <c r="E573" s="77"/>
      <c r="F573" s="77"/>
    </row>
    <row r="574" spans="1:6">
      <c r="A574" s="77"/>
      <c r="B574" s="77"/>
      <c r="C574" s="77"/>
      <c r="D574" s="77"/>
      <c r="E574" s="77"/>
      <c r="F574" s="77"/>
    </row>
    <row r="575" spans="1:6">
      <c r="A575" s="77"/>
      <c r="B575" s="77"/>
      <c r="C575" s="77"/>
      <c r="D575" s="77"/>
      <c r="E575" s="77"/>
      <c r="F575" s="77"/>
    </row>
    <row r="576" spans="1:6">
      <c r="A576" s="77"/>
      <c r="B576" s="77"/>
      <c r="C576" s="77"/>
      <c r="D576" s="77"/>
      <c r="E576" s="77"/>
      <c r="F576" s="77"/>
    </row>
    <row r="577" spans="1:6">
      <c r="A577" s="77"/>
      <c r="B577" s="77"/>
      <c r="C577" s="77"/>
      <c r="D577" s="77"/>
      <c r="E577" s="77"/>
      <c r="F577" s="77"/>
    </row>
    <row r="578" spans="1:6">
      <c r="A578" s="77"/>
      <c r="B578" s="77"/>
      <c r="C578" s="77"/>
      <c r="D578" s="77"/>
      <c r="E578" s="77"/>
      <c r="F578" s="77"/>
    </row>
    <row r="579" spans="1:6">
      <c r="A579" s="77"/>
      <c r="B579" s="77"/>
      <c r="C579" s="77"/>
      <c r="D579" s="77"/>
      <c r="E579" s="77"/>
      <c r="F579" s="77"/>
    </row>
    <row r="580" spans="1:6">
      <c r="A580" s="77"/>
      <c r="B580" s="77"/>
      <c r="C580" s="77"/>
      <c r="D580" s="77"/>
      <c r="E580" s="77"/>
      <c r="F580" s="77"/>
    </row>
    <row r="581" spans="1:6">
      <c r="A581" s="77"/>
      <c r="B581" s="77"/>
      <c r="C581" s="77"/>
      <c r="D581" s="77"/>
      <c r="E581" s="77"/>
      <c r="F581" s="77"/>
    </row>
    <row r="582" spans="1:6">
      <c r="A582" s="77"/>
      <c r="B582" s="77"/>
      <c r="C582" s="77"/>
      <c r="D582" s="77"/>
      <c r="E582" s="77"/>
      <c r="F582" s="77"/>
    </row>
    <row r="583" spans="1:6">
      <c r="A583" s="77"/>
      <c r="B583" s="77"/>
      <c r="C583" s="77"/>
      <c r="D583" s="77"/>
      <c r="E583" s="77"/>
      <c r="F583" s="77"/>
    </row>
    <row r="584" spans="1:6">
      <c r="A584" s="77"/>
      <c r="B584" s="77"/>
      <c r="C584" s="77"/>
      <c r="D584" s="77"/>
      <c r="E584" s="77"/>
      <c r="F584" s="77"/>
    </row>
    <row r="585" spans="1:6">
      <c r="A585" s="77"/>
      <c r="B585" s="77"/>
      <c r="C585" s="77"/>
      <c r="D585" s="77"/>
      <c r="E585" s="77"/>
      <c r="F585" s="77"/>
    </row>
    <row r="586" spans="1:6">
      <c r="A586" s="77"/>
      <c r="B586" s="77"/>
      <c r="C586" s="77"/>
      <c r="D586" s="77"/>
      <c r="E586" s="77"/>
      <c r="F586" s="77"/>
    </row>
    <row r="587" spans="1:6">
      <c r="A587" s="77"/>
      <c r="B587" s="77"/>
      <c r="C587" s="77"/>
      <c r="D587" s="77"/>
      <c r="E587" s="77"/>
      <c r="F587" s="77"/>
    </row>
    <row r="588" spans="1:6">
      <c r="A588" s="77"/>
      <c r="B588" s="77"/>
      <c r="C588" s="77"/>
      <c r="D588" s="77"/>
      <c r="E588" s="77"/>
      <c r="F588" s="77"/>
    </row>
    <row r="589" spans="1:6">
      <c r="A589" s="77"/>
      <c r="B589" s="77"/>
      <c r="C589" s="77"/>
      <c r="D589" s="77"/>
      <c r="E589" s="77"/>
      <c r="F589" s="77"/>
    </row>
    <row r="590" spans="1:6">
      <c r="A590" s="77"/>
      <c r="B590" s="77"/>
      <c r="C590" s="77"/>
      <c r="D590" s="77"/>
      <c r="E590" s="77"/>
      <c r="F590" s="77"/>
    </row>
    <row r="591" spans="1:6">
      <c r="A591" s="77"/>
      <c r="B591" s="77"/>
      <c r="C591" s="77"/>
      <c r="D591" s="77"/>
      <c r="E591" s="77"/>
      <c r="F591" s="77"/>
    </row>
    <row r="592" spans="1:6">
      <c r="A592" s="77"/>
      <c r="B592" s="77"/>
      <c r="C592" s="77"/>
      <c r="D592" s="77"/>
      <c r="E592" s="77"/>
      <c r="F592" s="77"/>
    </row>
    <row r="593" spans="1:6">
      <c r="A593" s="77"/>
      <c r="B593" s="77"/>
      <c r="C593" s="77"/>
      <c r="D593" s="77"/>
      <c r="E593" s="77"/>
      <c r="F593" s="77"/>
    </row>
    <row r="594" spans="1:6">
      <c r="A594" s="77"/>
      <c r="B594" s="77"/>
      <c r="C594" s="77"/>
      <c r="D594" s="77"/>
      <c r="E594" s="77"/>
      <c r="F594" s="77"/>
    </row>
    <row r="595" spans="1:6">
      <c r="A595" s="77"/>
      <c r="B595" s="77"/>
      <c r="C595" s="77"/>
      <c r="D595" s="77"/>
      <c r="E595" s="77"/>
      <c r="F595" s="77"/>
    </row>
    <row r="596" spans="1:6">
      <c r="A596" s="77"/>
      <c r="B596" s="77"/>
      <c r="C596" s="77"/>
      <c r="D596" s="77"/>
      <c r="E596" s="77"/>
      <c r="F596" s="77"/>
    </row>
    <row r="597" spans="1:6">
      <c r="A597" s="77"/>
      <c r="B597" s="77"/>
      <c r="C597" s="77"/>
      <c r="D597" s="77"/>
      <c r="E597" s="77"/>
      <c r="F597" s="77"/>
    </row>
    <row r="598" spans="1:6">
      <c r="A598" s="77"/>
      <c r="B598" s="77"/>
      <c r="C598" s="77"/>
      <c r="D598" s="77"/>
      <c r="E598" s="77"/>
      <c r="F598" s="77"/>
    </row>
    <row r="599" spans="1:6">
      <c r="A599" s="77"/>
      <c r="B599" s="77"/>
      <c r="C599" s="77"/>
      <c r="D599" s="77"/>
      <c r="E599" s="77"/>
      <c r="F599" s="77"/>
    </row>
    <row r="600" spans="1:6">
      <c r="A600" s="77"/>
      <c r="B600" s="77"/>
      <c r="C600" s="77"/>
      <c r="D600" s="77"/>
      <c r="E600" s="77"/>
      <c r="F600" s="77"/>
    </row>
    <row r="601" spans="1:6">
      <c r="A601" s="77"/>
      <c r="B601" s="77"/>
      <c r="C601" s="77"/>
      <c r="D601" s="77"/>
      <c r="E601" s="77"/>
      <c r="F601" s="77"/>
    </row>
    <row r="602" spans="1:6">
      <c r="A602" s="77"/>
      <c r="B602" s="77"/>
      <c r="C602" s="77"/>
      <c r="D602" s="77"/>
      <c r="E602" s="77"/>
      <c r="F602" s="77"/>
    </row>
    <row r="603" spans="1:6">
      <c r="A603" s="77"/>
      <c r="B603" s="77"/>
      <c r="C603" s="77"/>
      <c r="D603" s="77"/>
      <c r="E603" s="77"/>
      <c r="F603" s="77"/>
    </row>
    <row r="604" spans="1:6">
      <c r="A604" s="77"/>
      <c r="B604" s="77"/>
      <c r="C604" s="77"/>
      <c r="D604" s="77"/>
      <c r="E604" s="77"/>
      <c r="F604" s="77"/>
    </row>
    <row r="605" spans="1:6">
      <c r="A605" s="77"/>
      <c r="B605" s="77"/>
      <c r="C605" s="77"/>
      <c r="D605" s="77"/>
      <c r="E605" s="77"/>
      <c r="F605" s="77"/>
    </row>
    <row r="606" spans="1:6">
      <c r="A606" s="77"/>
      <c r="B606" s="77"/>
      <c r="C606" s="77"/>
      <c r="D606" s="77"/>
      <c r="E606" s="77"/>
      <c r="F606" s="77"/>
    </row>
    <row r="607" spans="1:6">
      <c r="A607" s="77"/>
      <c r="B607" s="77"/>
      <c r="C607" s="77"/>
      <c r="D607" s="77"/>
      <c r="E607" s="77"/>
      <c r="F607" s="77"/>
    </row>
    <row r="608" spans="1:6">
      <c r="A608" s="77"/>
      <c r="B608" s="77"/>
      <c r="C608" s="77"/>
      <c r="D608" s="77"/>
      <c r="E608" s="77"/>
      <c r="F608" s="77"/>
    </row>
    <row r="609" spans="1:6">
      <c r="A609" s="77"/>
      <c r="B609" s="77"/>
      <c r="C609" s="77"/>
      <c r="D609" s="77"/>
      <c r="E609" s="77"/>
      <c r="F609" s="77"/>
    </row>
    <row r="610" spans="1:6">
      <c r="A610" s="77"/>
      <c r="B610" s="77"/>
      <c r="C610" s="77"/>
      <c r="D610" s="77"/>
      <c r="E610" s="77"/>
      <c r="F610" s="77"/>
    </row>
    <row r="611" spans="1:6">
      <c r="A611" s="77"/>
      <c r="B611" s="77"/>
      <c r="C611" s="77"/>
      <c r="D611" s="77"/>
      <c r="E611" s="77"/>
      <c r="F611" s="77"/>
    </row>
    <row r="612" spans="1:6">
      <c r="A612" s="77"/>
      <c r="B612" s="77"/>
      <c r="C612" s="77"/>
      <c r="D612" s="77"/>
      <c r="E612" s="77"/>
      <c r="F612" s="77"/>
    </row>
    <row r="613" spans="1:6">
      <c r="A613" s="77"/>
      <c r="B613" s="77"/>
      <c r="C613" s="77"/>
      <c r="D613" s="77"/>
      <c r="E613" s="77"/>
      <c r="F613" s="77"/>
    </row>
    <row r="614" spans="1:6">
      <c r="A614" s="77"/>
      <c r="B614" s="77"/>
      <c r="C614" s="77"/>
      <c r="D614" s="77"/>
      <c r="E614" s="77"/>
      <c r="F614" s="77"/>
    </row>
    <row r="615" spans="1:6">
      <c r="A615" s="77"/>
      <c r="B615" s="77"/>
      <c r="C615" s="77"/>
      <c r="D615" s="77"/>
      <c r="E615" s="77"/>
      <c r="F615" s="77"/>
    </row>
    <row r="616" spans="1:6">
      <c r="A616" s="77"/>
      <c r="B616" s="77"/>
      <c r="C616" s="77"/>
      <c r="D616" s="77"/>
      <c r="E616" s="77"/>
      <c r="F616" s="77"/>
    </row>
    <row r="617" spans="1:6">
      <c r="A617" s="77"/>
      <c r="B617" s="77"/>
      <c r="C617" s="77"/>
      <c r="D617" s="77"/>
      <c r="E617" s="77"/>
      <c r="F617" s="77"/>
    </row>
    <row r="618" spans="1:6">
      <c r="A618" s="77"/>
      <c r="B618" s="77"/>
      <c r="C618" s="77"/>
      <c r="D618" s="77"/>
      <c r="E618" s="77"/>
      <c r="F618" s="77"/>
    </row>
    <row r="619" spans="1:6">
      <c r="A619" s="77"/>
      <c r="B619" s="77"/>
      <c r="C619" s="77"/>
      <c r="D619" s="77"/>
      <c r="E619" s="77"/>
      <c r="F619" s="77"/>
    </row>
    <row r="620" spans="1:6">
      <c r="A620" s="77"/>
      <c r="B620" s="77"/>
      <c r="C620" s="77"/>
      <c r="D620" s="77"/>
      <c r="E620" s="77"/>
      <c r="F620" s="77"/>
    </row>
    <row r="621" spans="1:6">
      <c r="A621" s="77"/>
      <c r="B621" s="77"/>
      <c r="C621" s="77"/>
      <c r="D621" s="77"/>
      <c r="E621" s="77"/>
      <c r="F621" s="77"/>
    </row>
    <row r="622" spans="1:6">
      <c r="A622" s="77"/>
      <c r="B622" s="77"/>
      <c r="C622" s="77"/>
      <c r="D622" s="77"/>
      <c r="E622" s="77"/>
      <c r="F622" s="77"/>
    </row>
    <row r="623" spans="1:6">
      <c r="A623" s="77"/>
      <c r="B623" s="77"/>
      <c r="C623" s="77"/>
      <c r="D623" s="77"/>
      <c r="E623" s="77"/>
      <c r="F623" s="77"/>
    </row>
    <row r="624" spans="1:6">
      <c r="A624" s="77"/>
      <c r="B624" s="77"/>
      <c r="C624" s="77"/>
      <c r="D624" s="77"/>
      <c r="E624" s="77"/>
      <c r="F624" s="77"/>
    </row>
    <row r="625" spans="1:6">
      <c r="A625" s="77"/>
      <c r="B625" s="77"/>
      <c r="C625" s="77"/>
      <c r="D625" s="77"/>
      <c r="E625" s="77"/>
      <c r="F625" s="77"/>
    </row>
    <row r="626" spans="1:6">
      <c r="A626" s="77"/>
      <c r="B626" s="77"/>
      <c r="C626" s="77"/>
      <c r="D626" s="77"/>
      <c r="E626" s="77"/>
      <c r="F626" s="77"/>
    </row>
    <row r="627" spans="1:6">
      <c r="A627" s="77"/>
      <c r="B627" s="77"/>
      <c r="C627" s="77"/>
      <c r="D627" s="77"/>
      <c r="E627" s="77"/>
      <c r="F627" s="77"/>
    </row>
    <row r="628" spans="1:6">
      <c r="A628" s="77"/>
      <c r="B628" s="77"/>
      <c r="C628" s="77"/>
      <c r="D628" s="77"/>
      <c r="E628" s="77"/>
      <c r="F628" s="77"/>
    </row>
    <row r="629" spans="1:6">
      <c r="A629" s="77"/>
      <c r="B629" s="77"/>
      <c r="C629" s="77"/>
      <c r="D629" s="77"/>
      <c r="E629" s="77"/>
      <c r="F629" s="77"/>
    </row>
    <row r="630" spans="1:6">
      <c r="A630" s="77"/>
      <c r="B630" s="77"/>
      <c r="C630" s="77"/>
      <c r="D630" s="77"/>
      <c r="E630" s="77"/>
      <c r="F630" s="77"/>
    </row>
    <row r="631" spans="1:6">
      <c r="A631" s="77"/>
      <c r="B631" s="77"/>
      <c r="C631" s="77"/>
      <c r="D631" s="77"/>
      <c r="E631" s="77"/>
      <c r="F631" s="77"/>
    </row>
    <row r="632" spans="1:6">
      <c r="A632" s="77"/>
      <c r="B632" s="77"/>
      <c r="C632" s="77"/>
      <c r="D632" s="77"/>
      <c r="E632" s="77"/>
      <c r="F632" s="77"/>
    </row>
    <row r="633" spans="1:6">
      <c r="A633" s="77"/>
      <c r="B633" s="77"/>
      <c r="C633" s="77"/>
      <c r="D633" s="77"/>
      <c r="E633" s="77"/>
      <c r="F633" s="77"/>
    </row>
    <row r="634" spans="1:6">
      <c r="A634" s="77"/>
      <c r="B634" s="77"/>
      <c r="C634" s="77"/>
      <c r="D634" s="77"/>
      <c r="E634" s="77"/>
      <c r="F634" s="77"/>
    </row>
    <row r="635" spans="1:6">
      <c r="A635" s="77"/>
      <c r="B635" s="77"/>
      <c r="C635" s="77"/>
      <c r="D635" s="77"/>
      <c r="E635" s="77"/>
      <c r="F635" s="77"/>
    </row>
    <row r="636" spans="1:6">
      <c r="A636" s="77"/>
      <c r="B636" s="77"/>
      <c r="C636" s="77"/>
      <c r="D636" s="77"/>
      <c r="E636" s="77"/>
      <c r="F636" s="77"/>
    </row>
    <row r="637" spans="1:6">
      <c r="A637" s="77"/>
      <c r="B637" s="77"/>
      <c r="C637" s="77"/>
      <c r="D637" s="77"/>
      <c r="E637" s="77"/>
      <c r="F637" s="77"/>
    </row>
    <row r="638" spans="1:6">
      <c r="A638" s="77"/>
      <c r="B638" s="77"/>
      <c r="C638" s="77"/>
      <c r="D638" s="77"/>
      <c r="E638" s="77"/>
      <c r="F638" s="77"/>
    </row>
    <row r="639" spans="1:6">
      <c r="A639" s="77"/>
      <c r="B639" s="77"/>
      <c r="C639" s="77"/>
      <c r="D639" s="77"/>
      <c r="E639" s="77"/>
      <c r="F639" s="77"/>
    </row>
    <row r="640" spans="1:6">
      <c r="A640" s="77"/>
      <c r="B640" s="77"/>
      <c r="C640" s="77"/>
      <c r="D640" s="77"/>
      <c r="E640" s="77"/>
      <c r="F640" s="77"/>
    </row>
    <row r="641" spans="1:6">
      <c r="A641" s="77"/>
      <c r="B641" s="77"/>
      <c r="C641" s="77"/>
      <c r="D641" s="77"/>
      <c r="E641" s="77"/>
      <c r="F641" s="77"/>
    </row>
    <row r="642" spans="1:6">
      <c r="A642" s="77"/>
      <c r="B642" s="77"/>
      <c r="C642" s="77"/>
      <c r="D642" s="77"/>
      <c r="E642" s="77"/>
      <c r="F642" s="77"/>
    </row>
    <row r="643" spans="1:6">
      <c r="A643" s="77"/>
      <c r="B643" s="77"/>
      <c r="C643" s="77"/>
      <c r="D643" s="77"/>
      <c r="E643" s="77"/>
      <c r="F643" s="77"/>
    </row>
    <row r="644" spans="1:6">
      <c r="A644" s="77"/>
      <c r="B644" s="77"/>
      <c r="C644" s="77"/>
      <c r="D644" s="77"/>
      <c r="E644" s="77"/>
      <c r="F644" s="77"/>
    </row>
    <row r="645" spans="1:6">
      <c r="A645" s="77"/>
      <c r="B645" s="77"/>
      <c r="C645" s="77"/>
      <c r="D645" s="77"/>
      <c r="E645" s="77"/>
      <c r="F645" s="77"/>
    </row>
    <row r="646" spans="1:6">
      <c r="A646" s="77"/>
      <c r="B646" s="77"/>
      <c r="C646" s="77"/>
      <c r="D646" s="77"/>
      <c r="E646" s="77"/>
      <c r="F646" s="77"/>
    </row>
    <row r="647" spans="1:6">
      <c r="A647" s="77"/>
      <c r="B647" s="77"/>
      <c r="C647" s="77"/>
      <c r="D647" s="77"/>
      <c r="E647" s="77"/>
      <c r="F647" s="77"/>
    </row>
    <row r="648" spans="1:6">
      <c r="A648" s="77"/>
      <c r="B648" s="77"/>
      <c r="C648" s="77"/>
      <c r="D648" s="77"/>
      <c r="E648" s="77"/>
      <c r="F648" s="77"/>
    </row>
    <row r="649" spans="1:6">
      <c r="A649" s="77"/>
      <c r="B649" s="77"/>
      <c r="C649" s="77"/>
      <c r="D649" s="77"/>
      <c r="E649" s="77"/>
      <c r="F649" s="77"/>
    </row>
    <row r="650" spans="1:6">
      <c r="A650" s="77"/>
      <c r="B650" s="77"/>
      <c r="C650" s="77"/>
      <c r="D650" s="77"/>
      <c r="E650" s="77"/>
      <c r="F650" s="77"/>
    </row>
    <row r="651" spans="1:6">
      <c r="A651" s="77"/>
      <c r="B651" s="77"/>
      <c r="C651" s="77"/>
      <c r="D651" s="77"/>
      <c r="E651" s="77"/>
      <c r="F651" s="77"/>
    </row>
    <row r="652" spans="1:6">
      <c r="A652" s="77"/>
      <c r="B652" s="77"/>
      <c r="C652" s="77"/>
      <c r="D652" s="77"/>
      <c r="E652" s="77"/>
      <c r="F652" s="77"/>
    </row>
    <row r="653" spans="1:6">
      <c r="A653" s="77"/>
      <c r="B653" s="77"/>
      <c r="C653" s="77"/>
      <c r="D653" s="77"/>
      <c r="E653" s="77"/>
      <c r="F653" s="77"/>
    </row>
    <row r="654" spans="1:6">
      <c r="A654" s="77"/>
      <c r="B654" s="77"/>
      <c r="C654" s="77"/>
      <c r="D654" s="77"/>
      <c r="E654" s="77"/>
      <c r="F654" s="77"/>
    </row>
    <row r="655" spans="1:6">
      <c r="A655" s="77"/>
      <c r="B655" s="77"/>
      <c r="C655" s="77"/>
      <c r="D655" s="77"/>
      <c r="E655" s="77"/>
      <c r="F655" s="77"/>
    </row>
    <row r="656" spans="1:6">
      <c r="A656" s="77"/>
      <c r="B656" s="77"/>
      <c r="C656" s="77"/>
      <c r="D656" s="77"/>
      <c r="E656" s="77"/>
      <c r="F656" s="77"/>
    </row>
    <row r="657" spans="1:6">
      <c r="A657" s="77"/>
      <c r="B657" s="77"/>
      <c r="C657" s="77"/>
      <c r="D657" s="77"/>
      <c r="E657" s="77"/>
      <c r="F657" s="77"/>
    </row>
    <row r="658" spans="1:6">
      <c r="A658" s="77"/>
      <c r="B658" s="77"/>
      <c r="C658" s="77"/>
      <c r="D658" s="77"/>
      <c r="E658" s="77"/>
      <c r="F658" s="77"/>
    </row>
    <row r="659" spans="1:6">
      <c r="A659" s="77"/>
      <c r="B659" s="77"/>
      <c r="C659" s="77"/>
      <c r="D659" s="77"/>
      <c r="E659" s="77"/>
      <c r="F659" s="77"/>
    </row>
    <row r="660" spans="1:6">
      <c r="A660" s="77"/>
      <c r="B660" s="77"/>
      <c r="C660" s="77"/>
      <c r="D660" s="77"/>
      <c r="E660" s="77"/>
      <c r="F660" s="77"/>
    </row>
    <row r="661" spans="1:6">
      <c r="A661" s="77"/>
      <c r="B661" s="77"/>
      <c r="C661" s="77"/>
      <c r="D661" s="77"/>
      <c r="E661" s="77"/>
      <c r="F661" s="77"/>
    </row>
    <row r="662" spans="1:6">
      <c r="A662" s="77"/>
      <c r="B662" s="77"/>
      <c r="C662" s="77"/>
      <c r="D662" s="77"/>
      <c r="E662" s="77"/>
      <c r="F662" s="77"/>
    </row>
    <row r="663" spans="1:6">
      <c r="A663" s="77"/>
      <c r="B663" s="77"/>
      <c r="C663" s="77"/>
      <c r="D663" s="77"/>
      <c r="E663" s="77"/>
      <c r="F663" s="77"/>
    </row>
    <row r="664" spans="1:6">
      <c r="A664" s="77"/>
      <c r="B664" s="77"/>
      <c r="C664" s="77"/>
      <c r="D664" s="77"/>
      <c r="E664" s="77"/>
      <c r="F664" s="77"/>
    </row>
    <row r="665" spans="1:6">
      <c r="A665" s="77"/>
      <c r="B665" s="77"/>
      <c r="C665" s="77"/>
      <c r="D665" s="77"/>
      <c r="E665" s="77"/>
      <c r="F665" s="77"/>
    </row>
    <row r="666" spans="1:6">
      <c r="A666" s="77"/>
      <c r="B666" s="77"/>
      <c r="C666" s="77"/>
      <c r="D666" s="77"/>
      <c r="E666" s="77"/>
      <c r="F666" s="77"/>
    </row>
    <row r="667" spans="1:6">
      <c r="A667" s="77"/>
      <c r="B667" s="77"/>
      <c r="C667" s="77"/>
      <c r="D667" s="77"/>
      <c r="E667" s="77"/>
      <c r="F667" s="77"/>
    </row>
    <row r="668" spans="1:6">
      <c r="A668" s="77"/>
      <c r="B668" s="77"/>
      <c r="C668" s="77"/>
      <c r="D668" s="77"/>
      <c r="E668" s="77"/>
      <c r="F668" s="77"/>
    </row>
    <row r="669" spans="1:6">
      <c r="A669" s="77"/>
      <c r="B669" s="77"/>
      <c r="C669" s="77"/>
      <c r="D669" s="77"/>
      <c r="E669" s="77"/>
      <c r="F669" s="77"/>
    </row>
    <row r="670" spans="1:6">
      <c r="A670" s="77"/>
      <c r="B670" s="77"/>
      <c r="C670" s="77"/>
      <c r="D670" s="77"/>
      <c r="E670" s="77"/>
      <c r="F670" s="77"/>
    </row>
    <row r="671" spans="1:6">
      <c r="A671" s="77"/>
      <c r="B671" s="77"/>
      <c r="C671" s="77"/>
      <c r="D671" s="77"/>
      <c r="E671" s="77"/>
      <c r="F671" s="77"/>
    </row>
    <row r="672" spans="1:6">
      <c r="A672" s="77"/>
      <c r="B672" s="77"/>
      <c r="C672" s="77"/>
      <c r="D672" s="77"/>
      <c r="E672" s="77"/>
      <c r="F672" s="77"/>
    </row>
    <row r="673" spans="1:6">
      <c r="A673" s="77"/>
      <c r="B673" s="77"/>
      <c r="C673" s="77"/>
      <c r="D673" s="77"/>
      <c r="E673" s="77"/>
      <c r="F673" s="77"/>
    </row>
    <row r="674" spans="1:6">
      <c r="A674" s="77"/>
      <c r="B674" s="77"/>
      <c r="C674" s="77"/>
      <c r="D674" s="77"/>
      <c r="E674" s="77"/>
      <c r="F674" s="77"/>
    </row>
    <row r="675" spans="1:6">
      <c r="A675" s="77"/>
      <c r="B675" s="77"/>
      <c r="C675" s="77"/>
      <c r="D675" s="77"/>
      <c r="E675" s="77"/>
      <c r="F675" s="77"/>
    </row>
    <row r="676" spans="1:6">
      <c r="A676" s="77"/>
      <c r="B676" s="77"/>
      <c r="C676" s="77"/>
      <c r="D676" s="77"/>
      <c r="E676" s="77"/>
      <c r="F676" s="77"/>
    </row>
    <row r="677" spans="1:6">
      <c r="A677" s="77"/>
      <c r="B677" s="77"/>
      <c r="C677" s="77"/>
      <c r="D677" s="77"/>
      <c r="E677" s="77"/>
      <c r="F677" s="77"/>
    </row>
    <row r="678" spans="1:6">
      <c r="A678" s="77"/>
      <c r="B678" s="77"/>
      <c r="C678" s="77"/>
      <c r="D678" s="77"/>
      <c r="E678" s="77"/>
      <c r="F678" s="77"/>
    </row>
    <row r="679" spans="1:6">
      <c r="A679" s="77"/>
      <c r="B679" s="77"/>
      <c r="C679" s="77"/>
      <c r="D679" s="77"/>
      <c r="E679" s="77"/>
      <c r="F679" s="77"/>
    </row>
    <row r="680" spans="1:6">
      <c r="A680" s="77"/>
      <c r="B680" s="77"/>
      <c r="C680" s="77"/>
      <c r="D680" s="77"/>
      <c r="E680" s="77"/>
      <c r="F680" s="77"/>
    </row>
    <row r="681" spans="1:6">
      <c r="A681" s="77"/>
      <c r="B681" s="77"/>
      <c r="C681" s="77"/>
      <c r="D681" s="77"/>
      <c r="E681" s="77"/>
      <c r="F681" s="77"/>
    </row>
    <row r="682" spans="1:6">
      <c r="A682" s="77"/>
      <c r="B682" s="77"/>
      <c r="C682" s="77"/>
      <c r="D682" s="77"/>
      <c r="E682" s="77"/>
      <c r="F682" s="77"/>
    </row>
    <row r="683" spans="1:6">
      <c r="A683" s="77"/>
      <c r="B683" s="77"/>
      <c r="C683" s="77"/>
      <c r="D683" s="77"/>
      <c r="E683" s="77"/>
      <c r="F683" s="77"/>
    </row>
    <row r="684" spans="1:6">
      <c r="A684" s="77"/>
      <c r="B684" s="77"/>
      <c r="C684" s="77"/>
      <c r="D684" s="77"/>
      <c r="E684" s="77"/>
      <c r="F684" s="77"/>
    </row>
    <row r="685" spans="1:6">
      <c r="A685" s="77"/>
      <c r="B685" s="77"/>
      <c r="C685" s="77"/>
      <c r="D685" s="77"/>
      <c r="E685" s="77"/>
      <c r="F685" s="77"/>
    </row>
    <row r="686" spans="1:6">
      <c r="A686" s="77"/>
      <c r="B686" s="77"/>
      <c r="C686" s="77"/>
      <c r="D686" s="77"/>
      <c r="E686" s="77"/>
      <c r="F686" s="77"/>
    </row>
    <row r="687" spans="1:6">
      <c r="A687" s="77"/>
      <c r="B687" s="77"/>
      <c r="C687" s="77"/>
      <c r="D687" s="77"/>
      <c r="E687" s="77"/>
      <c r="F687" s="77"/>
    </row>
    <row r="688" spans="1:6">
      <c r="A688" s="77"/>
      <c r="B688" s="77"/>
      <c r="C688" s="77"/>
      <c r="D688" s="77"/>
      <c r="E688" s="77"/>
      <c r="F688" s="77"/>
    </row>
    <row r="689" spans="1:6">
      <c r="A689" s="77"/>
      <c r="B689" s="77"/>
      <c r="C689" s="77"/>
      <c r="D689" s="77"/>
      <c r="E689" s="77"/>
      <c r="F689" s="77"/>
    </row>
    <row r="690" spans="1:6">
      <c r="A690" s="77"/>
      <c r="B690" s="77"/>
      <c r="C690" s="77"/>
      <c r="D690" s="77"/>
      <c r="E690" s="77"/>
      <c r="F690" s="77"/>
    </row>
    <row r="691" spans="1:6">
      <c r="A691" s="77"/>
      <c r="B691" s="77"/>
      <c r="C691" s="77"/>
      <c r="D691" s="77"/>
      <c r="E691" s="77"/>
      <c r="F691" s="77"/>
    </row>
    <row r="692" spans="1:6">
      <c r="A692" s="77"/>
      <c r="B692" s="77"/>
      <c r="C692" s="77"/>
      <c r="D692" s="77"/>
      <c r="E692" s="77"/>
      <c r="F692" s="77"/>
    </row>
    <row r="693" spans="1:6">
      <c r="A693" s="77"/>
      <c r="B693" s="77"/>
      <c r="C693" s="77"/>
      <c r="D693" s="77"/>
      <c r="E693" s="77"/>
      <c r="F693" s="77"/>
    </row>
    <row r="694" spans="1:6">
      <c r="A694" s="77"/>
      <c r="B694" s="77"/>
      <c r="C694" s="77"/>
      <c r="D694" s="77"/>
      <c r="E694" s="77"/>
      <c r="F694" s="77"/>
    </row>
    <row r="695" spans="1:6">
      <c r="A695" s="77"/>
      <c r="B695" s="77"/>
      <c r="C695" s="77"/>
      <c r="D695" s="77"/>
      <c r="E695" s="77"/>
      <c r="F695" s="77"/>
    </row>
    <row r="696" spans="1:6">
      <c r="A696" s="77"/>
      <c r="B696" s="77"/>
      <c r="C696" s="77"/>
      <c r="D696" s="77"/>
      <c r="E696" s="77"/>
      <c r="F696" s="77"/>
    </row>
    <row r="697" spans="1:6">
      <c r="A697" s="77"/>
      <c r="B697" s="77"/>
      <c r="C697" s="77"/>
      <c r="D697" s="77"/>
      <c r="E697" s="77"/>
      <c r="F697" s="77"/>
    </row>
    <row r="698" spans="1:6">
      <c r="A698" s="77"/>
      <c r="B698" s="77"/>
      <c r="C698" s="77"/>
      <c r="D698" s="77"/>
      <c r="E698" s="77"/>
      <c r="F698" s="77"/>
    </row>
    <row r="699" spans="1:6">
      <c r="A699" s="77"/>
      <c r="B699" s="77"/>
      <c r="C699" s="77"/>
      <c r="D699" s="77"/>
      <c r="E699" s="77"/>
      <c r="F699" s="77"/>
    </row>
    <row r="700" spans="1:6">
      <c r="A700" s="77"/>
      <c r="B700" s="77"/>
      <c r="C700" s="77"/>
      <c r="D700" s="77"/>
      <c r="E700" s="77"/>
      <c r="F700" s="77"/>
    </row>
    <row r="701" spans="1:6">
      <c r="A701" s="77"/>
      <c r="B701" s="77"/>
      <c r="C701" s="77"/>
      <c r="D701" s="77"/>
      <c r="E701" s="77"/>
      <c r="F701" s="77"/>
    </row>
    <row r="702" spans="1:6">
      <c r="A702" s="77"/>
      <c r="B702" s="77"/>
      <c r="C702" s="77"/>
      <c r="D702" s="77"/>
      <c r="E702" s="77"/>
      <c r="F702" s="77"/>
    </row>
    <row r="703" spans="1:6">
      <c r="A703" s="77"/>
      <c r="B703" s="77"/>
      <c r="C703" s="77"/>
      <c r="D703" s="77"/>
      <c r="E703" s="77"/>
      <c r="F703" s="77"/>
    </row>
    <row r="704" spans="1:6">
      <c r="A704" s="77"/>
      <c r="B704" s="77"/>
      <c r="C704" s="77"/>
      <c r="D704" s="77"/>
      <c r="E704" s="77"/>
      <c r="F704" s="77"/>
    </row>
    <row r="705" spans="1:6">
      <c r="A705" s="77"/>
      <c r="B705" s="77"/>
      <c r="C705" s="77"/>
      <c r="D705" s="77"/>
      <c r="E705" s="77"/>
      <c r="F705" s="77"/>
    </row>
    <row r="706" spans="1:6">
      <c r="A706" s="77"/>
      <c r="B706" s="77"/>
      <c r="C706" s="77"/>
      <c r="D706" s="77"/>
      <c r="E706" s="77"/>
      <c r="F706" s="77"/>
    </row>
    <row r="707" spans="1:6">
      <c r="A707" s="77"/>
      <c r="B707" s="77"/>
      <c r="C707" s="77"/>
      <c r="D707" s="77"/>
      <c r="E707" s="77"/>
      <c r="F707" s="77"/>
    </row>
    <row r="708" spans="1:6">
      <c r="A708" s="77"/>
      <c r="B708" s="77"/>
      <c r="C708" s="77"/>
      <c r="D708" s="77"/>
      <c r="E708" s="77"/>
      <c r="F708" s="77"/>
    </row>
    <row r="709" spans="1:6">
      <c r="A709" s="77"/>
      <c r="B709" s="77"/>
      <c r="C709" s="77"/>
      <c r="D709" s="77"/>
      <c r="E709" s="77"/>
      <c r="F709" s="77"/>
    </row>
    <row r="710" spans="1:6">
      <c r="A710" s="77"/>
      <c r="B710" s="77"/>
      <c r="C710" s="77"/>
      <c r="D710" s="77"/>
      <c r="E710" s="77"/>
      <c r="F710" s="77"/>
    </row>
    <row r="711" spans="1:6">
      <c r="A711" s="77"/>
      <c r="B711" s="77"/>
      <c r="C711" s="77"/>
      <c r="D711" s="77"/>
      <c r="E711" s="77"/>
      <c r="F711" s="77"/>
    </row>
    <row r="712" spans="1:6">
      <c r="A712" s="77"/>
      <c r="B712" s="77"/>
      <c r="C712" s="77"/>
      <c r="D712" s="77"/>
      <c r="E712" s="77"/>
      <c r="F712" s="77"/>
    </row>
    <row r="713" spans="1:6">
      <c r="A713" s="77"/>
      <c r="B713" s="77"/>
      <c r="C713" s="77"/>
      <c r="D713" s="77"/>
      <c r="E713" s="77"/>
      <c r="F713" s="77"/>
    </row>
    <row r="714" spans="1:6">
      <c r="A714" s="77"/>
      <c r="B714" s="77"/>
      <c r="C714" s="77"/>
      <c r="D714" s="77"/>
      <c r="E714" s="77"/>
      <c r="F714" s="77"/>
    </row>
    <row r="715" spans="1:6">
      <c r="A715" s="77"/>
      <c r="B715" s="77"/>
      <c r="C715" s="77"/>
      <c r="D715" s="77"/>
      <c r="E715" s="77"/>
      <c r="F715" s="77"/>
    </row>
    <row r="716" spans="1:6">
      <c r="A716" s="77"/>
      <c r="B716" s="77"/>
      <c r="C716" s="77"/>
      <c r="D716" s="77"/>
      <c r="E716" s="77"/>
      <c r="F716" s="77"/>
    </row>
    <row r="717" spans="1:6">
      <c r="A717" s="77"/>
      <c r="B717" s="77"/>
      <c r="C717" s="77"/>
      <c r="D717" s="77"/>
      <c r="E717" s="77"/>
      <c r="F717" s="77"/>
    </row>
    <row r="718" spans="1:6">
      <c r="A718" s="77"/>
      <c r="B718" s="77"/>
      <c r="C718" s="77"/>
      <c r="D718" s="77"/>
      <c r="E718" s="77"/>
      <c r="F718" s="77"/>
    </row>
    <row r="719" spans="1:6">
      <c r="A719" s="77"/>
      <c r="B719" s="77"/>
      <c r="C719" s="77"/>
      <c r="D719" s="77"/>
      <c r="E719" s="77"/>
      <c r="F719" s="77"/>
    </row>
    <row r="720" spans="1:6">
      <c r="A720" s="77"/>
      <c r="B720" s="77"/>
      <c r="C720" s="77"/>
      <c r="D720" s="77"/>
      <c r="E720" s="77"/>
      <c r="F720" s="77"/>
    </row>
    <row r="721" spans="1:6">
      <c r="A721" s="77"/>
      <c r="B721" s="77"/>
      <c r="C721" s="77"/>
      <c r="D721" s="77"/>
      <c r="E721" s="77"/>
      <c r="F721" s="77"/>
    </row>
    <row r="722" spans="1:6">
      <c r="A722" s="77"/>
      <c r="B722" s="77"/>
      <c r="C722" s="77"/>
      <c r="D722" s="77"/>
      <c r="E722" s="77"/>
      <c r="F722" s="77"/>
    </row>
    <row r="723" spans="1:6">
      <c r="A723" s="77"/>
      <c r="B723" s="77"/>
      <c r="C723" s="77"/>
      <c r="D723" s="77"/>
      <c r="E723" s="77"/>
      <c r="F723" s="77"/>
    </row>
    <row r="724" spans="1:6">
      <c r="A724" s="77"/>
      <c r="B724" s="77"/>
      <c r="C724" s="77"/>
      <c r="D724" s="77"/>
      <c r="E724" s="77"/>
      <c r="F724" s="77"/>
    </row>
    <row r="725" spans="1:6">
      <c r="A725" s="77"/>
      <c r="B725" s="77"/>
      <c r="C725" s="77"/>
      <c r="D725" s="77"/>
      <c r="E725" s="77"/>
      <c r="F725" s="77"/>
    </row>
    <row r="726" spans="1:6">
      <c r="A726" s="77"/>
      <c r="B726" s="77"/>
      <c r="C726" s="77"/>
      <c r="D726" s="77"/>
      <c r="E726" s="77"/>
      <c r="F726" s="77"/>
    </row>
    <row r="727" spans="1:6">
      <c r="A727" s="77"/>
      <c r="B727" s="77"/>
      <c r="C727" s="77"/>
      <c r="D727" s="77"/>
      <c r="E727" s="77"/>
      <c r="F727" s="77"/>
    </row>
    <row r="728" spans="1:6">
      <c r="A728" s="77"/>
      <c r="B728" s="77"/>
      <c r="C728" s="77"/>
      <c r="D728" s="77"/>
      <c r="E728" s="77"/>
      <c r="F728" s="77"/>
    </row>
    <row r="729" spans="1:6">
      <c r="A729" s="77"/>
      <c r="B729" s="77"/>
      <c r="C729" s="77"/>
      <c r="D729" s="77"/>
      <c r="E729" s="77"/>
      <c r="F729" s="77"/>
    </row>
    <row r="730" spans="1:6">
      <c r="A730" s="77"/>
      <c r="B730" s="77"/>
      <c r="C730" s="77"/>
      <c r="D730" s="77"/>
      <c r="E730" s="77"/>
      <c r="F730" s="77"/>
    </row>
    <row r="731" spans="1:6">
      <c r="A731" s="77"/>
      <c r="B731" s="77"/>
      <c r="C731" s="77"/>
      <c r="D731" s="77"/>
      <c r="E731" s="77"/>
      <c r="F731" s="77"/>
    </row>
    <row r="732" spans="1:6">
      <c r="A732" s="77"/>
      <c r="B732" s="77"/>
      <c r="C732" s="77"/>
      <c r="D732" s="77"/>
      <c r="E732" s="77"/>
      <c r="F732" s="77"/>
    </row>
    <row r="733" spans="1:6">
      <c r="A733" s="77"/>
      <c r="B733" s="77"/>
      <c r="C733" s="77"/>
      <c r="D733" s="77"/>
      <c r="E733" s="77"/>
      <c r="F733" s="77"/>
    </row>
    <row r="734" spans="1:6">
      <c r="A734" s="77"/>
      <c r="B734" s="77"/>
      <c r="C734" s="77"/>
      <c r="D734" s="77"/>
      <c r="E734" s="77"/>
      <c r="F734" s="77"/>
    </row>
    <row r="735" spans="1:6">
      <c r="A735" s="77"/>
      <c r="B735" s="77"/>
      <c r="C735" s="77"/>
      <c r="D735" s="77"/>
      <c r="E735" s="77"/>
      <c r="F735" s="77"/>
    </row>
    <row r="736" spans="1:6">
      <c r="A736" s="77"/>
      <c r="B736" s="77"/>
      <c r="C736" s="77"/>
      <c r="D736" s="77"/>
      <c r="E736" s="77"/>
      <c r="F736" s="77"/>
    </row>
    <row r="737" spans="1:6">
      <c r="A737" s="77"/>
      <c r="B737" s="77"/>
      <c r="C737" s="77"/>
      <c r="D737" s="77"/>
      <c r="E737" s="77"/>
      <c r="F737" s="77"/>
    </row>
    <row r="738" spans="1:6">
      <c r="A738" s="77"/>
      <c r="B738" s="77"/>
      <c r="C738" s="77"/>
      <c r="D738" s="77"/>
      <c r="E738" s="77"/>
      <c r="F738" s="77"/>
    </row>
    <row r="739" spans="1:6">
      <c r="A739" s="77"/>
      <c r="B739" s="77"/>
      <c r="C739" s="77"/>
      <c r="D739" s="77"/>
      <c r="E739" s="77"/>
      <c r="F739" s="77"/>
    </row>
    <row r="740" spans="1:6">
      <c r="A740" s="77"/>
      <c r="B740" s="77"/>
      <c r="C740" s="77"/>
      <c r="D740" s="77"/>
      <c r="E740" s="77"/>
      <c r="F740" s="77"/>
    </row>
    <row r="741" spans="1:6">
      <c r="A741" s="77"/>
      <c r="B741" s="77"/>
      <c r="C741" s="77"/>
      <c r="D741" s="77"/>
      <c r="E741" s="77"/>
      <c r="F741" s="77"/>
    </row>
    <row r="742" spans="1:6">
      <c r="A742" s="77"/>
      <c r="B742" s="77"/>
      <c r="C742" s="77"/>
      <c r="D742" s="77"/>
      <c r="E742" s="77"/>
      <c r="F742" s="77"/>
    </row>
    <row r="743" spans="1:6">
      <c r="A743" s="77"/>
      <c r="B743" s="77"/>
      <c r="C743" s="77"/>
      <c r="D743" s="77"/>
      <c r="E743" s="77"/>
      <c r="F743" s="77"/>
    </row>
    <row r="744" spans="1:6">
      <c r="A744" s="77"/>
      <c r="B744" s="77"/>
      <c r="C744" s="77"/>
      <c r="D744" s="77"/>
      <c r="E744" s="77"/>
      <c r="F744" s="77"/>
    </row>
    <row r="745" spans="1:6">
      <c r="A745" s="77"/>
      <c r="B745" s="77"/>
      <c r="C745" s="77"/>
      <c r="D745" s="77"/>
      <c r="E745" s="77"/>
      <c r="F745" s="77"/>
    </row>
    <row r="746" spans="1:6">
      <c r="A746" s="77"/>
      <c r="B746" s="77"/>
      <c r="C746" s="77"/>
      <c r="D746" s="77"/>
      <c r="E746" s="77"/>
      <c r="F746" s="77"/>
    </row>
    <row r="747" spans="1:6">
      <c r="A747" s="77"/>
      <c r="B747" s="77"/>
      <c r="C747" s="77"/>
      <c r="D747" s="77"/>
      <c r="E747" s="77"/>
      <c r="F747" s="77"/>
    </row>
    <row r="748" spans="1:6">
      <c r="A748" s="77"/>
      <c r="B748" s="77"/>
      <c r="C748" s="77"/>
      <c r="D748" s="77"/>
      <c r="E748" s="77"/>
      <c r="F748" s="77"/>
    </row>
    <row r="749" spans="1:6">
      <c r="A749" s="77"/>
      <c r="B749" s="77"/>
      <c r="C749" s="77"/>
      <c r="D749" s="77"/>
      <c r="E749" s="77"/>
      <c r="F749" s="77"/>
    </row>
    <row r="750" spans="1:6">
      <c r="A750" s="77"/>
      <c r="B750" s="77"/>
      <c r="C750" s="77"/>
      <c r="D750" s="77"/>
      <c r="E750" s="77"/>
      <c r="F750" s="77"/>
    </row>
    <row r="751" spans="1:6">
      <c r="A751" s="77"/>
      <c r="B751" s="77"/>
      <c r="C751" s="77"/>
      <c r="D751" s="77"/>
      <c r="E751" s="77"/>
      <c r="F751" s="77"/>
    </row>
    <row r="752" spans="1:6">
      <c r="A752" s="77"/>
      <c r="B752" s="77"/>
      <c r="C752" s="77"/>
      <c r="D752" s="77"/>
      <c r="E752" s="77"/>
      <c r="F752" s="77"/>
    </row>
    <row r="753" spans="1:6">
      <c r="A753" s="77"/>
      <c r="B753" s="77"/>
      <c r="C753" s="77"/>
      <c r="D753" s="77"/>
      <c r="E753" s="77"/>
      <c r="F753" s="77"/>
    </row>
    <row r="754" spans="1:6">
      <c r="A754" s="77"/>
      <c r="B754" s="77"/>
      <c r="C754" s="77"/>
      <c r="D754" s="77"/>
      <c r="E754" s="77"/>
      <c r="F754" s="77"/>
    </row>
    <row r="755" spans="1:6">
      <c r="A755" s="77"/>
      <c r="B755" s="77"/>
      <c r="C755" s="77"/>
      <c r="D755" s="77"/>
      <c r="E755" s="77"/>
      <c r="F755" s="77"/>
    </row>
    <row r="756" spans="1:6">
      <c r="A756" s="77"/>
      <c r="B756" s="77"/>
      <c r="C756" s="77"/>
      <c r="D756" s="77"/>
      <c r="E756" s="77"/>
      <c r="F756" s="77"/>
    </row>
    <row r="757" spans="1:6">
      <c r="A757" s="77"/>
      <c r="B757" s="77"/>
      <c r="C757" s="77"/>
      <c r="D757" s="77"/>
      <c r="E757" s="77"/>
      <c r="F757" s="77"/>
    </row>
    <row r="758" spans="1:6">
      <c r="A758" s="77"/>
      <c r="B758" s="77"/>
      <c r="C758" s="77"/>
      <c r="D758" s="77"/>
      <c r="E758" s="77"/>
      <c r="F758" s="77"/>
    </row>
    <row r="759" spans="1:6">
      <c r="A759" s="77"/>
      <c r="B759" s="77"/>
      <c r="C759" s="77"/>
      <c r="D759" s="77"/>
      <c r="E759" s="77"/>
      <c r="F759" s="77"/>
    </row>
    <row r="760" spans="1:6">
      <c r="A760" s="77"/>
      <c r="B760" s="77"/>
      <c r="C760" s="77"/>
      <c r="D760" s="77"/>
      <c r="E760" s="77"/>
      <c r="F760" s="77"/>
    </row>
    <row r="761" spans="1:6">
      <c r="A761" s="77"/>
      <c r="B761" s="77"/>
      <c r="C761" s="77"/>
      <c r="D761" s="77"/>
      <c r="E761" s="77"/>
      <c r="F761" s="77"/>
    </row>
    <row r="762" spans="1:6">
      <c r="A762" s="77"/>
      <c r="B762" s="77"/>
      <c r="C762" s="77"/>
      <c r="D762" s="77"/>
      <c r="E762" s="77"/>
      <c r="F762" s="77"/>
    </row>
    <row r="763" spans="1:6">
      <c r="A763" s="77"/>
      <c r="B763" s="77"/>
      <c r="C763" s="77"/>
      <c r="D763" s="77"/>
      <c r="E763" s="77"/>
      <c r="F763" s="77"/>
    </row>
    <row r="764" spans="1:6">
      <c r="A764" s="77"/>
      <c r="B764" s="77"/>
      <c r="C764" s="77"/>
      <c r="D764" s="77"/>
      <c r="E764" s="77"/>
      <c r="F764" s="77"/>
    </row>
    <row r="765" spans="1:6">
      <c r="A765" s="77"/>
      <c r="B765" s="77"/>
      <c r="C765" s="77"/>
      <c r="D765" s="77"/>
      <c r="E765" s="77"/>
      <c r="F765" s="77"/>
    </row>
    <row r="766" spans="1:6">
      <c r="A766" s="77"/>
      <c r="B766" s="77"/>
      <c r="C766" s="77"/>
      <c r="D766" s="77"/>
      <c r="E766" s="77"/>
      <c r="F766" s="77"/>
    </row>
    <row r="767" spans="1:6">
      <c r="A767" s="77"/>
      <c r="B767" s="77"/>
      <c r="C767" s="77"/>
      <c r="D767" s="77"/>
      <c r="E767" s="77"/>
      <c r="F767" s="77"/>
    </row>
    <row r="768" spans="1:6">
      <c r="A768" s="77"/>
      <c r="B768" s="77"/>
      <c r="C768" s="77"/>
      <c r="D768" s="77"/>
      <c r="E768" s="77"/>
      <c r="F768" s="77"/>
    </row>
    <row r="769" spans="1:6">
      <c r="A769" s="77"/>
      <c r="B769" s="77"/>
      <c r="C769" s="77"/>
      <c r="D769" s="77"/>
      <c r="E769" s="77"/>
      <c r="F769" s="77"/>
    </row>
    <row r="770" spans="1:6">
      <c r="A770" s="77"/>
      <c r="B770" s="77"/>
      <c r="C770" s="77"/>
      <c r="D770" s="77"/>
      <c r="E770" s="77"/>
      <c r="F770" s="77"/>
    </row>
    <row r="771" spans="1:6">
      <c r="A771" s="77"/>
      <c r="B771" s="77"/>
      <c r="C771" s="77"/>
      <c r="D771" s="77"/>
      <c r="E771" s="77"/>
      <c r="F771" s="77"/>
    </row>
    <row r="772" spans="1:6">
      <c r="A772" s="77"/>
      <c r="B772" s="77"/>
      <c r="C772" s="77"/>
      <c r="D772" s="77"/>
      <c r="E772" s="77"/>
      <c r="F772" s="77"/>
    </row>
    <row r="773" spans="1:6">
      <c r="A773" s="77"/>
      <c r="B773" s="77"/>
      <c r="C773" s="77"/>
      <c r="D773" s="77"/>
      <c r="E773" s="77"/>
      <c r="F773" s="77"/>
    </row>
    <row r="774" spans="1:6">
      <c r="A774" s="77"/>
      <c r="B774" s="77"/>
      <c r="C774" s="77"/>
      <c r="D774" s="77"/>
      <c r="E774" s="77"/>
      <c r="F774" s="77"/>
    </row>
    <row r="775" spans="1:6">
      <c r="A775" s="77"/>
      <c r="B775" s="77"/>
      <c r="C775" s="77"/>
      <c r="D775" s="77"/>
      <c r="E775" s="77"/>
      <c r="F775" s="77"/>
    </row>
    <row r="776" spans="1:6">
      <c r="A776" s="77"/>
      <c r="B776" s="77"/>
      <c r="C776" s="77"/>
      <c r="D776" s="77"/>
      <c r="E776" s="77"/>
      <c r="F776" s="77"/>
    </row>
    <row r="777" spans="1:6">
      <c r="A777" s="77"/>
      <c r="B777" s="77"/>
      <c r="C777" s="77"/>
      <c r="D777" s="77"/>
      <c r="E777" s="77"/>
      <c r="F777" s="77"/>
    </row>
    <row r="778" spans="1:6">
      <c r="A778" s="77"/>
      <c r="B778" s="77"/>
      <c r="C778" s="77"/>
      <c r="D778" s="77"/>
      <c r="E778" s="77"/>
      <c r="F778" s="77"/>
    </row>
    <row r="779" spans="1:6">
      <c r="A779" s="77"/>
      <c r="B779" s="77"/>
      <c r="C779" s="77"/>
      <c r="D779" s="77"/>
      <c r="E779" s="77"/>
      <c r="F779" s="77"/>
    </row>
    <row r="780" spans="1:6">
      <c r="A780" s="77"/>
      <c r="B780" s="77"/>
      <c r="C780" s="77"/>
      <c r="D780" s="77"/>
      <c r="E780" s="77"/>
      <c r="F780" s="77"/>
    </row>
    <row r="781" spans="1:6">
      <c r="A781" s="77"/>
      <c r="B781" s="77"/>
      <c r="C781" s="77"/>
      <c r="D781" s="77"/>
      <c r="E781" s="77"/>
      <c r="F781" s="77"/>
    </row>
    <row r="782" spans="1:6">
      <c r="A782" s="77"/>
      <c r="B782" s="77"/>
      <c r="C782" s="77"/>
      <c r="D782" s="77"/>
      <c r="E782" s="77"/>
      <c r="F782" s="77"/>
    </row>
    <row r="783" spans="1:6">
      <c r="A783" s="77"/>
      <c r="B783" s="77"/>
      <c r="C783" s="77"/>
      <c r="D783" s="77"/>
      <c r="E783" s="77"/>
      <c r="F783" s="77"/>
    </row>
    <row r="784" spans="1:6">
      <c r="A784" s="77"/>
      <c r="B784" s="77"/>
      <c r="C784" s="77"/>
      <c r="D784" s="77"/>
      <c r="E784" s="77"/>
      <c r="F784" s="77"/>
    </row>
    <row r="785" spans="1:6">
      <c r="A785" s="77"/>
      <c r="B785" s="77"/>
      <c r="C785" s="77"/>
      <c r="D785" s="77"/>
      <c r="E785" s="77"/>
      <c r="F785" s="77"/>
    </row>
    <row r="786" spans="1:6">
      <c r="A786" s="77"/>
      <c r="B786" s="77"/>
      <c r="C786" s="77"/>
      <c r="D786" s="77"/>
      <c r="E786" s="77"/>
      <c r="F786" s="77"/>
    </row>
    <row r="787" spans="1:6">
      <c r="A787" s="77"/>
      <c r="B787" s="77"/>
      <c r="C787" s="77"/>
      <c r="D787" s="77"/>
      <c r="E787" s="77"/>
      <c r="F787" s="77"/>
    </row>
    <row r="788" spans="1:6">
      <c r="A788" s="77"/>
      <c r="B788" s="77"/>
      <c r="C788" s="77"/>
      <c r="D788" s="77"/>
      <c r="E788" s="77"/>
      <c r="F788" s="77"/>
    </row>
    <row r="789" spans="1:6">
      <c r="A789" s="77"/>
      <c r="B789" s="77"/>
      <c r="C789" s="77"/>
      <c r="D789" s="77"/>
      <c r="E789" s="77"/>
      <c r="F789" s="77"/>
    </row>
    <row r="790" spans="1:6">
      <c r="A790" s="77"/>
      <c r="B790" s="77"/>
      <c r="C790" s="77"/>
      <c r="D790" s="77"/>
      <c r="E790" s="77"/>
      <c r="F790" s="77"/>
    </row>
    <row r="791" spans="1:6">
      <c r="A791" s="77"/>
      <c r="B791" s="77"/>
      <c r="C791" s="77"/>
      <c r="D791" s="77"/>
      <c r="E791" s="77"/>
      <c r="F791" s="77"/>
    </row>
    <row r="792" spans="1:6">
      <c r="A792" s="77"/>
      <c r="B792" s="77"/>
      <c r="C792" s="77"/>
      <c r="D792" s="77"/>
      <c r="E792" s="77"/>
      <c r="F792" s="77"/>
    </row>
    <row r="793" spans="1:6">
      <c r="A793" s="77"/>
      <c r="B793" s="77"/>
      <c r="C793" s="77"/>
      <c r="D793" s="77"/>
      <c r="E793" s="77"/>
      <c r="F793" s="77"/>
    </row>
    <row r="794" spans="1:6">
      <c r="A794" s="77"/>
      <c r="B794" s="77"/>
      <c r="C794" s="77"/>
      <c r="D794" s="77"/>
      <c r="E794" s="77"/>
      <c r="F794" s="77"/>
    </row>
    <row r="795" spans="1:6">
      <c r="A795" s="77"/>
      <c r="B795" s="77"/>
      <c r="C795" s="77"/>
      <c r="D795" s="77"/>
      <c r="E795" s="77"/>
      <c r="F795" s="77"/>
    </row>
    <row r="796" spans="1:6">
      <c r="A796" s="77"/>
      <c r="B796" s="77"/>
      <c r="C796" s="77"/>
      <c r="D796" s="77"/>
      <c r="E796" s="77"/>
      <c r="F796" s="77"/>
    </row>
    <row r="797" spans="1:6">
      <c r="A797" s="77"/>
      <c r="B797" s="77"/>
      <c r="C797" s="77"/>
      <c r="D797" s="77"/>
      <c r="E797" s="77"/>
      <c r="F797" s="77"/>
    </row>
    <row r="798" spans="1:6">
      <c r="A798" s="77"/>
      <c r="B798" s="77"/>
      <c r="C798" s="77"/>
      <c r="D798" s="77"/>
      <c r="E798" s="77"/>
      <c r="F798" s="77"/>
    </row>
    <row r="799" spans="1:6">
      <c r="A799" s="77"/>
      <c r="B799" s="77"/>
      <c r="C799" s="77"/>
      <c r="D799" s="77"/>
      <c r="E799" s="77"/>
      <c r="F799" s="77"/>
    </row>
    <row r="800" spans="1:6">
      <c r="A800" s="77"/>
      <c r="B800" s="77"/>
      <c r="C800" s="77"/>
      <c r="D800" s="77"/>
      <c r="E800" s="77"/>
      <c r="F800" s="77"/>
    </row>
    <row r="801" spans="1:6">
      <c r="A801" s="77"/>
      <c r="B801" s="77"/>
      <c r="C801" s="77"/>
      <c r="D801" s="77"/>
      <c r="E801" s="77"/>
      <c r="F801" s="77"/>
    </row>
    <row r="802" spans="1:6">
      <c r="A802" s="77"/>
      <c r="B802" s="77"/>
      <c r="C802" s="77"/>
      <c r="D802" s="77"/>
      <c r="E802" s="77"/>
      <c r="F802" s="77"/>
    </row>
    <row r="803" spans="1:6">
      <c r="A803" s="77"/>
      <c r="B803" s="77"/>
      <c r="C803" s="77"/>
      <c r="D803" s="77"/>
      <c r="E803" s="77"/>
      <c r="F803" s="77"/>
    </row>
    <row r="804" spans="1:6">
      <c r="A804" s="77"/>
      <c r="B804" s="77"/>
      <c r="C804" s="77"/>
      <c r="D804" s="77"/>
      <c r="E804" s="77"/>
      <c r="F804" s="77"/>
    </row>
    <row r="805" spans="1:6">
      <c r="A805" s="77"/>
      <c r="B805" s="77"/>
      <c r="C805" s="77"/>
      <c r="D805" s="77"/>
      <c r="E805" s="77"/>
      <c r="F805" s="77"/>
    </row>
    <row r="806" spans="1:6">
      <c r="A806" s="77"/>
      <c r="B806" s="77"/>
      <c r="C806" s="77"/>
      <c r="D806" s="77"/>
      <c r="E806" s="77"/>
      <c r="F806" s="77"/>
    </row>
    <row r="807" spans="1:6">
      <c r="A807" s="77"/>
      <c r="B807" s="77"/>
      <c r="C807" s="77"/>
      <c r="D807" s="77"/>
      <c r="E807" s="77"/>
      <c r="F807" s="77"/>
    </row>
    <row r="808" spans="1:6">
      <c r="A808" s="77"/>
      <c r="B808" s="77"/>
      <c r="C808" s="77"/>
      <c r="D808" s="77"/>
      <c r="E808" s="77"/>
      <c r="F808" s="77"/>
    </row>
    <row r="809" spans="1:6">
      <c r="A809" s="77"/>
      <c r="B809" s="77"/>
      <c r="C809" s="77"/>
      <c r="D809" s="77"/>
      <c r="E809" s="77"/>
      <c r="F809" s="77"/>
    </row>
    <row r="810" spans="1:6">
      <c r="A810" s="77"/>
      <c r="B810" s="77"/>
      <c r="C810" s="77"/>
      <c r="D810" s="77"/>
      <c r="E810" s="77"/>
      <c r="F810" s="77"/>
    </row>
    <row r="811" spans="1:6">
      <c r="A811" s="77"/>
      <c r="B811" s="77"/>
      <c r="C811" s="77"/>
      <c r="D811" s="77"/>
      <c r="E811" s="77"/>
      <c r="F811" s="77"/>
    </row>
    <row r="812" spans="1:6">
      <c r="A812" s="77"/>
      <c r="B812" s="77"/>
      <c r="C812" s="77"/>
      <c r="D812" s="77"/>
      <c r="E812" s="77"/>
      <c r="F812" s="77"/>
    </row>
    <row r="813" spans="1:6">
      <c r="A813" s="77"/>
      <c r="B813" s="77"/>
      <c r="C813" s="77"/>
      <c r="D813" s="77"/>
      <c r="E813" s="77"/>
      <c r="F813" s="77"/>
    </row>
    <row r="814" spans="1:6">
      <c r="A814" s="77"/>
      <c r="B814" s="77"/>
      <c r="C814" s="77"/>
      <c r="D814" s="77"/>
      <c r="E814" s="77"/>
      <c r="F814" s="77"/>
    </row>
    <row r="815" spans="1:6">
      <c r="A815" s="77"/>
      <c r="B815" s="77"/>
      <c r="C815" s="77"/>
      <c r="D815" s="77"/>
      <c r="E815" s="77"/>
      <c r="F815" s="77"/>
    </row>
    <row r="816" spans="1:6">
      <c r="A816" s="77"/>
      <c r="B816" s="77"/>
      <c r="C816" s="77"/>
      <c r="D816" s="77"/>
      <c r="E816" s="77"/>
      <c r="F816" s="77"/>
    </row>
    <row r="817" spans="1:6">
      <c r="A817" s="77"/>
      <c r="B817" s="77"/>
      <c r="C817" s="77"/>
      <c r="D817" s="77"/>
      <c r="E817" s="77"/>
      <c r="F817" s="77"/>
    </row>
    <row r="818" spans="1:6">
      <c r="A818" s="77"/>
      <c r="B818" s="77"/>
      <c r="C818" s="77"/>
      <c r="D818" s="77"/>
      <c r="E818" s="77"/>
      <c r="F818" s="77"/>
    </row>
    <row r="819" spans="1:6">
      <c r="A819" s="77"/>
      <c r="B819" s="77"/>
      <c r="C819" s="77"/>
      <c r="D819" s="77"/>
      <c r="E819" s="77"/>
      <c r="F819" s="77"/>
    </row>
    <row r="820" spans="1:6">
      <c r="A820" s="77"/>
      <c r="B820" s="77"/>
      <c r="C820" s="77"/>
      <c r="D820" s="77"/>
      <c r="E820" s="77"/>
      <c r="F820" s="77"/>
    </row>
    <row r="821" spans="1:6">
      <c r="A821" s="77"/>
      <c r="B821" s="77"/>
      <c r="C821" s="77"/>
      <c r="D821" s="77"/>
      <c r="E821" s="77"/>
      <c r="F821" s="77"/>
    </row>
    <row r="822" spans="1:6">
      <c r="A822" s="77"/>
      <c r="B822" s="77"/>
      <c r="C822" s="77"/>
      <c r="D822" s="77"/>
      <c r="E822" s="77"/>
      <c r="F822" s="77"/>
    </row>
    <row r="823" spans="1:6">
      <c r="A823" s="77"/>
      <c r="B823" s="77"/>
      <c r="C823" s="77"/>
      <c r="D823" s="77"/>
      <c r="E823" s="77"/>
      <c r="F823" s="77"/>
    </row>
    <row r="824" spans="1:6">
      <c r="A824" s="77"/>
      <c r="B824" s="77"/>
      <c r="C824" s="77"/>
      <c r="D824" s="77"/>
      <c r="E824" s="77"/>
      <c r="F824" s="77"/>
    </row>
    <row r="825" spans="1:6">
      <c r="A825" s="77"/>
      <c r="B825" s="77"/>
      <c r="C825" s="77"/>
      <c r="D825" s="77"/>
      <c r="E825" s="77"/>
      <c r="F825" s="77"/>
    </row>
    <row r="826" spans="1:6">
      <c r="A826" s="77"/>
      <c r="B826" s="77"/>
      <c r="C826" s="77"/>
      <c r="D826" s="77"/>
      <c r="E826" s="77"/>
      <c r="F826" s="77"/>
    </row>
    <row r="827" spans="1:6">
      <c r="A827" s="77"/>
      <c r="B827" s="77"/>
      <c r="C827" s="77"/>
      <c r="D827" s="77"/>
      <c r="E827" s="77"/>
      <c r="F827" s="77"/>
    </row>
    <row r="828" spans="1:6">
      <c r="A828" s="77"/>
      <c r="B828" s="77"/>
      <c r="C828" s="77"/>
      <c r="D828" s="77"/>
      <c r="E828" s="77"/>
      <c r="F828" s="77"/>
    </row>
    <row r="829" spans="1:6">
      <c r="A829" s="77"/>
      <c r="B829" s="77"/>
      <c r="C829" s="77"/>
      <c r="D829" s="77"/>
      <c r="E829" s="77"/>
      <c r="F829" s="77"/>
    </row>
    <row r="830" spans="1:6">
      <c r="A830" s="77"/>
      <c r="B830" s="77"/>
      <c r="C830" s="77"/>
      <c r="D830" s="77"/>
      <c r="E830" s="77"/>
      <c r="F830" s="77"/>
    </row>
    <row r="831" spans="1:6">
      <c r="A831" s="77"/>
      <c r="B831" s="77"/>
      <c r="C831" s="77"/>
      <c r="D831" s="77"/>
      <c r="E831" s="77"/>
      <c r="F831" s="77"/>
    </row>
    <row r="832" spans="1:6">
      <c r="A832" s="77"/>
      <c r="B832" s="77"/>
      <c r="C832" s="77"/>
      <c r="D832" s="77"/>
      <c r="E832" s="77"/>
      <c r="F832" s="77"/>
    </row>
    <row r="833" spans="1:6">
      <c r="A833" s="77"/>
      <c r="B833" s="77"/>
      <c r="C833" s="77"/>
      <c r="D833" s="77"/>
      <c r="E833" s="77"/>
      <c r="F833" s="77"/>
    </row>
    <row r="834" spans="1:6">
      <c r="A834" s="77"/>
      <c r="B834" s="77"/>
      <c r="C834" s="77"/>
      <c r="D834" s="77"/>
      <c r="E834" s="77"/>
      <c r="F834" s="77"/>
    </row>
    <row r="835" spans="1:6">
      <c r="A835" s="77"/>
      <c r="B835" s="77"/>
      <c r="C835" s="77"/>
      <c r="D835" s="77"/>
      <c r="E835" s="77"/>
      <c r="F835" s="77"/>
    </row>
    <row r="836" spans="1:6">
      <c r="A836" s="77"/>
      <c r="B836" s="77"/>
      <c r="C836" s="77"/>
      <c r="D836" s="77"/>
      <c r="E836" s="77"/>
      <c r="F836" s="77"/>
    </row>
    <row r="837" spans="1:6">
      <c r="A837" s="77"/>
      <c r="B837" s="77"/>
      <c r="C837" s="77"/>
      <c r="D837" s="77"/>
      <c r="E837" s="77"/>
      <c r="F837" s="77"/>
    </row>
    <row r="838" spans="1:6">
      <c r="A838" s="77"/>
      <c r="B838" s="77"/>
      <c r="C838" s="77"/>
      <c r="D838" s="77"/>
      <c r="E838" s="77"/>
      <c r="F838" s="77"/>
    </row>
    <row r="839" spans="1:6">
      <c r="A839" s="77"/>
      <c r="B839" s="77"/>
      <c r="C839" s="77"/>
      <c r="D839" s="77"/>
      <c r="E839" s="77"/>
      <c r="F839" s="77"/>
    </row>
    <row r="840" spans="1:6">
      <c r="A840" s="77"/>
      <c r="B840" s="77"/>
      <c r="C840" s="77"/>
      <c r="D840" s="77"/>
      <c r="E840" s="77"/>
      <c r="F840" s="77"/>
    </row>
    <row r="841" spans="1:6">
      <c r="A841" s="77"/>
      <c r="B841" s="77"/>
      <c r="C841" s="77"/>
      <c r="D841" s="77"/>
      <c r="E841" s="77"/>
      <c r="F841" s="77"/>
    </row>
    <row r="842" spans="1:6">
      <c r="A842" s="77"/>
      <c r="B842" s="77"/>
      <c r="C842" s="77"/>
      <c r="D842" s="77"/>
      <c r="E842" s="77"/>
      <c r="F842" s="77"/>
    </row>
    <row r="843" spans="1:6">
      <c r="A843" s="77"/>
      <c r="B843" s="77"/>
      <c r="C843" s="77"/>
      <c r="D843" s="77"/>
      <c r="E843" s="77"/>
      <c r="F843" s="77"/>
    </row>
    <row r="844" spans="1:6">
      <c r="A844" s="77"/>
      <c r="B844" s="77"/>
      <c r="C844" s="77"/>
      <c r="D844" s="77"/>
      <c r="E844" s="77"/>
      <c r="F844" s="77"/>
    </row>
    <row r="845" spans="1:6">
      <c r="A845" s="77"/>
      <c r="B845" s="77"/>
      <c r="C845" s="77"/>
      <c r="D845" s="77"/>
      <c r="E845" s="77"/>
      <c r="F845" s="77"/>
    </row>
    <row r="846" spans="1:6">
      <c r="A846" s="77"/>
      <c r="B846" s="77"/>
      <c r="C846" s="77"/>
      <c r="D846" s="77"/>
      <c r="E846" s="77"/>
      <c r="F846" s="77"/>
    </row>
    <row r="847" spans="1:6">
      <c r="A847" s="77"/>
      <c r="B847" s="77"/>
      <c r="C847" s="77"/>
      <c r="D847" s="77"/>
      <c r="E847" s="77"/>
      <c r="F847" s="77"/>
    </row>
    <row r="848" spans="1:6">
      <c r="A848" s="77"/>
      <c r="B848" s="77"/>
      <c r="C848" s="77"/>
      <c r="D848" s="77"/>
      <c r="E848" s="77"/>
      <c r="F848" s="77"/>
    </row>
    <row r="849" spans="1:6">
      <c r="A849" s="77"/>
      <c r="B849" s="77"/>
      <c r="C849" s="77"/>
      <c r="D849" s="77"/>
      <c r="E849" s="77"/>
      <c r="F849" s="77"/>
    </row>
    <row r="850" spans="1:6">
      <c r="A850" s="77"/>
      <c r="B850" s="77"/>
      <c r="C850" s="77"/>
      <c r="D850" s="77"/>
      <c r="E850" s="77"/>
      <c r="F850" s="77"/>
    </row>
    <row r="851" spans="1:6">
      <c r="A851" s="77"/>
      <c r="B851" s="77"/>
      <c r="C851" s="77"/>
      <c r="D851" s="77"/>
      <c r="E851" s="77"/>
      <c r="F851" s="77"/>
    </row>
    <row r="852" spans="1:6">
      <c r="A852" s="77"/>
      <c r="B852" s="77"/>
      <c r="C852" s="77"/>
      <c r="D852" s="77"/>
      <c r="E852" s="77"/>
      <c r="F852" s="77"/>
    </row>
    <row r="853" spans="1:6">
      <c r="A853" s="77"/>
      <c r="B853" s="77"/>
      <c r="C853" s="77"/>
      <c r="D853" s="77"/>
      <c r="E853" s="77"/>
      <c r="F853" s="77"/>
    </row>
    <row r="854" spans="1:6">
      <c r="A854" s="77"/>
      <c r="B854" s="77"/>
      <c r="C854" s="77"/>
      <c r="D854" s="77"/>
      <c r="E854" s="77"/>
      <c r="F854" s="77"/>
    </row>
    <row r="855" spans="1:6">
      <c r="A855" s="77"/>
      <c r="B855" s="77"/>
      <c r="C855" s="77"/>
      <c r="D855" s="77"/>
      <c r="E855" s="77"/>
      <c r="F855" s="77"/>
    </row>
    <row r="856" spans="1:6">
      <c r="A856" s="77"/>
      <c r="B856" s="77"/>
      <c r="C856" s="77"/>
      <c r="D856" s="77"/>
      <c r="E856" s="77"/>
      <c r="F856" s="77"/>
    </row>
    <row r="857" spans="1:6">
      <c r="A857" s="77"/>
      <c r="B857" s="77"/>
      <c r="C857" s="77"/>
      <c r="D857" s="77"/>
      <c r="E857" s="77"/>
      <c r="F857" s="77"/>
    </row>
    <row r="858" spans="1:6">
      <c r="A858" s="77"/>
      <c r="B858" s="77"/>
      <c r="C858" s="77"/>
      <c r="D858" s="77"/>
      <c r="E858" s="77"/>
      <c r="F858" s="77"/>
    </row>
    <row r="859" spans="1:6">
      <c r="A859" s="77"/>
      <c r="B859" s="77"/>
      <c r="C859" s="77"/>
      <c r="D859" s="77"/>
      <c r="E859" s="77"/>
      <c r="F859" s="77"/>
    </row>
    <row r="860" spans="1:6">
      <c r="A860" s="77"/>
      <c r="B860" s="77"/>
      <c r="C860" s="77"/>
      <c r="D860" s="77"/>
      <c r="E860" s="77"/>
      <c r="F860" s="77"/>
    </row>
    <row r="861" spans="1:6">
      <c r="A861" s="77"/>
      <c r="B861" s="77"/>
      <c r="C861" s="77"/>
      <c r="D861" s="77"/>
      <c r="E861" s="77"/>
      <c r="F861" s="77"/>
    </row>
    <row r="862" spans="1:6">
      <c r="A862" s="77"/>
      <c r="B862" s="77"/>
      <c r="C862" s="77"/>
      <c r="D862" s="77"/>
      <c r="E862" s="77"/>
      <c r="F862" s="77"/>
    </row>
    <row r="863" spans="1:6">
      <c r="A863" s="77"/>
      <c r="B863" s="77"/>
      <c r="C863" s="77"/>
      <c r="D863" s="77"/>
      <c r="E863" s="77"/>
      <c r="F863" s="77"/>
    </row>
    <row r="864" spans="1:6">
      <c r="A864" s="77"/>
      <c r="B864" s="77"/>
      <c r="C864" s="77"/>
      <c r="D864" s="77"/>
      <c r="E864" s="77"/>
      <c r="F864" s="77"/>
    </row>
    <row r="865" spans="1:6">
      <c r="A865" s="77"/>
      <c r="B865" s="77"/>
      <c r="C865" s="77"/>
      <c r="D865" s="77"/>
      <c r="E865" s="77"/>
      <c r="F865" s="77"/>
    </row>
    <row r="866" spans="1:6">
      <c r="A866" s="77"/>
      <c r="B866" s="77"/>
      <c r="C866" s="77"/>
      <c r="D866" s="77"/>
      <c r="E866" s="77"/>
      <c r="F866" s="77"/>
    </row>
    <row r="867" spans="1:6">
      <c r="A867" s="77"/>
      <c r="B867" s="77"/>
      <c r="C867" s="77"/>
      <c r="D867" s="77"/>
      <c r="E867" s="77"/>
      <c r="F867" s="77"/>
    </row>
    <row r="868" spans="1:6">
      <c r="A868" s="77"/>
      <c r="B868" s="77"/>
      <c r="C868" s="77"/>
      <c r="D868" s="77"/>
      <c r="E868" s="77"/>
      <c r="F868" s="77"/>
    </row>
    <row r="869" spans="1:6">
      <c r="A869" s="77"/>
      <c r="B869" s="77"/>
      <c r="C869" s="77"/>
      <c r="D869" s="77"/>
      <c r="E869" s="77"/>
      <c r="F869" s="77"/>
    </row>
    <row r="870" spans="1:6">
      <c r="A870" s="77"/>
      <c r="B870" s="77"/>
      <c r="C870" s="77"/>
      <c r="D870" s="77"/>
      <c r="E870" s="77"/>
      <c r="F870" s="77"/>
    </row>
    <row r="871" spans="1:6">
      <c r="A871" s="77"/>
      <c r="B871" s="77"/>
      <c r="C871" s="77"/>
      <c r="D871" s="77"/>
      <c r="E871" s="77"/>
      <c r="F871" s="77"/>
    </row>
    <row r="872" spans="1:6">
      <c r="A872" s="77"/>
      <c r="B872" s="77"/>
      <c r="C872" s="77"/>
      <c r="D872" s="77"/>
      <c r="E872" s="77"/>
      <c r="F872" s="77"/>
    </row>
    <row r="873" spans="1:6">
      <c r="A873" s="77"/>
      <c r="B873" s="77"/>
      <c r="C873" s="77"/>
      <c r="D873" s="77"/>
      <c r="E873" s="77"/>
      <c r="F873" s="77"/>
    </row>
    <row r="874" spans="1:6">
      <c r="A874" s="77"/>
      <c r="B874" s="77"/>
      <c r="C874" s="77"/>
      <c r="D874" s="77"/>
      <c r="E874" s="77"/>
      <c r="F874" s="77"/>
    </row>
    <row r="875" spans="1:6">
      <c r="A875" s="77"/>
      <c r="B875" s="77"/>
      <c r="C875" s="77"/>
      <c r="D875" s="77"/>
      <c r="E875" s="77"/>
      <c r="F875" s="77"/>
    </row>
    <row r="876" spans="1:6">
      <c r="A876" s="77"/>
      <c r="B876" s="77"/>
      <c r="C876" s="77"/>
      <c r="D876" s="77"/>
      <c r="E876" s="77"/>
      <c r="F876" s="77"/>
    </row>
  </sheetData>
  <mergeCells count="15">
    <mergeCell ref="A1:A2"/>
    <mergeCell ref="A3:F3"/>
    <mergeCell ref="A11:F11"/>
    <mergeCell ref="A98:F98"/>
    <mergeCell ref="A187:F187"/>
    <mergeCell ref="A289:F289"/>
    <mergeCell ref="A139:F139"/>
    <mergeCell ref="A32:F32"/>
    <mergeCell ref="A67:C67"/>
    <mergeCell ref="A70:F70"/>
    <mergeCell ref="A84:F84"/>
    <mergeCell ref="A120:F120"/>
    <mergeCell ref="A287:C287"/>
    <mergeCell ref="A159:F159"/>
    <mergeCell ref="A174:F174"/>
  </mergeCells>
  <conditionalFormatting sqref="C4">
    <cfRule type="containsText" dxfId="151" priority="78" stopIfTrue="1" operator="containsText" text="Please">
      <formula>NOT(ISERROR(SEARCH("Please",C4)))</formula>
    </cfRule>
  </conditionalFormatting>
  <conditionalFormatting sqref="B118:B134 B15:B97">
    <cfRule type="containsText" dxfId="150" priority="75" stopIfTrue="1" operator="containsText" text="Does not apply to selected family">
      <formula>NOT(ISERROR(SEARCH("Does not apply to selected family",B15)))</formula>
    </cfRule>
    <cfRule type="containsText" dxfId="149" priority="76" stopIfTrue="1" operator="containsText" text="Insufficient">
      <formula>NOT(ISERROR(SEARCH("Insufficient",B15)))</formula>
    </cfRule>
  </conditionalFormatting>
  <conditionalFormatting sqref="B185:B224 B139:B171 B173:B180 B226:B286">
    <cfRule type="containsText" dxfId="148" priority="6" stopIfTrue="1" operator="containsText" text="Does not apply to selected family">
      <formula>NOT(ISERROR(SEARCH("Does not apply to selected family",B139)))</formula>
    </cfRule>
    <cfRule type="containsText" dxfId="147" priority="69" stopIfTrue="1" operator="containsText" text="Insufficient">
      <formula>NOT(ISERROR(SEARCH("Insufficient",B139)))</formula>
    </cfRule>
  </conditionalFormatting>
  <conditionalFormatting sqref="D185:D224 D1:D32 D118:D171 D173:D180 D226:D286 D34:D97">
    <cfRule type="containsText" dxfId="146" priority="72" stopIfTrue="1" operator="containsText" text="N/A">
      <formula>NOT(ISERROR(SEARCH("N/A",D1)))</formula>
    </cfRule>
    <cfRule type="containsText" dxfId="145" priority="73" stopIfTrue="1" operator="containsText" text="Problem">
      <formula>NOT(ISERROR(SEARCH("Problem",D1)))</formula>
    </cfRule>
    <cfRule type="containsText" dxfId="144" priority="74" stopIfTrue="1" operator="containsText" text="OK">
      <formula>NOT(ISERROR(SEARCH("OK",D1)))</formula>
    </cfRule>
  </conditionalFormatting>
  <conditionalFormatting sqref="C5:C9">
    <cfRule type="containsText" dxfId="143" priority="68" stopIfTrue="1" operator="containsText" text="Please">
      <formula>NOT(ISERROR(SEARCH("Please",C5)))</formula>
    </cfRule>
  </conditionalFormatting>
  <conditionalFormatting sqref="B287">
    <cfRule type="containsText" dxfId="142" priority="66" stopIfTrue="1" operator="containsText" text="Does not apply to selected family">
      <formula>NOT(ISERROR(SEARCH("Does not apply to selected family",B287)))</formula>
    </cfRule>
    <cfRule type="containsText" dxfId="141" priority="67" stopIfTrue="1" operator="containsText" text="Insufficient">
      <formula>NOT(ISERROR(SEARCH("Insufficient",B287)))</formula>
    </cfRule>
  </conditionalFormatting>
  <conditionalFormatting sqref="B181:B184">
    <cfRule type="containsText" dxfId="140" priority="61" stopIfTrue="1" operator="containsText" text="Does not apply to selected family">
      <formula>NOT(ISERROR(SEARCH("Does not apply to selected family",B181)))</formula>
    </cfRule>
    <cfRule type="containsText" dxfId="139" priority="62" stopIfTrue="1" operator="containsText" text="Insufficient">
      <formula>NOT(ISERROR(SEARCH("Insufficient",B181)))</formula>
    </cfRule>
  </conditionalFormatting>
  <conditionalFormatting sqref="D181:D184">
    <cfRule type="containsText" dxfId="138" priority="63" stopIfTrue="1" operator="containsText" text="N/A">
      <formula>NOT(ISERROR(SEARCH("N/A",D181)))</formula>
    </cfRule>
    <cfRule type="containsText" dxfId="137" priority="64" stopIfTrue="1" operator="containsText" text="Problem">
      <formula>NOT(ISERROR(SEARCH("Problem",D181)))</formula>
    </cfRule>
    <cfRule type="containsText" dxfId="136" priority="65" stopIfTrue="1" operator="containsText" text="OK">
      <formula>NOT(ISERROR(SEARCH("OK",D181)))</formula>
    </cfRule>
  </conditionalFormatting>
  <conditionalFormatting sqref="B98:B109">
    <cfRule type="containsText" dxfId="135" priority="59" stopIfTrue="1" operator="containsText" text="Does not apply to selected family">
      <formula>NOT(ISERROR(SEARCH("Does not apply to selected family",B98)))</formula>
    </cfRule>
    <cfRule type="containsText" dxfId="134" priority="60" stopIfTrue="1" operator="containsText" text="Insufficient">
      <formula>NOT(ISERROR(SEARCH("Insufficient",B98)))</formula>
    </cfRule>
  </conditionalFormatting>
  <conditionalFormatting sqref="D98:D109">
    <cfRule type="containsText" dxfId="133" priority="56" stopIfTrue="1" operator="containsText" text="N/A">
      <formula>NOT(ISERROR(SEARCH("N/A",D98)))</formula>
    </cfRule>
    <cfRule type="containsText" dxfId="132" priority="57" stopIfTrue="1" operator="containsText" text="Problem">
      <formula>NOT(ISERROR(SEARCH("Problem",D98)))</formula>
    </cfRule>
    <cfRule type="containsText" dxfId="131" priority="58" stopIfTrue="1" operator="containsText" text="OK">
      <formula>NOT(ISERROR(SEARCH("OK",D98)))</formula>
    </cfRule>
  </conditionalFormatting>
  <conditionalFormatting sqref="B110">
    <cfRule type="containsText" dxfId="130" priority="54" stopIfTrue="1" operator="containsText" text="Does not apply to selected family">
      <formula>NOT(ISERROR(SEARCH("Does not apply to selected family",B110)))</formula>
    </cfRule>
    <cfRule type="containsText" dxfId="129" priority="55" stopIfTrue="1" operator="containsText" text="Insufficient">
      <formula>NOT(ISERROR(SEARCH("Insufficient",B110)))</formula>
    </cfRule>
  </conditionalFormatting>
  <conditionalFormatting sqref="D110">
    <cfRule type="containsText" dxfId="128" priority="51" stopIfTrue="1" operator="containsText" text="N/A">
      <formula>NOT(ISERROR(SEARCH("N/A",D110)))</formula>
    </cfRule>
    <cfRule type="containsText" dxfId="127" priority="52" stopIfTrue="1" operator="containsText" text="Problem">
      <formula>NOT(ISERROR(SEARCH("Problem",D110)))</formula>
    </cfRule>
    <cfRule type="containsText" dxfId="126" priority="53" stopIfTrue="1" operator="containsText" text="OK">
      <formula>NOT(ISERROR(SEARCH("OK",D110)))</formula>
    </cfRule>
  </conditionalFormatting>
  <conditionalFormatting sqref="B111">
    <cfRule type="containsText" dxfId="125" priority="49" stopIfTrue="1" operator="containsText" text="Does not apply to selected family">
      <formula>NOT(ISERROR(SEARCH("Does not apply to selected family",B111)))</formula>
    </cfRule>
    <cfRule type="containsText" dxfId="124" priority="50" stopIfTrue="1" operator="containsText" text="Insufficient">
      <formula>NOT(ISERROR(SEARCH("Insufficient",B111)))</formula>
    </cfRule>
  </conditionalFormatting>
  <conditionalFormatting sqref="D111">
    <cfRule type="containsText" dxfId="123" priority="46" stopIfTrue="1" operator="containsText" text="N/A">
      <formula>NOT(ISERROR(SEARCH("N/A",D111)))</formula>
    </cfRule>
    <cfRule type="containsText" dxfId="122" priority="47" stopIfTrue="1" operator="containsText" text="Problem">
      <formula>NOT(ISERROR(SEARCH("Problem",D111)))</formula>
    </cfRule>
    <cfRule type="containsText" dxfId="121" priority="48" stopIfTrue="1" operator="containsText" text="OK">
      <formula>NOT(ISERROR(SEARCH("OK",D111)))</formula>
    </cfRule>
  </conditionalFormatting>
  <conditionalFormatting sqref="B112">
    <cfRule type="containsText" dxfId="120" priority="44" stopIfTrue="1" operator="containsText" text="Does not apply to selected family">
      <formula>NOT(ISERROR(SEARCH("Does not apply to selected family",B112)))</formula>
    </cfRule>
    <cfRule type="containsText" dxfId="119" priority="45" stopIfTrue="1" operator="containsText" text="Insufficient">
      <formula>NOT(ISERROR(SEARCH("Insufficient",B112)))</formula>
    </cfRule>
  </conditionalFormatting>
  <conditionalFormatting sqref="D112">
    <cfRule type="containsText" dxfId="118" priority="41" stopIfTrue="1" operator="containsText" text="N/A">
      <formula>NOT(ISERROR(SEARCH("N/A",D112)))</formula>
    </cfRule>
    <cfRule type="containsText" dxfId="117" priority="42" stopIfTrue="1" operator="containsText" text="Problem">
      <formula>NOT(ISERROR(SEARCH("Problem",D112)))</formula>
    </cfRule>
    <cfRule type="containsText" dxfId="116" priority="43" stopIfTrue="1" operator="containsText" text="OK">
      <formula>NOT(ISERROR(SEARCH("OK",D112)))</formula>
    </cfRule>
  </conditionalFormatting>
  <conditionalFormatting sqref="B113">
    <cfRule type="containsText" dxfId="115" priority="39" stopIfTrue="1" operator="containsText" text="Does not apply to selected family">
      <formula>NOT(ISERROR(SEARCH("Does not apply to selected family",B113)))</formula>
    </cfRule>
    <cfRule type="containsText" dxfId="114" priority="40" stopIfTrue="1" operator="containsText" text="Insufficient">
      <formula>NOT(ISERROR(SEARCH("Insufficient",B113)))</formula>
    </cfRule>
  </conditionalFormatting>
  <conditionalFormatting sqref="D113">
    <cfRule type="containsText" dxfId="113" priority="36" stopIfTrue="1" operator="containsText" text="N/A">
      <formula>NOT(ISERROR(SEARCH("N/A",D113)))</formula>
    </cfRule>
    <cfRule type="containsText" dxfId="112" priority="37" stopIfTrue="1" operator="containsText" text="Problem">
      <formula>NOT(ISERROR(SEARCH("Problem",D113)))</formula>
    </cfRule>
    <cfRule type="containsText" dxfId="111" priority="38" stopIfTrue="1" operator="containsText" text="OK">
      <formula>NOT(ISERROR(SEARCH("OK",D113)))</formula>
    </cfRule>
  </conditionalFormatting>
  <conditionalFormatting sqref="B114">
    <cfRule type="containsText" dxfId="110" priority="34" stopIfTrue="1" operator="containsText" text="Does not apply to selected family">
      <formula>NOT(ISERROR(SEARCH("Does not apply to selected family",B114)))</formula>
    </cfRule>
    <cfRule type="containsText" dxfId="109" priority="35" stopIfTrue="1" operator="containsText" text="Insufficient">
      <formula>NOT(ISERROR(SEARCH("Insufficient",B114)))</formula>
    </cfRule>
  </conditionalFormatting>
  <conditionalFormatting sqref="D114">
    <cfRule type="containsText" dxfId="108" priority="31" stopIfTrue="1" operator="containsText" text="N/A">
      <formula>NOT(ISERROR(SEARCH("N/A",D114)))</formula>
    </cfRule>
    <cfRule type="containsText" dxfId="107" priority="32" stopIfTrue="1" operator="containsText" text="Problem">
      <formula>NOT(ISERROR(SEARCH("Problem",D114)))</formula>
    </cfRule>
    <cfRule type="containsText" dxfId="106" priority="33" stopIfTrue="1" operator="containsText" text="OK">
      <formula>NOT(ISERROR(SEARCH("OK",D114)))</formula>
    </cfRule>
  </conditionalFormatting>
  <conditionalFormatting sqref="B115">
    <cfRule type="containsText" dxfId="105" priority="29" stopIfTrue="1" operator="containsText" text="Does not apply to selected family">
      <formula>NOT(ISERROR(SEARCH("Does not apply to selected family",B115)))</formula>
    </cfRule>
    <cfRule type="containsText" dxfId="104" priority="30" stopIfTrue="1" operator="containsText" text="Insufficient">
      <formula>NOT(ISERROR(SEARCH("Insufficient",B115)))</formula>
    </cfRule>
  </conditionalFormatting>
  <conditionalFormatting sqref="D115">
    <cfRule type="containsText" dxfId="103" priority="26" stopIfTrue="1" operator="containsText" text="N/A">
      <formula>NOT(ISERROR(SEARCH("N/A",D115)))</formula>
    </cfRule>
    <cfRule type="containsText" dxfId="102" priority="27" stopIfTrue="1" operator="containsText" text="Problem">
      <formula>NOT(ISERROR(SEARCH("Problem",D115)))</formula>
    </cfRule>
    <cfRule type="containsText" dxfId="101" priority="28" stopIfTrue="1" operator="containsText" text="OK">
      <formula>NOT(ISERROR(SEARCH("OK",D115)))</formula>
    </cfRule>
  </conditionalFormatting>
  <conditionalFormatting sqref="B116">
    <cfRule type="containsText" dxfId="100" priority="24" stopIfTrue="1" operator="containsText" text="Does not apply to selected family">
      <formula>NOT(ISERROR(SEARCH("Does not apply to selected family",B116)))</formula>
    </cfRule>
    <cfRule type="containsText" dxfId="99" priority="25" stopIfTrue="1" operator="containsText" text="Insufficient">
      <formula>NOT(ISERROR(SEARCH("Insufficient",B116)))</formula>
    </cfRule>
  </conditionalFormatting>
  <conditionalFormatting sqref="D116">
    <cfRule type="containsText" dxfId="98" priority="21" stopIfTrue="1" operator="containsText" text="N/A">
      <formula>NOT(ISERROR(SEARCH("N/A",D116)))</formula>
    </cfRule>
    <cfRule type="containsText" dxfId="97" priority="22" stopIfTrue="1" operator="containsText" text="Problem">
      <formula>NOT(ISERROR(SEARCH("Problem",D116)))</formula>
    </cfRule>
    <cfRule type="containsText" dxfId="96" priority="23" stopIfTrue="1" operator="containsText" text="OK">
      <formula>NOT(ISERROR(SEARCH("OK",D116)))</formula>
    </cfRule>
  </conditionalFormatting>
  <conditionalFormatting sqref="B117">
    <cfRule type="containsText" dxfId="95" priority="19" stopIfTrue="1" operator="containsText" text="Does not apply to selected family">
      <formula>NOT(ISERROR(SEARCH("Does not apply to selected family",B117)))</formula>
    </cfRule>
    <cfRule type="containsText" dxfId="94" priority="20" stopIfTrue="1" operator="containsText" text="Insufficient">
      <formula>NOT(ISERROR(SEARCH("Insufficient",B117)))</formula>
    </cfRule>
  </conditionalFormatting>
  <conditionalFormatting sqref="D117">
    <cfRule type="containsText" dxfId="93" priority="16" stopIfTrue="1" operator="containsText" text="N/A">
      <formula>NOT(ISERROR(SEARCH("N/A",D117)))</formula>
    </cfRule>
    <cfRule type="containsText" dxfId="92" priority="17" stopIfTrue="1" operator="containsText" text="Problem">
      <formula>NOT(ISERROR(SEARCH("Problem",D117)))</formula>
    </cfRule>
    <cfRule type="containsText" dxfId="91" priority="18" stopIfTrue="1" operator="containsText" text="OK">
      <formula>NOT(ISERROR(SEARCH("OK",D117)))</formula>
    </cfRule>
  </conditionalFormatting>
  <conditionalFormatting sqref="C33">
    <cfRule type="containsText" dxfId="90" priority="14" stopIfTrue="1" operator="containsText" text="Does not apply to selected family">
      <formula>NOT(ISERROR(SEARCH("Does not apply to selected family",C33)))</formula>
    </cfRule>
    <cfRule type="containsText" dxfId="89" priority="15" stopIfTrue="1" operator="containsText" text="Insufficient">
      <formula>NOT(ISERROR(SEARCH("Insufficient",C33)))</formula>
    </cfRule>
  </conditionalFormatting>
  <conditionalFormatting sqref="D33">
    <cfRule type="containsText" dxfId="88" priority="12" stopIfTrue="1" operator="containsText" text="Does not apply to selected family">
      <formula>NOT(ISERROR(SEARCH("Does not apply to selected family",D33)))</formula>
    </cfRule>
    <cfRule type="containsText" dxfId="87" priority="13" stopIfTrue="1" operator="containsText" text="Insufficient">
      <formula>NOT(ISERROR(SEARCH("Insufficient",D33)))</formula>
    </cfRule>
  </conditionalFormatting>
  <conditionalFormatting sqref="B172">
    <cfRule type="containsText" dxfId="86" priority="7" stopIfTrue="1" operator="containsText" text="Does not apply to selected family">
      <formula>NOT(ISERROR(SEARCH("Does not apply to selected family",B172)))</formula>
    </cfRule>
    <cfRule type="containsText" dxfId="85" priority="8" stopIfTrue="1" operator="containsText" text="Insufficient">
      <formula>NOT(ISERROR(SEARCH("Insufficient",B172)))</formula>
    </cfRule>
  </conditionalFormatting>
  <conditionalFormatting sqref="D172">
    <cfRule type="containsText" dxfId="84" priority="9" stopIfTrue="1" operator="containsText" text="N/A">
      <formula>NOT(ISERROR(SEARCH("N/A",D172)))</formula>
    </cfRule>
    <cfRule type="containsText" dxfId="83" priority="10" stopIfTrue="1" operator="containsText" text="Problem">
      <formula>NOT(ISERROR(SEARCH("Problem",D172)))</formula>
    </cfRule>
    <cfRule type="containsText" dxfId="82" priority="11" stopIfTrue="1" operator="containsText" text="OK">
      <formula>NOT(ISERROR(SEARCH("OK",D172)))</formula>
    </cfRule>
  </conditionalFormatting>
  <conditionalFormatting sqref="B233:B286">
    <cfRule type="cellIs" dxfId="81" priority="70" operator="notEqual">
      <formula>"MIO pin not used"</formula>
    </cfRule>
  </conditionalFormatting>
  <conditionalFormatting sqref="B225">
    <cfRule type="containsText" dxfId="80" priority="1" stopIfTrue="1" operator="containsText" text="Does not apply to selected family">
      <formula>NOT(ISERROR(SEARCH("Does not apply to selected family",B225)))</formula>
    </cfRule>
    <cfRule type="containsText" dxfId="79" priority="2" stopIfTrue="1" operator="containsText" text="Insufficient">
      <formula>NOT(ISERROR(SEARCH("Insufficient",B225)))</formula>
    </cfRule>
  </conditionalFormatting>
  <conditionalFormatting sqref="D225">
    <cfRule type="containsText" dxfId="78" priority="3" stopIfTrue="1" operator="containsText" text="N/A">
      <formula>NOT(ISERROR(SEARCH("N/A",D225)))</formula>
    </cfRule>
    <cfRule type="containsText" dxfId="77" priority="4" stopIfTrue="1" operator="containsText" text="Problem">
      <formula>NOT(ISERROR(SEARCH("Problem",D225)))</formula>
    </cfRule>
    <cfRule type="containsText" dxfId="76" priority="5" stopIfTrue="1" operator="containsText" text="OK">
      <formula>NOT(ISERROR(SEARCH("OK",D225)))</formula>
    </cfRule>
  </conditionalFormatting>
  <dataValidations count="47">
    <dataValidation type="list" allowBlank="1" showInputMessage="1" showErrorMessage="1" sqref="B7">
      <formula1>IF(B4 = "Zynq-7000",Config_Mode_Zynq,Config_Mode)</formula1>
    </dataValidation>
    <dataValidation type="list" allowBlank="1" showInputMessage="1" showErrorMessage="1" sqref="B6">
      <formula1>INDIRECT("AA"&amp;B5)</formula1>
    </dataValidation>
    <dataValidation type="list" allowBlank="1" showInputMessage="1" showErrorMessage="1" sqref="B5">
      <formula1>IF(MID(B4,1,4)="Zynq", INDIRECT(MID(B4,1,LEN(B4)-5)&amp;"7"), INDIRECT(MID(B4,1,LEN(B4)-2)&amp;"7"))</formula1>
    </dataValidation>
    <dataValidation type="decimal" allowBlank="1" showInputMessage="1" showErrorMessage="1" sqref="B8">
      <formula1>0</formula1>
      <formula2>100</formula2>
    </dataValidation>
    <dataValidation type="list" allowBlank="1" showInputMessage="1" showErrorMessage="1" sqref="B4">
      <formula1>SFamily</formula1>
    </dataValidation>
    <dataValidation type="list" allowBlank="1" showInputMessage="1" showErrorMessage="1" sqref="C19">
      <formula1>bank0</formula1>
    </dataValidation>
    <dataValidation type="list" allowBlank="1" showInputMessage="1" showErrorMessage="1" sqref="D88:D95 D35:D66 D143:D155 D74:D81 D233:D286 D163:D172 D178:D184 D102:D117 D15:D29 D124:D134">
      <formula1>Status</formula1>
    </dataValidation>
    <dataValidation type="list" allowBlank="1" showInputMessage="1" showErrorMessage="1" sqref="B191">
      <formula1>MIOIIC0</formula1>
    </dataValidation>
    <dataValidation type="list" allowBlank="1" showInputMessage="1" showErrorMessage="1" sqref="B192">
      <formula1>MIOIIC1</formula1>
    </dataValidation>
    <dataValidation type="list" allowBlank="1" showInputMessage="1" showErrorMessage="1" sqref="B193">
      <formula1>MIOSPI0</formula1>
    </dataValidation>
    <dataValidation type="list" allowBlank="1" showInputMessage="1" showErrorMessage="1" sqref="B194">
      <formula1>MIOSPI1</formula1>
    </dataValidation>
    <dataValidation type="list" allowBlank="1" showInputMessage="1" showErrorMessage="1" sqref="B195">
      <formula1>MIOCAN0</formula1>
    </dataValidation>
    <dataValidation type="list" allowBlank="1" showInputMessage="1" showErrorMessage="1" sqref="B196">
      <formula1>MIOCAN0CLK</formula1>
    </dataValidation>
    <dataValidation type="list" allowBlank="1" showInputMessage="1" showErrorMessage="1" sqref="B197">
      <formula1>MIOCAN1</formula1>
    </dataValidation>
    <dataValidation type="list" allowBlank="1" showInputMessage="1" showErrorMessage="1" sqref="B198">
      <formula1>MIOCAN1CLK</formula1>
    </dataValidation>
    <dataValidation type="list" allowBlank="1" showInputMessage="1" showErrorMessage="1" sqref="B199">
      <formula1>MIOUART0</formula1>
    </dataValidation>
    <dataValidation type="list" allowBlank="1" showInputMessage="1" showErrorMessage="1" sqref="B200">
      <formula1>MIOUART1</formula1>
    </dataValidation>
    <dataValidation type="list" allowBlank="1" showInputMessage="1" showErrorMessage="1" sqref="B201">
      <formula1>MIOTTC0</formula1>
    </dataValidation>
    <dataValidation type="list" allowBlank="1" showInputMessage="1" showErrorMessage="1" sqref="B202">
      <formula1>MIOTTC1</formula1>
    </dataValidation>
    <dataValidation type="list" allowBlank="1" showInputMessage="1" showErrorMessage="1" sqref="B203">
      <formula1>MIOSWDT</formula1>
    </dataValidation>
    <dataValidation type="list" allowBlank="1" showInputMessage="1" showErrorMessage="1" sqref="B204">
      <formula1>MIOPJTAG</formula1>
    </dataValidation>
    <dataValidation type="list" allowBlank="1" showInputMessage="1" showErrorMessage="1" sqref="B205">
      <formula1>MIOTRACECTRL</formula1>
    </dataValidation>
    <dataValidation type="list" allowBlank="1" showInputMessage="1" showErrorMessage="1" sqref="B206">
      <formula1>MIOTRACE</formula1>
    </dataValidation>
    <dataValidation type="list" allowBlank="1" showInputMessage="1" showErrorMessage="1" sqref="B207">
      <formula1>MIOSDIO0</formula1>
    </dataValidation>
    <dataValidation type="list" allowBlank="1" showInputMessage="1" showErrorMessage="1" sqref="B208">
      <formula1>MIOSDIO1</formula1>
    </dataValidation>
    <dataValidation type="list" allowBlank="1" showInputMessage="1" showErrorMessage="1" sqref="B209">
      <formula1>MIOSDIO0POWER</formula1>
    </dataValidation>
    <dataValidation type="list" allowBlank="1" showInputMessage="1" showErrorMessage="1" sqref="B210">
      <formula1>MIOSDIO1POWER</formula1>
    </dataValidation>
    <dataValidation type="list" allowBlank="1" showInputMessage="1" showErrorMessage="1" sqref="B211">
      <formula1>MIOSDIO0WP</formula1>
    </dataValidation>
    <dataValidation type="list" allowBlank="1" showInputMessage="1" showErrorMessage="1" sqref="B212">
      <formula1>MIOSDIO0CD</formula1>
    </dataValidation>
    <dataValidation type="list" allowBlank="1" showInputMessage="1" showErrorMessage="1" sqref="B213">
      <formula1>MIOSDIO1WP</formula1>
    </dataValidation>
    <dataValidation type="list" allowBlank="1" showInputMessage="1" showErrorMessage="1" sqref="B214">
      <formula1>MIOSDIO1CD</formula1>
    </dataValidation>
    <dataValidation type="list" allowBlank="1" showInputMessage="1" showErrorMessage="1" sqref="B215">
      <formula1>MIOETHERNET0</formula1>
    </dataValidation>
    <dataValidation type="list" allowBlank="1" showInputMessage="1" showErrorMessage="1" sqref="B216">
      <formula1>MIOETHERNET1</formula1>
    </dataValidation>
    <dataValidation type="list" allowBlank="1" showInputMessage="1" showErrorMessage="1" sqref="B217">
      <formula1>MIOETHERNETMDIO</formula1>
    </dataValidation>
    <dataValidation type="list" allowBlank="1" showInputMessage="1" showErrorMessage="1" sqref="B218">
      <formula1>MIOQSPI01BIT</formula1>
    </dataValidation>
    <dataValidation type="list" allowBlank="1" showInputMessage="1" showErrorMessage="1" sqref="B219">
      <formula1>MIOQSPI02BIT</formula1>
    </dataValidation>
    <dataValidation type="list" allowBlank="1" showInputMessage="1" showErrorMessage="1" sqref="B220">
      <formula1>MIOQSPI04BIT</formula1>
    </dataValidation>
    <dataValidation type="list" allowBlank="1" showInputMessage="1" showErrorMessage="1" sqref="B221">
      <formula1>MIOQSPI11BIT</formula1>
    </dataValidation>
    <dataValidation type="list" allowBlank="1" showInputMessage="1" showErrorMessage="1" sqref="B222">
      <formula1>MIOQSPI12BIT</formula1>
    </dataValidation>
    <dataValidation type="list" allowBlank="1" showInputMessage="1" showErrorMessage="1" sqref="B223">
      <formula1>MIOQSPI14BIT</formula1>
    </dataValidation>
    <dataValidation type="list" allowBlank="1" showInputMessage="1" showErrorMessage="1" sqref="B224">
      <formula1>MIOQSPICS</formula1>
    </dataValidation>
    <dataValidation type="list" allowBlank="1" showInputMessage="1" showErrorMessage="1" sqref="B226">
      <formula1>MIOUSB0</formula1>
    </dataValidation>
    <dataValidation type="list" allowBlank="1" showInputMessage="1" showErrorMessage="1" sqref="B227">
      <formula1>MIOUSB1</formula1>
    </dataValidation>
    <dataValidation type="list" allowBlank="1" showInputMessage="1" showErrorMessage="1" sqref="B228">
      <formula1>MIONORSRAM</formula1>
    </dataValidation>
    <dataValidation type="list" allowBlank="1" showInputMessage="1" showErrorMessage="1" sqref="B229">
      <formula1>MIONAND8</formula1>
    </dataValidation>
    <dataValidation type="list" allowBlank="1" showInputMessage="1" showErrorMessage="1" sqref="B230">
      <formula1>MIONAND16</formula1>
    </dataValidation>
    <dataValidation type="list" allowBlank="1" showInputMessage="1" showErrorMessage="1" sqref="B225">
      <formula1>MIOQSPIFEEDBACKCLK</formula1>
    </dataValidation>
  </dataValidations>
  <hyperlinks>
    <hyperlink ref="B140" r:id="rId1"/>
    <hyperlink ref="B160" r:id="rId2"/>
    <hyperlink ref="B175" r:id="rId3"/>
    <hyperlink ref="C33" r:id="rId4"/>
  </hyperlinks>
  <pageMargins left="0.75" right="0.75" top="1" bottom="1" header="0.5" footer="0.5"/>
  <pageSetup scale="48" orientation="portrait" r:id="rId5"/>
  <headerFooter alignWithMargins="0"/>
  <colBreaks count="1" manualBreakCount="1">
    <brk id="5" max="1048575" man="1"/>
  </colBreaks>
  <drawing r:id="rId6"/>
  <legacyDrawing r:id="rId7"/>
  <mc:AlternateContent xmlns:mc="http://schemas.openxmlformats.org/markup-compatibility/2006">
    <mc:Choice Requires="x14">
      <controls>
        <mc:AlternateContent xmlns:mc="http://schemas.openxmlformats.org/markup-compatibility/2006">
          <mc:Choice Requires="x14">
            <control shapeId="46250" r:id="rId8" name="Button 170">
              <controlPr defaultSize="0" print="0" autoFill="0" autoPict="0" macro="[0]!insert_new_tab">
                <anchor moveWithCells="1" sizeWithCells="1">
                  <from>
                    <xdr:col>1</xdr:col>
                    <xdr:colOff>76200</xdr:colOff>
                    <xdr:row>0</xdr:row>
                    <xdr:rowOff>76200</xdr:rowOff>
                  </from>
                  <to>
                    <xdr:col>1</xdr:col>
                    <xdr:colOff>1952625</xdr:colOff>
                    <xdr:row>1</xdr:row>
                    <xdr:rowOff>180975</xdr:rowOff>
                  </to>
                </anchor>
              </controlPr>
            </control>
          </mc:Choice>
        </mc:AlternateContent>
        <mc:AlternateContent xmlns:mc="http://schemas.openxmlformats.org/markup-compatibility/2006">
          <mc:Choice Requires="x14">
            <control shapeId="46251" r:id="rId9" name="Button 171">
              <controlPr defaultSize="0" print="0" autoFill="0" autoPict="0" macro="[0]!remove_tab">
                <anchor moveWithCells="1" sizeWithCells="1">
                  <from>
                    <xdr:col>2</xdr:col>
                    <xdr:colOff>676275</xdr:colOff>
                    <xdr:row>0</xdr:row>
                    <xdr:rowOff>76200</xdr:rowOff>
                  </from>
                  <to>
                    <xdr:col>2</xdr:col>
                    <xdr:colOff>2543175</xdr:colOff>
                    <xdr:row>1</xdr:row>
                    <xdr:rowOff>180975</xdr:rowOff>
                  </to>
                </anchor>
              </controlPr>
            </control>
          </mc:Choice>
        </mc:AlternateContent>
        <mc:AlternateContent xmlns:mc="http://schemas.openxmlformats.org/markup-compatibility/2006">
          <mc:Choice Requires="x14">
            <control shapeId="46262" r:id="rId10" name="Button 182">
              <controlPr defaultSize="0" print="0" autoFill="0" autoPict="0" macro="[0]!reset_mio_pin_selection">
                <anchor moveWithCells="1">
                  <from>
                    <xdr:col>1</xdr:col>
                    <xdr:colOff>1457325</xdr:colOff>
                    <xdr:row>187</xdr:row>
                    <xdr:rowOff>28575</xdr:rowOff>
                  </from>
                  <to>
                    <xdr:col>1</xdr:col>
                    <xdr:colOff>2819400</xdr:colOff>
                    <xdr:row>188</xdr:row>
                    <xdr:rowOff>104775</xdr:rowOff>
                  </to>
                </anchor>
              </controlPr>
            </control>
          </mc:Choice>
        </mc:AlternateContent>
        <mc:AlternateContent xmlns:mc="http://schemas.openxmlformats.org/markup-compatibility/2006">
          <mc:Choice Requires="x14">
            <control shapeId="46355" r:id="rId11" name="Button 275">
              <controlPr defaultSize="0" print="0" autoFill="0" autoPict="0" macro="[0]!rename_tab">
                <anchor moveWithCells="1" sizeWithCells="1">
                  <from>
                    <xdr:col>1</xdr:col>
                    <xdr:colOff>2066925</xdr:colOff>
                    <xdr:row>0</xdr:row>
                    <xdr:rowOff>76200</xdr:rowOff>
                  </from>
                  <to>
                    <xdr:col>1</xdr:col>
                    <xdr:colOff>3933825</xdr:colOff>
                    <xdr:row>1</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55"/>
  <sheetViews>
    <sheetView zoomScaleNormal="100" workbookViewId="0">
      <pane xSplit="1" topLeftCell="X1" activePane="topRight" state="frozen"/>
      <selection activeCell="A16" sqref="A16"/>
      <selection pane="topRight" activeCell="A15" sqref="A15:A23"/>
    </sheetView>
  </sheetViews>
  <sheetFormatPr defaultColWidth="9.140625" defaultRowHeight="12.75"/>
  <cols>
    <col min="1" max="1" width="43" style="1" bestFit="1" customWidth="1"/>
    <col min="2" max="2" width="33.140625" style="1" bestFit="1" customWidth="1"/>
    <col min="3" max="3" width="26.7109375" style="1" customWidth="1"/>
    <col min="4" max="4" width="14" style="1" customWidth="1"/>
    <col min="5" max="5" width="20.28515625" style="1" customWidth="1"/>
    <col min="6" max="6" width="26.85546875" style="1" customWidth="1"/>
    <col min="7" max="7" width="27.5703125" style="1" bestFit="1" customWidth="1"/>
    <col min="8" max="40" width="18.5703125" style="1" customWidth="1"/>
    <col min="41" max="16384" width="9.140625" style="1"/>
  </cols>
  <sheetData>
    <row r="1" spans="1:35">
      <c r="A1" s="1" t="s">
        <v>209</v>
      </c>
      <c r="B1" s="1" t="s">
        <v>45</v>
      </c>
      <c r="E1" s="7" t="s">
        <v>349</v>
      </c>
      <c r="S1" s="38"/>
      <c r="T1" s="38"/>
      <c r="U1" s="38"/>
      <c r="V1" s="38"/>
      <c r="W1" s="38"/>
      <c r="X1" s="38"/>
      <c r="Y1" s="38"/>
      <c r="Z1" s="38"/>
      <c r="AA1" s="38"/>
      <c r="AB1" s="38"/>
      <c r="AC1" s="38"/>
      <c r="AD1" s="38"/>
      <c r="AE1" s="38"/>
      <c r="AF1" s="38"/>
      <c r="AG1" s="38"/>
      <c r="AH1" s="38"/>
      <c r="AI1" s="38"/>
    </row>
    <row r="2" spans="1:35" ht="13.5" customHeight="1">
      <c r="A2" s="7" t="s">
        <v>333</v>
      </c>
      <c r="B2" s="1">
        <v>1</v>
      </c>
      <c r="E2" s="1">
        <v>0</v>
      </c>
      <c r="S2" s="38"/>
      <c r="T2" s="38"/>
      <c r="U2" s="38"/>
      <c r="V2" s="38"/>
      <c r="W2" s="38"/>
      <c r="X2" s="38"/>
      <c r="Y2" s="38"/>
      <c r="Z2" s="38"/>
      <c r="AA2" s="38"/>
      <c r="AB2" s="38"/>
      <c r="AC2" s="38"/>
      <c r="AD2" s="38"/>
      <c r="AE2" s="38"/>
      <c r="AF2" s="38"/>
      <c r="AG2" s="38"/>
      <c r="AH2" s="38"/>
      <c r="AI2" s="38"/>
    </row>
    <row r="3" spans="1:35" ht="13.5" customHeight="1">
      <c r="A3" s="7" t="s">
        <v>334</v>
      </c>
      <c r="B3" s="1">
        <v>1</v>
      </c>
      <c r="E3" s="1">
        <v>1.2</v>
      </c>
      <c r="S3" s="38"/>
      <c r="T3" s="38"/>
      <c r="U3" s="38"/>
      <c r="V3" s="38"/>
      <c r="W3" s="38"/>
      <c r="X3" s="38"/>
      <c r="Y3" s="38"/>
      <c r="Z3" s="38"/>
      <c r="AA3" s="38"/>
      <c r="AB3" s="38"/>
      <c r="AC3"/>
      <c r="AD3" s="38"/>
      <c r="AE3" s="38"/>
      <c r="AF3" s="38"/>
      <c r="AG3" s="38"/>
      <c r="AH3" s="38"/>
      <c r="AI3" s="38"/>
    </row>
    <row r="4" spans="1:35" ht="13.5" customHeight="1">
      <c r="A4" s="7" t="s">
        <v>335</v>
      </c>
      <c r="B4" s="1">
        <v>1</v>
      </c>
      <c r="E4" s="1">
        <v>1.5</v>
      </c>
      <c r="S4" s="38"/>
      <c r="T4" s="38"/>
      <c r="U4" s="38"/>
      <c r="V4" s="38"/>
      <c r="W4" s="38"/>
      <c r="X4" s="38"/>
      <c r="Y4" s="38"/>
      <c r="Z4" s="38"/>
      <c r="AA4" s="38"/>
      <c r="AB4" s="38"/>
      <c r="AC4"/>
      <c r="AD4" s="38"/>
      <c r="AE4" s="38"/>
      <c r="AF4" s="38"/>
      <c r="AG4" s="38"/>
      <c r="AH4" s="38"/>
      <c r="AI4" s="38"/>
    </row>
    <row r="5" spans="1:35" ht="13.5" customHeight="1">
      <c r="A5" s="7" t="s">
        <v>336</v>
      </c>
      <c r="B5" s="1">
        <v>1</v>
      </c>
      <c r="E5" s="1">
        <v>1.8</v>
      </c>
      <c r="S5" s="38"/>
      <c r="T5" s="38"/>
      <c r="U5" s="38"/>
      <c r="V5" s="38"/>
      <c r="W5" s="38"/>
      <c r="X5" s="38"/>
      <c r="Y5" s="38"/>
      <c r="Z5" s="38"/>
      <c r="AA5" s="38"/>
      <c r="AB5" s="38"/>
      <c r="AC5"/>
      <c r="AD5" s="38"/>
      <c r="AE5" s="38"/>
      <c r="AF5" s="38"/>
      <c r="AG5" s="38"/>
      <c r="AH5" s="38"/>
      <c r="AI5" s="38"/>
    </row>
    <row r="6" spans="1:35" ht="13.5" customHeight="1">
      <c r="A6" s="7" t="s">
        <v>337</v>
      </c>
      <c r="B6" s="1">
        <v>2</v>
      </c>
      <c r="E6" s="1">
        <v>2.5</v>
      </c>
      <c r="S6" s="38"/>
      <c r="T6" s="38"/>
      <c r="U6" s="38"/>
      <c r="V6" s="38"/>
      <c r="W6" s="38"/>
      <c r="X6" s="38"/>
      <c r="Y6" s="38"/>
      <c r="Z6" s="38"/>
      <c r="AA6" s="38"/>
      <c r="AB6" s="38"/>
      <c r="AC6"/>
      <c r="AD6" s="38"/>
      <c r="AE6" s="38"/>
      <c r="AF6" s="38"/>
      <c r="AG6" s="38"/>
      <c r="AH6" s="38"/>
      <c r="AI6" s="38"/>
    </row>
    <row r="7" spans="1:35" ht="13.5" customHeight="1">
      <c r="A7" s="7" t="s">
        <v>338</v>
      </c>
      <c r="B7" s="1">
        <v>4</v>
      </c>
      <c r="E7" s="1">
        <v>3.3</v>
      </c>
      <c r="S7" s="38"/>
      <c r="T7" s="38"/>
      <c r="U7" s="38"/>
      <c r="V7" s="38"/>
      <c r="W7" s="38"/>
      <c r="X7" s="38"/>
      <c r="Y7" s="38"/>
      <c r="Z7" s="38"/>
      <c r="AA7" s="38"/>
      <c r="AB7" s="38"/>
      <c r="AC7"/>
      <c r="AD7" s="38"/>
      <c r="AE7" s="38"/>
      <c r="AF7" s="38"/>
      <c r="AG7" s="38"/>
      <c r="AH7" s="38"/>
      <c r="AI7" s="38"/>
    </row>
    <row r="8" spans="1:35" ht="13.5" customHeight="1">
      <c r="A8" s="7" t="s">
        <v>339</v>
      </c>
      <c r="B8" s="1">
        <v>8</v>
      </c>
      <c r="S8" s="38"/>
      <c r="T8" s="38"/>
      <c r="U8" s="38"/>
      <c r="V8" s="38"/>
      <c r="W8" s="38"/>
      <c r="X8" s="38"/>
      <c r="Y8" s="38"/>
      <c r="Z8" s="38"/>
      <c r="AA8" s="38"/>
      <c r="AB8" s="38"/>
      <c r="AC8"/>
      <c r="AD8" s="38"/>
      <c r="AE8" s="38"/>
      <c r="AF8" s="38"/>
      <c r="AG8" s="38"/>
      <c r="AH8" s="38"/>
      <c r="AI8" s="38"/>
    </row>
    <row r="9" spans="1:35" ht="13.5" customHeight="1">
      <c r="A9" s="7" t="s">
        <v>340</v>
      </c>
      <c r="B9" s="1">
        <v>16</v>
      </c>
      <c r="S9" s="38"/>
      <c r="T9" s="38"/>
      <c r="U9" s="38"/>
      <c r="V9" s="38"/>
      <c r="W9" s="38"/>
      <c r="X9" s="38"/>
      <c r="Y9" s="38"/>
      <c r="Z9" s="38"/>
      <c r="AA9" s="38"/>
      <c r="AB9" s="38"/>
      <c r="AC9"/>
      <c r="AD9" s="38"/>
      <c r="AE9" s="38"/>
      <c r="AF9" s="38"/>
      <c r="AG9" s="38"/>
      <c r="AH9" s="38"/>
      <c r="AI9" s="38"/>
    </row>
    <row r="10" spans="1:35" ht="13.5" customHeight="1">
      <c r="A10" s="7" t="s">
        <v>341</v>
      </c>
      <c r="B10" s="1">
        <v>8</v>
      </c>
      <c r="S10" s="38"/>
      <c r="T10" s="38"/>
      <c r="U10" s="38"/>
      <c r="V10" s="38"/>
      <c r="W10" s="38"/>
      <c r="X10" s="38"/>
      <c r="Y10" s="38"/>
      <c r="Z10" s="38"/>
      <c r="AA10" s="38"/>
      <c r="AB10" s="38"/>
      <c r="AC10" s="38"/>
      <c r="AD10" s="38"/>
      <c r="AE10" s="38"/>
      <c r="AF10" s="38"/>
      <c r="AG10" s="38"/>
      <c r="AH10" s="38"/>
      <c r="AI10" s="38"/>
    </row>
    <row r="11" spans="1:35" ht="13.5" customHeight="1">
      <c r="A11" s="7" t="s">
        <v>342</v>
      </c>
      <c r="B11" s="1">
        <v>16</v>
      </c>
      <c r="S11" s="38"/>
      <c r="T11" s="38"/>
      <c r="U11" s="38"/>
      <c r="V11" s="38"/>
      <c r="W11" s="38"/>
      <c r="X11" s="38"/>
      <c r="Y11" s="38"/>
      <c r="Z11" s="38"/>
      <c r="AA11" s="38"/>
      <c r="AB11" s="38"/>
      <c r="AC11" s="38"/>
      <c r="AD11" s="38"/>
      <c r="AE11" s="38"/>
      <c r="AF11" s="38"/>
      <c r="AG11" s="38"/>
      <c r="AH11" s="38"/>
      <c r="AI11" s="38"/>
    </row>
    <row r="12" spans="1:35" ht="13.5" customHeight="1">
      <c r="A12" s="7" t="s">
        <v>343</v>
      </c>
      <c r="B12" s="1">
        <v>32</v>
      </c>
      <c r="S12" s="38"/>
      <c r="T12" s="38"/>
      <c r="U12" s="38"/>
      <c r="V12" s="38"/>
      <c r="W12" s="38"/>
      <c r="X12" s="38"/>
      <c r="Y12" s="38"/>
      <c r="Z12" s="38"/>
      <c r="AA12" s="38"/>
      <c r="AB12" s="38"/>
      <c r="AC12" s="38"/>
      <c r="AD12" s="38"/>
      <c r="AE12" s="38"/>
      <c r="AF12" s="38"/>
      <c r="AG12" s="38"/>
      <c r="AH12" s="38"/>
      <c r="AI12" s="38"/>
    </row>
    <row r="13" spans="1:35" ht="13.5" customHeight="1">
      <c r="A13" s="7" t="s">
        <v>344</v>
      </c>
      <c r="B13" s="1">
        <v>8</v>
      </c>
      <c r="S13" s="38"/>
      <c r="T13" s="38"/>
      <c r="U13" s="38"/>
      <c r="V13" s="38"/>
      <c r="W13" s="38"/>
      <c r="X13" s="38"/>
      <c r="Y13" s="38"/>
      <c r="Z13" s="38"/>
      <c r="AA13" s="38"/>
      <c r="AB13" s="38"/>
      <c r="AC13" s="38"/>
      <c r="AD13" s="38"/>
      <c r="AE13" s="38"/>
      <c r="AF13" s="38"/>
      <c r="AG13" s="38"/>
      <c r="AH13" s="38"/>
      <c r="AI13" s="38"/>
    </row>
    <row r="14" spans="1:35" ht="13.5" customHeight="1">
      <c r="A14" s="7" t="s">
        <v>345</v>
      </c>
      <c r="B14" s="1">
        <v>16</v>
      </c>
      <c r="S14" s="38"/>
      <c r="T14" s="38"/>
      <c r="U14" s="38"/>
      <c r="V14" s="38"/>
      <c r="W14" s="38"/>
      <c r="X14" s="38"/>
      <c r="Y14" s="38"/>
      <c r="Z14" s="38"/>
      <c r="AA14" s="38"/>
      <c r="AB14" s="38"/>
      <c r="AC14" s="38"/>
      <c r="AD14" s="38"/>
      <c r="AE14" s="38"/>
      <c r="AF14" s="38"/>
      <c r="AG14" s="38"/>
      <c r="AH14" s="38"/>
      <c r="AI14" s="38"/>
    </row>
    <row r="15" spans="1:35">
      <c r="A15" s="7" t="s">
        <v>1742</v>
      </c>
      <c r="B15" s="1">
        <v>1</v>
      </c>
      <c r="C15" s="7"/>
      <c r="S15" s="38"/>
      <c r="T15" s="38"/>
      <c r="U15" s="38"/>
      <c r="V15" s="38"/>
      <c r="W15" s="38"/>
      <c r="X15" s="38"/>
      <c r="Y15" s="38"/>
      <c r="Z15" s="38"/>
      <c r="AA15" s="38"/>
      <c r="AB15" s="38"/>
      <c r="AC15" s="38"/>
      <c r="AD15" s="38"/>
      <c r="AE15" s="38"/>
      <c r="AF15" s="38"/>
      <c r="AG15" s="38"/>
      <c r="AH15" s="38"/>
      <c r="AI15" s="38"/>
    </row>
    <row r="16" spans="1:35">
      <c r="A16" s="7" t="s">
        <v>1743</v>
      </c>
      <c r="B16" s="1">
        <v>8</v>
      </c>
      <c r="O16" s="7"/>
      <c r="P16" s="7"/>
      <c r="Q16" s="7"/>
      <c r="R16" s="7"/>
      <c r="S16" s="38"/>
      <c r="T16" s="38"/>
      <c r="U16" s="38"/>
      <c r="V16" s="38"/>
      <c r="W16" s="38"/>
      <c r="X16" s="38"/>
      <c r="Y16" s="38"/>
      <c r="Z16" s="38"/>
      <c r="AA16" s="38"/>
      <c r="AB16" s="38"/>
      <c r="AC16" s="38"/>
      <c r="AD16" s="38"/>
      <c r="AE16" s="38"/>
      <c r="AF16" s="38"/>
      <c r="AG16" s="38"/>
      <c r="AH16" s="38"/>
      <c r="AI16" s="38"/>
    </row>
    <row r="17" spans="1:36">
      <c r="A17" s="7" t="s">
        <v>1744</v>
      </c>
      <c r="B17" s="1">
        <v>8</v>
      </c>
      <c r="O17" s="7"/>
      <c r="P17" s="7"/>
      <c r="Q17" s="7"/>
      <c r="R17" s="7"/>
      <c r="S17" s="38"/>
      <c r="T17" s="38"/>
      <c r="U17" s="38"/>
      <c r="V17" s="38"/>
      <c r="W17" s="38"/>
      <c r="X17" s="38"/>
      <c r="Y17" s="38"/>
      <c r="Z17" s="38"/>
      <c r="AA17" s="38"/>
      <c r="AB17" s="38"/>
      <c r="AC17" s="38"/>
      <c r="AD17" s="38"/>
      <c r="AE17" s="38"/>
      <c r="AF17" s="38"/>
      <c r="AG17" s="38"/>
      <c r="AH17" s="38"/>
      <c r="AI17" s="38"/>
    </row>
    <row r="18" spans="1:36">
      <c r="A18" s="7" t="s">
        <v>1745</v>
      </c>
      <c r="B18" s="1">
        <v>16</v>
      </c>
      <c r="O18" s="7"/>
      <c r="P18" s="7"/>
      <c r="Q18" s="7"/>
      <c r="R18" s="7"/>
      <c r="S18" s="38"/>
      <c r="T18" s="38"/>
      <c r="U18" s="38"/>
      <c r="V18" s="38"/>
      <c r="W18" s="38"/>
      <c r="X18" s="38"/>
      <c r="Y18" s="38"/>
      <c r="Z18" s="38"/>
      <c r="AA18" s="38"/>
      <c r="AB18" s="38"/>
      <c r="AC18" s="38"/>
      <c r="AD18" s="38"/>
      <c r="AE18" s="38"/>
      <c r="AF18" s="38"/>
      <c r="AG18" s="38"/>
      <c r="AH18" s="38"/>
      <c r="AI18" s="38"/>
    </row>
    <row r="19" spans="1:36">
      <c r="A19" s="7" t="s">
        <v>1746</v>
      </c>
      <c r="B19" s="1">
        <v>1</v>
      </c>
      <c r="O19" s="7"/>
      <c r="P19" s="7"/>
      <c r="Q19" s="7"/>
      <c r="R19" s="7"/>
      <c r="S19" s="38"/>
      <c r="T19" s="38"/>
      <c r="U19" s="38"/>
      <c r="V19" s="38"/>
      <c r="W19" s="38"/>
      <c r="X19" s="38"/>
      <c r="Y19" s="38"/>
      <c r="Z19" s="38"/>
      <c r="AA19" s="38"/>
      <c r="AB19" s="38"/>
      <c r="AC19" s="38"/>
      <c r="AD19" s="38"/>
      <c r="AE19" s="38"/>
      <c r="AF19" s="38"/>
      <c r="AG19" s="38"/>
      <c r="AH19" s="38"/>
      <c r="AI19" s="38"/>
    </row>
    <row r="20" spans="1:36">
      <c r="A20" s="7" t="s">
        <v>1747</v>
      </c>
      <c r="B20" s="1">
        <v>2</v>
      </c>
      <c r="O20" s="7"/>
      <c r="P20" s="7"/>
      <c r="Q20" s="7"/>
      <c r="R20" s="7"/>
      <c r="S20" s="38"/>
      <c r="T20" s="38"/>
      <c r="U20" s="38"/>
      <c r="V20" s="38"/>
      <c r="W20" s="38"/>
      <c r="X20" s="38"/>
      <c r="Y20" s="38"/>
      <c r="Z20" s="38"/>
      <c r="AA20" s="38"/>
      <c r="AB20" s="38"/>
      <c r="AC20" s="38"/>
      <c r="AD20" s="38"/>
      <c r="AE20" s="38"/>
      <c r="AF20" s="38"/>
      <c r="AG20" s="38"/>
      <c r="AH20" s="38"/>
      <c r="AI20" s="38"/>
    </row>
    <row r="21" spans="1:36">
      <c r="A21" s="7" t="s">
        <v>1748</v>
      </c>
      <c r="B21" s="1">
        <v>4</v>
      </c>
      <c r="O21" s="7"/>
      <c r="P21" s="7"/>
      <c r="Q21" s="7"/>
      <c r="R21" s="7"/>
      <c r="S21" s="38"/>
      <c r="T21" s="38"/>
      <c r="U21" s="38"/>
      <c r="V21" s="38"/>
      <c r="W21" s="38"/>
      <c r="X21" s="38"/>
      <c r="Y21" s="38"/>
      <c r="Z21" s="38"/>
      <c r="AA21" s="38"/>
      <c r="AB21" s="38"/>
      <c r="AC21" s="38"/>
      <c r="AD21" s="38"/>
      <c r="AE21" s="38"/>
      <c r="AF21" s="38"/>
      <c r="AG21" s="38"/>
      <c r="AH21" s="38"/>
      <c r="AI21" s="38"/>
    </row>
    <row r="22" spans="1:36">
      <c r="A22" s="7" t="s">
        <v>1749</v>
      </c>
      <c r="B22" s="1">
        <v>8</v>
      </c>
      <c r="O22" s="7"/>
      <c r="P22" s="7"/>
      <c r="Q22" s="7"/>
      <c r="R22" s="7"/>
      <c r="S22" s="38"/>
      <c r="T22" s="38"/>
      <c r="U22" s="38"/>
      <c r="V22" s="38"/>
      <c r="W22" s="38"/>
      <c r="X22" s="38"/>
      <c r="Y22" s="38"/>
      <c r="Z22" s="38"/>
      <c r="AA22" s="38"/>
      <c r="AB22" s="38"/>
      <c r="AC22" s="38"/>
      <c r="AD22" s="38"/>
      <c r="AE22" s="38"/>
      <c r="AF22" s="38"/>
      <c r="AG22" s="38"/>
      <c r="AH22" s="38"/>
      <c r="AI22" s="38"/>
    </row>
    <row r="23" spans="1:36">
      <c r="A23" s="7" t="s">
        <v>1750</v>
      </c>
      <c r="B23" s="1">
        <v>4</v>
      </c>
      <c r="O23" s="7"/>
      <c r="P23" s="7"/>
      <c r="Q23" s="7"/>
      <c r="R23" s="7"/>
      <c r="S23" s="38"/>
      <c r="T23" s="38"/>
      <c r="U23" s="38"/>
      <c r="V23" s="38"/>
      <c r="W23" s="38"/>
      <c r="X23" s="38"/>
      <c r="Y23" s="38"/>
      <c r="Z23" s="38"/>
      <c r="AA23" s="38"/>
      <c r="AB23" s="38"/>
      <c r="AC23" s="38"/>
      <c r="AD23" s="38"/>
      <c r="AE23" s="38"/>
      <c r="AF23" s="38"/>
      <c r="AG23" s="38"/>
      <c r="AH23" s="38"/>
      <c r="AI23" s="38"/>
    </row>
    <row r="24" spans="1:36">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row>
    <row r="25" spans="1:36">
      <c r="A25" s="1" t="s">
        <v>224</v>
      </c>
    </row>
    <row r="26" spans="1:36">
      <c r="A26" s="1">
        <v>1</v>
      </c>
      <c r="B26" s="1">
        <v>2</v>
      </c>
      <c r="C26" s="1">
        <v>3</v>
      </c>
      <c r="D26" s="1">
        <v>4</v>
      </c>
      <c r="E26" s="1">
        <v>5</v>
      </c>
      <c r="F26" s="1">
        <v>6</v>
      </c>
      <c r="G26" s="1">
        <v>7</v>
      </c>
      <c r="H26" s="1">
        <v>8</v>
      </c>
      <c r="I26" s="1">
        <v>9</v>
      </c>
      <c r="J26" s="1">
        <v>10</v>
      </c>
      <c r="K26" s="1">
        <v>11</v>
      </c>
      <c r="L26" s="1">
        <v>12</v>
      </c>
      <c r="M26" s="1">
        <v>13</v>
      </c>
      <c r="N26" s="1">
        <v>14</v>
      </c>
      <c r="O26" s="1">
        <v>15</v>
      </c>
      <c r="P26" s="1">
        <v>16</v>
      </c>
      <c r="Q26" s="1">
        <v>17</v>
      </c>
      <c r="R26" s="1">
        <v>18</v>
      </c>
      <c r="S26" s="1">
        <v>19</v>
      </c>
      <c r="T26" s="1">
        <v>20</v>
      </c>
      <c r="U26" s="1">
        <v>21</v>
      </c>
      <c r="V26" s="1">
        <v>22</v>
      </c>
      <c r="W26" s="1">
        <v>23</v>
      </c>
      <c r="X26" s="1">
        <v>24</v>
      </c>
      <c r="Y26" s="1">
        <v>25</v>
      </c>
      <c r="Z26" s="1">
        <v>26</v>
      </c>
      <c r="AA26" s="1">
        <v>27</v>
      </c>
      <c r="AB26" s="1">
        <v>28</v>
      </c>
      <c r="AC26" s="1">
        <v>29</v>
      </c>
      <c r="AD26" s="1">
        <v>30</v>
      </c>
      <c r="AE26" s="1">
        <v>31</v>
      </c>
      <c r="AF26" s="1">
        <v>32</v>
      </c>
      <c r="AG26" s="1">
        <v>33</v>
      </c>
      <c r="AH26" s="1">
        <v>34</v>
      </c>
      <c r="AI26" s="1">
        <v>35</v>
      </c>
      <c r="AJ26" s="1">
        <v>36</v>
      </c>
    </row>
    <row r="27" spans="1:36" ht="14.25" customHeight="1">
      <c r="B27" s="36" t="s">
        <v>126</v>
      </c>
      <c r="C27" s="36" t="s">
        <v>139</v>
      </c>
      <c r="D27" s="36" t="s">
        <v>124</v>
      </c>
      <c r="E27" s="36" t="s">
        <v>122</v>
      </c>
      <c r="F27" s="36" t="s">
        <v>123</v>
      </c>
      <c r="G27" s="36" t="s">
        <v>125</v>
      </c>
      <c r="H27" s="36" t="s">
        <v>127</v>
      </c>
      <c r="I27" s="36" t="s">
        <v>128</v>
      </c>
      <c r="J27" s="36" t="s">
        <v>129</v>
      </c>
      <c r="K27" s="36" t="s">
        <v>138</v>
      </c>
      <c r="L27" s="38" t="s">
        <v>130</v>
      </c>
      <c r="M27" s="38" t="s">
        <v>136</v>
      </c>
      <c r="N27" s="38" t="s">
        <v>135</v>
      </c>
      <c r="O27" s="38" t="s">
        <v>152</v>
      </c>
      <c r="P27" s="38" t="s">
        <v>134</v>
      </c>
      <c r="Q27" s="39" t="s">
        <v>153</v>
      </c>
      <c r="R27" s="36" t="s">
        <v>154</v>
      </c>
      <c r="S27" s="40" t="s">
        <v>83</v>
      </c>
      <c r="T27" s="40" t="s">
        <v>84</v>
      </c>
      <c r="U27" s="40" t="s">
        <v>82</v>
      </c>
      <c r="V27" s="40" t="s">
        <v>215</v>
      </c>
      <c r="W27" s="40" t="s">
        <v>155</v>
      </c>
      <c r="X27" s="36" t="s">
        <v>156</v>
      </c>
      <c r="Y27" s="38" t="s">
        <v>131</v>
      </c>
      <c r="Z27" s="38" t="s">
        <v>132</v>
      </c>
      <c r="AA27" s="38" t="s">
        <v>133</v>
      </c>
      <c r="AB27" s="38" t="s">
        <v>137</v>
      </c>
      <c r="AC27" s="36" t="s">
        <v>140</v>
      </c>
      <c r="AD27" s="36" t="s">
        <v>141</v>
      </c>
      <c r="AE27" s="36" t="s">
        <v>115</v>
      </c>
      <c r="AF27" s="36" t="s">
        <v>163</v>
      </c>
      <c r="AG27" s="36" t="s">
        <v>164</v>
      </c>
      <c r="AH27" s="1" t="s">
        <v>5</v>
      </c>
      <c r="AI27" s="51" t="s">
        <v>6</v>
      </c>
      <c r="AJ27" s="1" t="s">
        <v>47</v>
      </c>
    </row>
    <row r="28" spans="1:36" ht="382.5">
      <c r="A28" s="7" t="s">
        <v>333</v>
      </c>
      <c r="B28" s="37" t="s">
        <v>1115</v>
      </c>
      <c r="C28" s="39" t="s">
        <v>514</v>
      </c>
      <c r="D28" s="39" t="s">
        <v>19</v>
      </c>
      <c r="E28" s="39" t="s">
        <v>20</v>
      </c>
      <c r="F28" s="39" t="s">
        <v>515</v>
      </c>
      <c r="G28" s="39" t="s">
        <v>0</v>
      </c>
      <c r="H28" s="38" t="s">
        <v>207</v>
      </c>
      <c r="I28" s="38" t="s">
        <v>208</v>
      </c>
      <c r="J28" s="38" t="s">
        <v>1415</v>
      </c>
      <c r="K28" s="38" t="s">
        <v>516</v>
      </c>
      <c r="L28" s="38" t="s">
        <v>517</v>
      </c>
      <c r="M28" s="38" t="s">
        <v>22</v>
      </c>
      <c r="N28" s="38" t="s">
        <v>212</v>
      </c>
      <c r="O28" s="38" t="s">
        <v>518</v>
      </c>
      <c r="P28" s="38" t="s">
        <v>214</v>
      </c>
      <c r="Q28" s="39" t="s">
        <v>519</v>
      </c>
      <c r="R28" s="39" t="s">
        <v>76</v>
      </c>
      <c r="S28" s="39" t="s">
        <v>85</v>
      </c>
      <c r="T28" s="39" t="s">
        <v>88</v>
      </c>
      <c r="U28" s="39" t="s">
        <v>91</v>
      </c>
      <c r="V28" s="39" t="s">
        <v>92</v>
      </c>
      <c r="W28" s="39" t="s">
        <v>93</v>
      </c>
      <c r="X28" s="39" t="s">
        <v>94</v>
      </c>
      <c r="Y28" s="38" t="s">
        <v>520</v>
      </c>
      <c r="Z28" s="38" t="s">
        <v>217</v>
      </c>
      <c r="AA28" s="38" t="s">
        <v>521</v>
      </c>
      <c r="AB28" s="38" t="s">
        <v>522</v>
      </c>
      <c r="AC28" s="39" t="s">
        <v>523</v>
      </c>
      <c r="AD28" s="38" t="s">
        <v>789</v>
      </c>
      <c r="AE28" s="39" t="s">
        <v>1181</v>
      </c>
      <c r="AF28" s="41"/>
      <c r="AG28" s="41" t="s">
        <v>231</v>
      </c>
      <c r="AI28" s="52" t="s">
        <v>18</v>
      </c>
    </row>
    <row r="29" spans="1:36" ht="382.5">
      <c r="A29" s="7" t="s">
        <v>334</v>
      </c>
      <c r="B29" s="37" t="s">
        <v>1116</v>
      </c>
      <c r="C29" s="39" t="s">
        <v>524</v>
      </c>
      <c r="D29" s="38" t="s">
        <v>19</v>
      </c>
      <c r="E29" s="38" t="s">
        <v>20</v>
      </c>
      <c r="F29" s="38" t="s">
        <v>515</v>
      </c>
      <c r="G29" s="38" t="s">
        <v>0</v>
      </c>
      <c r="H29" s="38" t="s">
        <v>207</v>
      </c>
      <c r="I29" s="38" t="s">
        <v>208</v>
      </c>
      <c r="J29" s="38" t="s">
        <v>1415</v>
      </c>
      <c r="K29" s="38" t="s">
        <v>516</v>
      </c>
      <c r="L29" s="38" t="s">
        <v>525</v>
      </c>
      <c r="M29" s="38" t="s">
        <v>21</v>
      </c>
      <c r="N29" s="38" t="s">
        <v>212</v>
      </c>
      <c r="O29" s="38" t="s">
        <v>526</v>
      </c>
      <c r="P29" s="38" t="s">
        <v>214</v>
      </c>
      <c r="Q29" s="39" t="s">
        <v>527</v>
      </c>
      <c r="R29" s="38" t="s">
        <v>77</v>
      </c>
      <c r="S29" s="39" t="s">
        <v>85</v>
      </c>
      <c r="T29" s="39" t="s">
        <v>88</v>
      </c>
      <c r="U29" s="39" t="s">
        <v>91</v>
      </c>
      <c r="V29" s="39" t="s">
        <v>92</v>
      </c>
      <c r="W29" s="39" t="s">
        <v>93</v>
      </c>
      <c r="X29" s="39" t="s">
        <v>94</v>
      </c>
      <c r="Y29" s="38" t="s">
        <v>520</v>
      </c>
      <c r="Z29" s="38" t="s">
        <v>217</v>
      </c>
      <c r="AA29" s="38" t="s">
        <v>521</v>
      </c>
      <c r="AB29" s="38" t="s">
        <v>522</v>
      </c>
      <c r="AC29" s="39" t="s">
        <v>523</v>
      </c>
      <c r="AD29" s="38" t="s">
        <v>789</v>
      </c>
      <c r="AE29" s="39" t="s">
        <v>1182</v>
      </c>
      <c r="AF29" s="41" t="s">
        <v>1157</v>
      </c>
      <c r="AG29" s="41" t="s">
        <v>231</v>
      </c>
      <c r="AI29" s="52" t="s">
        <v>18</v>
      </c>
    </row>
    <row r="30" spans="1:36" ht="382.5">
      <c r="A30" s="7" t="s">
        <v>335</v>
      </c>
      <c r="B30" s="37" t="s">
        <v>1116</v>
      </c>
      <c r="C30" s="39" t="s">
        <v>528</v>
      </c>
      <c r="D30" s="38" t="s">
        <v>19</v>
      </c>
      <c r="E30" s="38" t="s">
        <v>20</v>
      </c>
      <c r="F30" s="38" t="s">
        <v>515</v>
      </c>
      <c r="G30" s="38" t="s">
        <v>0</v>
      </c>
      <c r="H30" s="38" t="s">
        <v>207</v>
      </c>
      <c r="I30" s="38" t="s">
        <v>208</v>
      </c>
      <c r="J30" s="38" t="s">
        <v>1415</v>
      </c>
      <c r="K30" s="38" t="s">
        <v>516</v>
      </c>
      <c r="L30" s="38" t="s">
        <v>233</v>
      </c>
      <c r="M30" s="37" t="s">
        <v>1419</v>
      </c>
      <c r="N30" s="38" t="s">
        <v>212</v>
      </c>
      <c r="O30" s="38" t="s">
        <v>526</v>
      </c>
      <c r="P30" s="38" t="s">
        <v>214</v>
      </c>
      <c r="Q30" s="39" t="s">
        <v>527</v>
      </c>
      <c r="R30" s="38" t="s">
        <v>77</v>
      </c>
      <c r="S30" s="39" t="s">
        <v>85</v>
      </c>
      <c r="T30" s="39" t="s">
        <v>88</v>
      </c>
      <c r="U30" s="39" t="s">
        <v>91</v>
      </c>
      <c r="V30" s="39" t="s">
        <v>92</v>
      </c>
      <c r="W30" s="39" t="s">
        <v>93</v>
      </c>
      <c r="X30" s="39" t="s">
        <v>94</v>
      </c>
      <c r="Y30" s="38" t="s">
        <v>520</v>
      </c>
      <c r="Z30" s="38" t="s">
        <v>217</v>
      </c>
      <c r="AA30" s="38" t="s">
        <v>521</v>
      </c>
      <c r="AB30" s="38" t="s">
        <v>522</v>
      </c>
      <c r="AC30" s="39" t="s">
        <v>523</v>
      </c>
      <c r="AD30" s="38" t="s">
        <v>789</v>
      </c>
      <c r="AE30" s="39" t="s">
        <v>1182</v>
      </c>
      <c r="AF30" s="37" t="s">
        <v>1158</v>
      </c>
      <c r="AG30" s="41" t="s">
        <v>231</v>
      </c>
      <c r="AI30" s="52" t="s">
        <v>18</v>
      </c>
    </row>
    <row r="31" spans="1:36" ht="382.5">
      <c r="A31" s="7" t="s">
        <v>336</v>
      </c>
      <c r="B31" s="37" t="s">
        <v>1117</v>
      </c>
      <c r="C31" s="39" t="s">
        <v>529</v>
      </c>
      <c r="D31" s="38" t="s">
        <v>19</v>
      </c>
      <c r="E31" s="38" t="s">
        <v>20</v>
      </c>
      <c r="F31" s="38" t="s">
        <v>515</v>
      </c>
      <c r="G31" s="38" t="s">
        <v>0</v>
      </c>
      <c r="H31" s="38" t="s">
        <v>207</v>
      </c>
      <c r="I31" s="38" t="s">
        <v>530</v>
      </c>
      <c r="J31" s="38" t="s">
        <v>1415</v>
      </c>
      <c r="K31" s="38" t="s">
        <v>516</v>
      </c>
      <c r="L31" s="38" t="s">
        <v>531</v>
      </c>
      <c r="M31" s="37" t="s">
        <v>1419</v>
      </c>
      <c r="N31" s="38" t="s">
        <v>212</v>
      </c>
      <c r="O31" s="38" t="s">
        <v>526</v>
      </c>
      <c r="P31" s="38" t="s">
        <v>214</v>
      </c>
      <c r="Q31" s="41" t="s">
        <v>24</v>
      </c>
      <c r="R31" s="38" t="s">
        <v>78</v>
      </c>
      <c r="S31" s="39" t="s">
        <v>85</v>
      </c>
      <c r="T31" s="39" t="s">
        <v>88</v>
      </c>
      <c r="U31" s="39" t="s">
        <v>91</v>
      </c>
      <c r="V31" s="39" t="s">
        <v>92</v>
      </c>
      <c r="W31" s="39" t="s">
        <v>93</v>
      </c>
      <c r="X31" s="39" t="s">
        <v>94</v>
      </c>
      <c r="Y31" s="39" t="s">
        <v>14</v>
      </c>
      <c r="Z31" s="38" t="s">
        <v>217</v>
      </c>
      <c r="AA31" s="38" t="s">
        <v>521</v>
      </c>
      <c r="AB31" s="38" t="s">
        <v>522</v>
      </c>
      <c r="AC31" s="39" t="s">
        <v>523</v>
      </c>
      <c r="AD31" s="38" t="s">
        <v>789</v>
      </c>
      <c r="AE31" s="39" t="s">
        <v>1183</v>
      </c>
      <c r="AF31" s="41" t="s">
        <v>1159</v>
      </c>
      <c r="AG31" s="41" t="s">
        <v>231</v>
      </c>
      <c r="AI31" s="52" t="s">
        <v>18</v>
      </c>
    </row>
    <row r="32" spans="1:36" ht="382.5">
      <c r="A32" s="7" t="s">
        <v>337</v>
      </c>
      <c r="B32" s="37" t="s">
        <v>1117</v>
      </c>
      <c r="C32" s="39" t="s">
        <v>529</v>
      </c>
      <c r="D32" s="38" t="s">
        <v>19</v>
      </c>
      <c r="E32" s="38" t="s">
        <v>20</v>
      </c>
      <c r="F32" s="38" t="s">
        <v>515</v>
      </c>
      <c r="G32" s="38" t="s">
        <v>0</v>
      </c>
      <c r="H32" s="38" t="s">
        <v>207</v>
      </c>
      <c r="I32" s="38" t="s">
        <v>530</v>
      </c>
      <c r="J32" s="38" t="s">
        <v>1415</v>
      </c>
      <c r="K32" s="38" t="s">
        <v>516</v>
      </c>
      <c r="L32" s="38" t="s">
        <v>531</v>
      </c>
      <c r="M32" s="37" t="s">
        <v>1419</v>
      </c>
      <c r="N32" s="38" t="s">
        <v>212</v>
      </c>
      <c r="O32" s="39" t="s">
        <v>532</v>
      </c>
      <c r="P32" s="38" t="s">
        <v>214</v>
      </c>
      <c r="Q32" s="41" t="s">
        <v>73</v>
      </c>
      <c r="R32" s="38" t="s">
        <v>79</v>
      </c>
      <c r="S32" s="39" t="s">
        <v>85</v>
      </c>
      <c r="T32" s="39" t="s">
        <v>88</v>
      </c>
      <c r="U32" s="39" t="s">
        <v>91</v>
      </c>
      <c r="V32" s="39" t="s">
        <v>92</v>
      </c>
      <c r="W32" s="39" t="s">
        <v>93</v>
      </c>
      <c r="X32" s="39" t="s">
        <v>94</v>
      </c>
      <c r="Y32" s="39" t="s">
        <v>14</v>
      </c>
      <c r="Z32" s="38" t="s">
        <v>217</v>
      </c>
      <c r="AA32" s="38" t="s">
        <v>521</v>
      </c>
      <c r="AB32" s="38" t="s">
        <v>522</v>
      </c>
      <c r="AC32" s="39" t="s">
        <v>523</v>
      </c>
      <c r="AD32" s="38" t="s">
        <v>789</v>
      </c>
      <c r="AE32" s="39" t="s">
        <v>1183</v>
      </c>
      <c r="AF32" s="37" t="s">
        <v>1159</v>
      </c>
      <c r="AG32" s="41" t="s">
        <v>231</v>
      </c>
      <c r="AI32" s="52" t="s">
        <v>18</v>
      </c>
    </row>
    <row r="33" spans="1:35" ht="382.5">
      <c r="A33" s="7" t="s">
        <v>338</v>
      </c>
      <c r="B33" s="37" t="s">
        <v>1117</v>
      </c>
      <c r="C33" s="39" t="s">
        <v>529</v>
      </c>
      <c r="D33" s="38" t="s">
        <v>19</v>
      </c>
      <c r="E33" s="38" t="s">
        <v>20</v>
      </c>
      <c r="F33" s="38" t="s">
        <v>515</v>
      </c>
      <c r="G33" s="38" t="s">
        <v>0</v>
      </c>
      <c r="H33" s="38" t="s">
        <v>207</v>
      </c>
      <c r="I33" s="38" t="s">
        <v>530</v>
      </c>
      <c r="J33" s="38" t="s">
        <v>1415</v>
      </c>
      <c r="K33" s="38" t="s">
        <v>516</v>
      </c>
      <c r="L33" s="38" t="s">
        <v>531</v>
      </c>
      <c r="M33" s="37" t="s">
        <v>1419</v>
      </c>
      <c r="N33" s="38" t="s">
        <v>212</v>
      </c>
      <c r="O33" s="39" t="s">
        <v>532</v>
      </c>
      <c r="P33" s="38" t="s">
        <v>214</v>
      </c>
      <c r="Q33" s="41" t="s">
        <v>73</v>
      </c>
      <c r="R33" s="41" t="s">
        <v>79</v>
      </c>
      <c r="S33" s="41" t="s">
        <v>16</v>
      </c>
      <c r="T33" s="41" t="s">
        <v>17</v>
      </c>
      <c r="U33" s="39" t="s">
        <v>91</v>
      </c>
      <c r="V33" s="39" t="s">
        <v>92</v>
      </c>
      <c r="W33" s="39" t="s">
        <v>93</v>
      </c>
      <c r="X33" s="39" t="s">
        <v>94</v>
      </c>
      <c r="Y33" s="39" t="s">
        <v>14</v>
      </c>
      <c r="Z33" s="38" t="s">
        <v>217</v>
      </c>
      <c r="AA33" s="38" t="s">
        <v>521</v>
      </c>
      <c r="AB33" s="38" t="s">
        <v>522</v>
      </c>
      <c r="AC33" s="39" t="s">
        <v>523</v>
      </c>
      <c r="AD33" s="38" t="s">
        <v>789</v>
      </c>
      <c r="AE33" s="39" t="s">
        <v>1183</v>
      </c>
      <c r="AF33" s="37" t="s">
        <v>1159</v>
      </c>
      <c r="AG33" s="41" t="s">
        <v>231</v>
      </c>
      <c r="AI33" s="52" t="s">
        <v>18</v>
      </c>
    </row>
    <row r="34" spans="1:35" ht="382.5">
      <c r="A34" s="7" t="s">
        <v>339</v>
      </c>
      <c r="B34" s="37" t="s">
        <v>1118</v>
      </c>
      <c r="C34" s="39" t="s">
        <v>533</v>
      </c>
      <c r="D34" s="38" t="s">
        <v>19</v>
      </c>
      <c r="E34" s="38" t="s">
        <v>20</v>
      </c>
      <c r="F34" s="38" t="s">
        <v>515</v>
      </c>
      <c r="G34" s="38" t="s">
        <v>0</v>
      </c>
      <c r="H34" s="38" t="s">
        <v>207</v>
      </c>
      <c r="I34" s="38" t="s">
        <v>208</v>
      </c>
      <c r="J34" s="38" t="s">
        <v>1415</v>
      </c>
      <c r="K34" s="38" t="s">
        <v>516</v>
      </c>
      <c r="L34" s="38" t="s">
        <v>534</v>
      </c>
      <c r="M34" s="37" t="s">
        <v>1419</v>
      </c>
      <c r="N34" s="38" t="s">
        <v>211</v>
      </c>
      <c r="O34" s="38" t="s">
        <v>535</v>
      </c>
      <c r="P34" s="1" t="s">
        <v>213</v>
      </c>
      <c r="Q34" s="41" t="s">
        <v>74</v>
      </c>
      <c r="R34" s="41" t="s">
        <v>80</v>
      </c>
      <c r="S34" s="41" t="s">
        <v>86</v>
      </c>
      <c r="T34" s="41" t="s">
        <v>89</v>
      </c>
      <c r="U34" s="41" t="s">
        <v>95</v>
      </c>
      <c r="V34" s="39" t="s">
        <v>92</v>
      </c>
      <c r="W34" s="39" t="s">
        <v>93</v>
      </c>
      <c r="X34" s="39" t="s">
        <v>94</v>
      </c>
      <c r="Y34" s="38" t="s">
        <v>520</v>
      </c>
      <c r="Z34" s="38" t="s">
        <v>217</v>
      </c>
      <c r="AA34" s="38" t="s">
        <v>521</v>
      </c>
      <c r="AB34" s="38" t="s">
        <v>522</v>
      </c>
      <c r="AC34" s="39" t="s">
        <v>523</v>
      </c>
      <c r="AD34" s="38" t="s">
        <v>789</v>
      </c>
      <c r="AE34" s="39" t="s">
        <v>1184</v>
      </c>
      <c r="AF34" s="41" t="s">
        <v>1160</v>
      </c>
      <c r="AG34" s="41" t="s">
        <v>231</v>
      </c>
      <c r="AI34" s="52" t="s">
        <v>18</v>
      </c>
    </row>
    <row r="35" spans="1:35" ht="382.5">
      <c r="A35" s="7" t="s">
        <v>340</v>
      </c>
      <c r="B35" s="37" t="s">
        <v>1118</v>
      </c>
      <c r="C35" s="7" t="s">
        <v>533</v>
      </c>
      <c r="D35" s="38" t="s">
        <v>19</v>
      </c>
      <c r="E35" s="38" t="s">
        <v>20</v>
      </c>
      <c r="F35" s="38" t="s">
        <v>515</v>
      </c>
      <c r="G35" s="38" t="s">
        <v>0</v>
      </c>
      <c r="H35" s="38" t="s">
        <v>207</v>
      </c>
      <c r="I35" s="38" t="s">
        <v>208</v>
      </c>
      <c r="J35" s="38" t="s">
        <v>1415</v>
      </c>
      <c r="K35" s="38" t="s">
        <v>516</v>
      </c>
      <c r="L35" s="1" t="s">
        <v>534</v>
      </c>
      <c r="M35" s="37" t="s">
        <v>1419</v>
      </c>
      <c r="N35" s="1" t="s">
        <v>211</v>
      </c>
      <c r="O35" s="1" t="s">
        <v>535</v>
      </c>
      <c r="P35" s="1" t="s">
        <v>213</v>
      </c>
      <c r="Q35" s="43" t="s">
        <v>74</v>
      </c>
      <c r="R35" s="43" t="s">
        <v>80</v>
      </c>
      <c r="S35" s="43" t="s">
        <v>86</v>
      </c>
      <c r="T35" s="43" t="s">
        <v>89</v>
      </c>
      <c r="U35" s="43" t="s">
        <v>95</v>
      </c>
      <c r="V35" s="43" t="s">
        <v>97</v>
      </c>
      <c r="W35" s="39" t="s">
        <v>93</v>
      </c>
      <c r="X35" s="39" t="s">
        <v>94</v>
      </c>
      <c r="Y35" s="1" t="s">
        <v>520</v>
      </c>
      <c r="Z35" s="38" t="s">
        <v>217</v>
      </c>
      <c r="AA35" s="38" t="s">
        <v>521</v>
      </c>
      <c r="AB35" s="38" t="s">
        <v>522</v>
      </c>
      <c r="AC35" s="39" t="s">
        <v>523</v>
      </c>
      <c r="AD35" s="38" t="s">
        <v>789</v>
      </c>
      <c r="AE35" s="39" t="s">
        <v>1184</v>
      </c>
      <c r="AF35" s="37" t="s">
        <v>1160</v>
      </c>
      <c r="AG35" s="41" t="s">
        <v>231</v>
      </c>
      <c r="AI35" s="52" t="s">
        <v>18</v>
      </c>
    </row>
    <row r="36" spans="1:35" ht="382.5">
      <c r="A36" s="7" t="s">
        <v>341</v>
      </c>
      <c r="B36" s="37" t="s">
        <v>1118</v>
      </c>
      <c r="C36" s="7" t="s">
        <v>536</v>
      </c>
      <c r="D36" s="38" t="s">
        <v>19</v>
      </c>
      <c r="E36" s="38" t="s">
        <v>20</v>
      </c>
      <c r="F36" s="38" t="s">
        <v>515</v>
      </c>
      <c r="G36" s="38" t="s">
        <v>0</v>
      </c>
      <c r="H36" s="38" t="s">
        <v>207</v>
      </c>
      <c r="I36" s="38" t="s">
        <v>208</v>
      </c>
      <c r="J36" s="38" t="s">
        <v>1415</v>
      </c>
      <c r="K36" s="38" t="s">
        <v>516</v>
      </c>
      <c r="L36" s="1" t="s">
        <v>537</v>
      </c>
      <c r="M36" s="1" t="s">
        <v>23</v>
      </c>
      <c r="N36" s="1" t="s">
        <v>1</v>
      </c>
      <c r="O36" s="1" t="s">
        <v>535</v>
      </c>
      <c r="P36" s="1" t="s">
        <v>2</v>
      </c>
      <c r="Q36" s="43" t="s">
        <v>74</v>
      </c>
      <c r="R36" s="43" t="s">
        <v>80</v>
      </c>
      <c r="S36" s="43" t="s">
        <v>86</v>
      </c>
      <c r="T36" s="43" t="s">
        <v>89</v>
      </c>
      <c r="U36" s="43" t="s">
        <v>95</v>
      </c>
      <c r="V36" s="39" t="s">
        <v>92</v>
      </c>
      <c r="W36" s="39" t="s">
        <v>93</v>
      </c>
      <c r="X36" s="39" t="s">
        <v>94</v>
      </c>
      <c r="Y36" s="1" t="s">
        <v>520</v>
      </c>
      <c r="Z36" s="38" t="s">
        <v>217</v>
      </c>
      <c r="AA36" s="38" t="s">
        <v>521</v>
      </c>
      <c r="AB36" s="38" t="s">
        <v>522</v>
      </c>
      <c r="AC36" s="39" t="s">
        <v>523</v>
      </c>
      <c r="AD36" s="38" t="s">
        <v>789</v>
      </c>
      <c r="AE36" s="39" t="s">
        <v>1184</v>
      </c>
      <c r="AF36" s="37" t="s">
        <v>1160</v>
      </c>
      <c r="AG36" s="41" t="s">
        <v>231</v>
      </c>
      <c r="AI36" s="52" t="s">
        <v>18</v>
      </c>
    </row>
    <row r="37" spans="1:35" ht="382.5">
      <c r="A37" s="7" t="s">
        <v>342</v>
      </c>
      <c r="B37" s="37" t="s">
        <v>1119</v>
      </c>
      <c r="C37" s="7" t="s">
        <v>536</v>
      </c>
      <c r="D37" s="38" t="s">
        <v>19</v>
      </c>
      <c r="E37" s="38" t="s">
        <v>20</v>
      </c>
      <c r="F37" s="38" t="s">
        <v>515</v>
      </c>
      <c r="G37" s="38" t="s">
        <v>0</v>
      </c>
      <c r="H37" s="38" t="s">
        <v>207</v>
      </c>
      <c r="I37" s="38" t="s">
        <v>208</v>
      </c>
      <c r="J37" s="38" t="s">
        <v>1415</v>
      </c>
      <c r="K37" s="38" t="s">
        <v>516</v>
      </c>
      <c r="L37" s="1" t="s">
        <v>537</v>
      </c>
      <c r="M37" s="1" t="s">
        <v>23</v>
      </c>
      <c r="N37" s="1" t="s">
        <v>1</v>
      </c>
      <c r="O37" s="1" t="s">
        <v>535</v>
      </c>
      <c r="P37" s="1" t="s">
        <v>2</v>
      </c>
      <c r="Q37" s="43" t="s">
        <v>74</v>
      </c>
      <c r="R37" s="43" t="s">
        <v>80</v>
      </c>
      <c r="S37" s="43" t="s">
        <v>86</v>
      </c>
      <c r="T37" s="43" t="s">
        <v>89</v>
      </c>
      <c r="U37" s="43" t="s">
        <v>95</v>
      </c>
      <c r="V37" s="43" t="s">
        <v>97</v>
      </c>
      <c r="W37" s="39" t="s">
        <v>93</v>
      </c>
      <c r="X37" s="39" t="s">
        <v>94</v>
      </c>
      <c r="Y37" s="1" t="s">
        <v>520</v>
      </c>
      <c r="Z37" s="38" t="s">
        <v>217</v>
      </c>
      <c r="AA37" s="38" t="s">
        <v>521</v>
      </c>
      <c r="AB37" s="38" t="s">
        <v>522</v>
      </c>
      <c r="AC37" s="39" t="s">
        <v>523</v>
      </c>
      <c r="AD37" s="38" t="s">
        <v>789</v>
      </c>
      <c r="AE37" s="39" t="s">
        <v>1184</v>
      </c>
      <c r="AF37" s="37" t="s">
        <v>1160</v>
      </c>
      <c r="AG37" s="41" t="s">
        <v>231</v>
      </c>
      <c r="AI37" s="52" t="s">
        <v>18</v>
      </c>
    </row>
    <row r="38" spans="1:35" ht="382.5">
      <c r="A38" s="7" t="s">
        <v>343</v>
      </c>
      <c r="B38" s="37" t="s">
        <v>1119</v>
      </c>
      <c r="C38" s="7" t="s">
        <v>536</v>
      </c>
      <c r="D38" s="38" t="s">
        <v>19</v>
      </c>
      <c r="E38" s="38" t="s">
        <v>20</v>
      </c>
      <c r="F38" s="38" t="s">
        <v>515</v>
      </c>
      <c r="G38" s="38" t="s">
        <v>0</v>
      </c>
      <c r="H38" s="38" t="s">
        <v>207</v>
      </c>
      <c r="I38" s="38" t="s">
        <v>208</v>
      </c>
      <c r="J38" s="38" t="s">
        <v>1415</v>
      </c>
      <c r="K38" s="38" t="s">
        <v>516</v>
      </c>
      <c r="L38" s="1" t="s">
        <v>537</v>
      </c>
      <c r="M38" s="1" t="s">
        <v>23</v>
      </c>
      <c r="N38" s="1" t="s">
        <v>1</v>
      </c>
      <c r="O38" s="1" t="s">
        <v>535</v>
      </c>
      <c r="P38" s="1" t="s">
        <v>2</v>
      </c>
      <c r="Q38" s="43" t="s">
        <v>74</v>
      </c>
      <c r="R38" s="43" t="s">
        <v>80</v>
      </c>
      <c r="S38" s="43" t="s">
        <v>86</v>
      </c>
      <c r="T38" s="43" t="s">
        <v>89</v>
      </c>
      <c r="U38" s="43" t="s">
        <v>95</v>
      </c>
      <c r="V38" s="43" t="s">
        <v>97</v>
      </c>
      <c r="W38" s="42" t="s">
        <v>99</v>
      </c>
      <c r="X38" s="39" t="s">
        <v>94</v>
      </c>
      <c r="Y38" s="1" t="s">
        <v>520</v>
      </c>
      <c r="Z38" s="38" t="s">
        <v>217</v>
      </c>
      <c r="AA38" s="38" t="s">
        <v>521</v>
      </c>
      <c r="AB38" s="38" t="s">
        <v>522</v>
      </c>
      <c r="AC38" s="39" t="s">
        <v>523</v>
      </c>
      <c r="AD38" s="38" t="s">
        <v>789</v>
      </c>
      <c r="AE38" s="39" t="s">
        <v>1184</v>
      </c>
      <c r="AF38" s="37" t="s">
        <v>1160</v>
      </c>
      <c r="AG38" s="41" t="s">
        <v>231</v>
      </c>
      <c r="AI38" s="52" t="s">
        <v>18</v>
      </c>
    </row>
    <row r="39" spans="1:35" ht="382.5">
      <c r="A39" s="7" t="s">
        <v>344</v>
      </c>
      <c r="B39" s="37" t="s">
        <v>1120</v>
      </c>
      <c r="C39" s="7" t="s">
        <v>538</v>
      </c>
      <c r="D39" s="38" t="s">
        <v>19</v>
      </c>
      <c r="E39" s="38" t="s">
        <v>20</v>
      </c>
      <c r="F39" s="38" t="s">
        <v>515</v>
      </c>
      <c r="G39" s="38" t="s">
        <v>0</v>
      </c>
      <c r="H39" s="38" t="s">
        <v>207</v>
      </c>
      <c r="I39" s="38" t="s">
        <v>100</v>
      </c>
      <c r="J39" s="38" t="s">
        <v>1415</v>
      </c>
      <c r="K39" s="38" t="s">
        <v>516</v>
      </c>
      <c r="L39" s="1" t="s">
        <v>539</v>
      </c>
      <c r="M39" s="42" t="s">
        <v>1419</v>
      </c>
      <c r="N39" s="1" t="s">
        <v>212</v>
      </c>
      <c r="O39" s="1" t="s">
        <v>535</v>
      </c>
      <c r="P39" s="1" t="s">
        <v>214</v>
      </c>
      <c r="Q39" s="43" t="s">
        <v>75</v>
      </c>
      <c r="R39" s="43" t="s">
        <v>81</v>
      </c>
      <c r="S39" s="42" t="s">
        <v>87</v>
      </c>
      <c r="T39" s="43" t="s">
        <v>90</v>
      </c>
      <c r="U39" s="43" t="s">
        <v>96</v>
      </c>
      <c r="V39" s="7" t="s">
        <v>92</v>
      </c>
      <c r="W39" s="42" t="s">
        <v>540</v>
      </c>
      <c r="X39" s="42" t="s">
        <v>541</v>
      </c>
      <c r="Y39" s="7" t="s">
        <v>13</v>
      </c>
      <c r="Z39" s="1" t="s">
        <v>216</v>
      </c>
      <c r="AA39" s="1" t="s">
        <v>218</v>
      </c>
      <c r="AB39" s="7" t="s">
        <v>542</v>
      </c>
      <c r="AC39" s="7" t="s">
        <v>543</v>
      </c>
      <c r="AD39" s="38" t="s">
        <v>789</v>
      </c>
      <c r="AE39" s="39" t="s">
        <v>1185</v>
      </c>
      <c r="AF39" s="41" t="s">
        <v>1161</v>
      </c>
      <c r="AG39" s="41" t="s">
        <v>1121</v>
      </c>
      <c r="AI39" s="52" t="s">
        <v>18</v>
      </c>
    </row>
    <row r="40" spans="1:35" ht="382.5">
      <c r="A40" s="7" t="s">
        <v>345</v>
      </c>
      <c r="B40" s="37" t="s">
        <v>1120</v>
      </c>
      <c r="C40" s="7" t="s">
        <v>538</v>
      </c>
      <c r="D40" s="38" t="s">
        <v>19</v>
      </c>
      <c r="E40" s="38" t="s">
        <v>20</v>
      </c>
      <c r="F40" s="38" t="s">
        <v>515</v>
      </c>
      <c r="G40" s="38" t="s">
        <v>0</v>
      </c>
      <c r="H40" s="38" t="s">
        <v>207</v>
      </c>
      <c r="I40" s="38" t="s">
        <v>100</v>
      </c>
      <c r="J40" s="38" t="s">
        <v>1415</v>
      </c>
      <c r="K40" s="38" t="s">
        <v>516</v>
      </c>
      <c r="L40" s="1" t="s">
        <v>539</v>
      </c>
      <c r="M40" s="42" t="s">
        <v>1419</v>
      </c>
      <c r="N40" s="1" t="s">
        <v>212</v>
      </c>
      <c r="O40" s="7" t="s">
        <v>535</v>
      </c>
      <c r="P40" s="1" t="s">
        <v>214</v>
      </c>
      <c r="Q40" s="43" t="s">
        <v>75</v>
      </c>
      <c r="R40" s="43" t="s">
        <v>81</v>
      </c>
      <c r="S40" s="43" t="s">
        <v>87</v>
      </c>
      <c r="T40" s="43" t="s">
        <v>90</v>
      </c>
      <c r="U40" s="43" t="s">
        <v>96</v>
      </c>
      <c r="V40" s="43" t="s">
        <v>98</v>
      </c>
      <c r="W40" s="42" t="s">
        <v>544</v>
      </c>
      <c r="X40" s="42" t="s">
        <v>545</v>
      </c>
      <c r="Y40" s="1" t="s">
        <v>13</v>
      </c>
      <c r="Z40" s="1" t="s">
        <v>216</v>
      </c>
      <c r="AA40" s="1" t="s">
        <v>218</v>
      </c>
      <c r="AB40" s="7" t="s">
        <v>542</v>
      </c>
      <c r="AC40" s="7" t="s">
        <v>543</v>
      </c>
      <c r="AD40" s="38" t="s">
        <v>789</v>
      </c>
      <c r="AE40" s="39" t="s">
        <v>1185</v>
      </c>
      <c r="AF40" s="37" t="s">
        <v>1161</v>
      </c>
      <c r="AG40" s="37" t="s">
        <v>1121</v>
      </c>
      <c r="AI40" s="52" t="s">
        <v>18</v>
      </c>
    </row>
    <row r="41" spans="1:35" ht="382.5">
      <c r="A41" s="7" t="s">
        <v>1742</v>
      </c>
      <c r="B41" s="37" t="s">
        <v>1122</v>
      </c>
      <c r="C41" s="39" t="s">
        <v>524</v>
      </c>
      <c r="D41" s="38" t="s">
        <v>19</v>
      </c>
      <c r="E41" s="38" t="s">
        <v>20</v>
      </c>
      <c r="F41" s="38" t="s">
        <v>515</v>
      </c>
      <c r="G41" s="38" t="s">
        <v>0</v>
      </c>
      <c r="H41" s="38" t="s">
        <v>207</v>
      </c>
      <c r="I41" s="38" t="s">
        <v>208</v>
      </c>
      <c r="J41" s="38" t="s">
        <v>1415</v>
      </c>
      <c r="K41" s="38" t="s">
        <v>1151</v>
      </c>
      <c r="L41" s="38" t="s">
        <v>525</v>
      </c>
      <c r="M41" s="38" t="s">
        <v>21</v>
      </c>
      <c r="N41" s="38" t="s">
        <v>212</v>
      </c>
      <c r="O41" s="38" t="s">
        <v>526</v>
      </c>
      <c r="P41" s="38" t="s">
        <v>214</v>
      </c>
      <c r="Q41" s="39" t="s">
        <v>527</v>
      </c>
      <c r="R41" s="38" t="s">
        <v>77</v>
      </c>
      <c r="S41" s="39" t="s">
        <v>87</v>
      </c>
      <c r="T41" s="39" t="s">
        <v>90</v>
      </c>
      <c r="U41" s="39" t="s">
        <v>96</v>
      </c>
      <c r="V41" s="39" t="s">
        <v>98</v>
      </c>
      <c r="W41" s="39" t="s">
        <v>544</v>
      </c>
      <c r="X41" s="39" t="s">
        <v>545</v>
      </c>
      <c r="Y41" s="38" t="s">
        <v>13</v>
      </c>
      <c r="Z41" s="38" t="s">
        <v>216</v>
      </c>
      <c r="AA41" s="38" t="s">
        <v>218</v>
      </c>
      <c r="AB41" s="38" t="s">
        <v>542</v>
      </c>
      <c r="AC41" s="39" t="s">
        <v>543</v>
      </c>
      <c r="AD41" s="38" t="s">
        <v>789</v>
      </c>
      <c r="AE41" s="39" t="s">
        <v>1186</v>
      </c>
      <c r="AF41" s="41" t="s">
        <v>223</v>
      </c>
      <c r="AG41" s="41" t="s">
        <v>223</v>
      </c>
      <c r="AI41" s="52" t="s">
        <v>18</v>
      </c>
    </row>
    <row r="42" spans="1:35" ht="382.5">
      <c r="A42" s="7" t="s">
        <v>1743</v>
      </c>
      <c r="B42" s="37" t="s">
        <v>1122</v>
      </c>
      <c r="C42" s="39" t="s">
        <v>524</v>
      </c>
      <c r="D42" s="38" t="s">
        <v>19</v>
      </c>
      <c r="E42" s="38" t="s">
        <v>20</v>
      </c>
      <c r="F42" s="38" t="s">
        <v>515</v>
      </c>
      <c r="G42" s="38" t="s">
        <v>0</v>
      </c>
      <c r="H42" s="38" t="s">
        <v>207</v>
      </c>
      <c r="I42" s="38" t="s">
        <v>208</v>
      </c>
      <c r="J42" s="38" t="s">
        <v>1415</v>
      </c>
      <c r="K42" s="38" t="s">
        <v>1151</v>
      </c>
      <c r="L42" s="38" t="s">
        <v>525</v>
      </c>
      <c r="M42" s="38" t="s">
        <v>21</v>
      </c>
      <c r="N42" s="38" t="s">
        <v>212</v>
      </c>
      <c r="O42" s="38" t="s">
        <v>526</v>
      </c>
      <c r="P42" s="38" t="s">
        <v>214</v>
      </c>
      <c r="Q42" s="39" t="s">
        <v>527</v>
      </c>
      <c r="R42" s="38" t="s">
        <v>77</v>
      </c>
      <c r="S42" s="39" t="s">
        <v>87</v>
      </c>
      <c r="T42" s="39" t="s">
        <v>90</v>
      </c>
      <c r="U42" s="39" t="s">
        <v>96</v>
      </c>
      <c r="V42" s="39" t="s">
        <v>98</v>
      </c>
      <c r="W42" s="39" t="s">
        <v>544</v>
      </c>
      <c r="X42" s="39" t="s">
        <v>545</v>
      </c>
      <c r="Y42" s="38" t="s">
        <v>13</v>
      </c>
      <c r="Z42" s="38" t="s">
        <v>216</v>
      </c>
      <c r="AA42" s="38" t="s">
        <v>218</v>
      </c>
      <c r="AB42" s="38" t="s">
        <v>542</v>
      </c>
      <c r="AC42" s="39" t="s">
        <v>543</v>
      </c>
      <c r="AD42" s="38" t="s">
        <v>789</v>
      </c>
      <c r="AE42" s="39" t="s">
        <v>1186</v>
      </c>
      <c r="AF42" s="41" t="s">
        <v>223</v>
      </c>
      <c r="AG42" s="41" t="s">
        <v>223</v>
      </c>
      <c r="AI42" s="52" t="s">
        <v>18</v>
      </c>
    </row>
    <row r="43" spans="1:35" ht="382.5">
      <c r="A43" s="7" t="s">
        <v>1744</v>
      </c>
      <c r="B43" s="37" t="s">
        <v>1122</v>
      </c>
      <c r="C43" s="39" t="s">
        <v>524</v>
      </c>
      <c r="D43" s="38" t="s">
        <v>19</v>
      </c>
      <c r="E43" s="38" t="s">
        <v>20</v>
      </c>
      <c r="F43" s="38" t="s">
        <v>515</v>
      </c>
      <c r="G43" s="38" t="s">
        <v>0</v>
      </c>
      <c r="H43" s="38" t="s">
        <v>207</v>
      </c>
      <c r="I43" s="38" t="s">
        <v>208</v>
      </c>
      <c r="J43" s="38" t="s">
        <v>1415</v>
      </c>
      <c r="K43" s="38" t="s">
        <v>1151</v>
      </c>
      <c r="L43" s="38" t="s">
        <v>525</v>
      </c>
      <c r="M43" s="38" t="s">
        <v>21</v>
      </c>
      <c r="N43" s="38" t="s">
        <v>212</v>
      </c>
      <c r="O43" s="38" t="s">
        <v>526</v>
      </c>
      <c r="P43" s="38" t="s">
        <v>214</v>
      </c>
      <c r="Q43" s="39" t="s">
        <v>527</v>
      </c>
      <c r="R43" s="38" t="s">
        <v>77</v>
      </c>
      <c r="S43" s="39" t="s">
        <v>87</v>
      </c>
      <c r="T43" s="39" t="s">
        <v>90</v>
      </c>
      <c r="U43" s="39" t="s">
        <v>96</v>
      </c>
      <c r="V43" s="39" t="s">
        <v>98</v>
      </c>
      <c r="W43" s="39" t="s">
        <v>544</v>
      </c>
      <c r="X43" s="39" t="s">
        <v>545</v>
      </c>
      <c r="Y43" s="38" t="s">
        <v>13</v>
      </c>
      <c r="Z43" s="38" t="s">
        <v>216</v>
      </c>
      <c r="AA43" s="38" t="s">
        <v>218</v>
      </c>
      <c r="AB43" s="38" t="s">
        <v>542</v>
      </c>
      <c r="AC43" s="39" t="s">
        <v>543</v>
      </c>
      <c r="AD43" s="38" t="s">
        <v>789</v>
      </c>
      <c r="AE43" s="39" t="s">
        <v>1186</v>
      </c>
      <c r="AF43" s="41" t="s">
        <v>223</v>
      </c>
      <c r="AG43" s="41" t="s">
        <v>223</v>
      </c>
      <c r="AI43" s="52" t="s">
        <v>18</v>
      </c>
    </row>
    <row r="44" spans="1:35" ht="382.5">
      <c r="A44" s="7" t="s">
        <v>1745</v>
      </c>
      <c r="B44" s="37" t="s">
        <v>1122</v>
      </c>
      <c r="C44" s="39" t="s">
        <v>524</v>
      </c>
      <c r="D44" s="38" t="s">
        <v>19</v>
      </c>
      <c r="E44" s="38" t="s">
        <v>20</v>
      </c>
      <c r="F44" s="38" t="s">
        <v>515</v>
      </c>
      <c r="G44" s="38" t="s">
        <v>0</v>
      </c>
      <c r="H44" s="38" t="s">
        <v>207</v>
      </c>
      <c r="I44" s="38" t="s">
        <v>208</v>
      </c>
      <c r="J44" s="38" t="s">
        <v>1415</v>
      </c>
      <c r="K44" s="38" t="s">
        <v>1151</v>
      </c>
      <c r="L44" s="38" t="s">
        <v>525</v>
      </c>
      <c r="M44" s="38" t="s">
        <v>21</v>
      </c>
      <c r="N44" s="38" t="s">
        <v>212</v>
      </c>
      <c r="O44" s="38" t="s">
        <v>526</v>
      </c>
      <c r="P44" s="38" t="s">
        <v>214</v>
      </c>
      <c r="Q44" s="39" t="s">
        <v>527</v>
      </c>
      <c r="R44" s="38" t="s">
        <v>77</v>
      </c>
      <c r="S44" s="39" t="s">
        <v>87</v>
      </c>
      <c r="T44" s="39" t="s">
        <v>90</v>
      </c>
      <c r="U44" s="39" t="s">
        <v>96</v>
      </c>
      <c r="V44" s="39" t="s">
        <v>98</v>
      </c>
      <c r="W44" s="39" t="s">
        <v>544</v>
      </c>
      <c r="X44" s="39" t="s">
        <v>545</v>
      </c>
      <c r="Y44" s="38" t="s">
        <v>13</v>
      </c>
      <c r="Z44" s="38" t="s">
        <v>216</v>
      </c>
      <c r="AA44" s="38" t="s">
        <v>218</v>
      </c>
      <c r="AB44" s="38" t="s">
        <v>542</v>
      </c>
      <c r="AC44" s="39" t="s">
        <v>543</v>
      </c>
      <c r="AD44" s="38" t="s">
        <v>789</v>
      </c>
      <c r="AE44" s="39" t="s">
        <v>1186</v>
      </c>
      <c r="AF44" s="41" t="s">
        <v>223</v>
      </c>
      <c r="AG44" s="41" t="s">
        <v>223</v>
      </c>
      <c r="AI44" s="52" t="s">
        <v>18</v>
      </c>
    </row>
    <row r="45" spans="1:35" ht="382.5">
      <c r="A45" s="7" t="s">
        <v>1746</v>
      </c>
      <c r="B45" s="37" t="s">
        <v>1122</v>
      </c>
      <c r="C45" s="39" t="s">
        <v>524</v>
      </c>
      <c r="D45" s="38" t="s">
        <v>19</v>
      </c>
      <c r="E45" s="38" t="s">
        <v>20</v>
      </c>
      <c r="F45" s="38" t="s">
        <v>515</v>
      </c>
      <c r="G45" s="38" t="s">
        <v>0</v>
      </c>
      <c r="H45" s="38" t="s">
        <v>207</v>
      </c>
      <c r="I45" s="38" t="s">
        <v>208</v>
      </c>
      <c r="J45" s="38" t="s">
        <v>1415</v>
      </c>
      <c r="K45" s="38" t="s">
        <v>1151</v>
      </c>
      <c r="L45" s="38" t="s">
        <v>525</v>
      </c>
      <c r="M45" s="38" t="s">
        <v>21</v>
      </c>
      <c r="N45" s="38" t="s">
        <v>212</v>
      </c>
      <c r="O45" s="38" t="s">
        <v>526</v>
      </c>
      <c r="P45" s="38" t="s">
        <v>214</v>
      </c>
      <c r="Q45" s="39" t="s">
        <v>527</v>
      </c>
      <c r="R45" s="38" t="s">
        <v>77</v>
      </c>
      <c r="S45" s="39" t="s">
        <v>87</v>
      </c>
      <c r="T45" s="39" t="s">
        <v>90</v>
      </c>
      <c r="U45" s="39" t="s">
        <v>96</v>
      </c>
      <c r="V45" s="39" t="s">
        <v>98</v>
      </c>
      <c r="W45" s="39" t="s">
        <v>544</v>
      </c>
      <c r="X45" s="39" t="s">
        <v>545</v>
      </c>
      <c r="Y45" s="38" t="s">
        <v>13</v>
      </c>
      <c r="Z45" s="38" t="s">
        <v>216</v>
      </c>
      <c r="AA45" s="38" t="s">
        <v>218</v>
      </c>
      <c r="AB45" s="38" t="s">
        <v>542</v>
      </c>
      <c r="AC45" s="39" t="s">
        <v>543</v>
      </c>
      <c r="AD45" s="38" t="s">
        <v>789</v>
      </c>
      <c r="AE45" s="39" t="s">
        <v>1186</v>
      </c>
      <c r="AF45" s="41" t="s">
        <v>223</v>
      </c>
      <c r="AG45" s="41" t="s">
        <v>223</v>
      </c>
      <c r="AI45" s="52" t="s">
        <v>18</v>
      </c>
    </row>
    <row r="46" spans="1:35" ht="382.5">
      <c r="A46" s="7" t="s">
        <v>1747</v>
      </c>
      <c r="B46" s="37" t="s">
        <v>1122</v>
      </c>
      <c r="C46" s="39" t="s">
        <v>524</v>
      </c>
      <c r="D46" s="38" t="s">
        <v>19</v>
      </c>
      <c r="E46" s="38" t="s">
        <v>20</v>
      </c>
      <c r="F46" s="38" t="s">
        <v>515</v>
      </c>
      <c r="G46" s="38" t="s">
        <v>0</v>
      </c>
      <c r="H46" s="38" t="s">
        <v>207</v>
      </c>
      <c r="I46" s="38" t="s">
        <v>208</v>
      </c>
      <c r="J46" s="38" t="s">
        <v>1415</v>
      </c>
      <c r="K46" s="38" t="s">
        <v>1151</v>
      </c>
      <c r="L46" s="38" t="s">
        <v>525</v>
      </c>
      <c r="M46" s="38" t="s">
        <v>21</v>
      </c>
      <c r="N46" s="38" t="s">
        <v>212</v>
      </c>
      <c r="O46" s="38" t="s">
        <v>526</v>
      </c>
      <c r="P46" s="38" t="s">
        <v>214</v>
      </c>
      <c r="Q46" s="39" t="s">
        <v>527</v>
      </c>
      <c r="R46" s="38" t="s">
        <v>77</v>
      </c>
      <c r="S46" s="39" t="s">
        <v>87</v>
      </c>
      <c r="T46" s="39" t="s">
        <v>90</v>
      </c>
      <c r="U46" s="39" t="s">
        <v>96</v>
      </c>
      <c r="V46" s="39" t="s">
        <v>98</v>
      </c>
      <c r="W46" s="39" t="s">
        <v>544</v>
      </c>
      <c r="X46" s="39" t="s">
        <v>545</v>
      </c>
      <c r="Y46" s="38" t="s">
        <v>13</v>
      </c>
      <c r="Z46" s="38" t="s">
        <v>216</v>
      </c>
      <c r="AA46" s="38" t="s">
        <v>218</v>
      </c>
      <c r="AB46" s="38" t="s">
        <v>542</v>
      </c>
      <c r="AC46" s="39" t="s">
        <v>543</v>
      </c>
      <c r="AD46" s="38" t="s">
        <v>789</v>
      </c>
      <c r="AE46" s="39" t="s">
        <v>1186</v>
      </c>
      <c r="AF46" s="41" t="s">
        <v>223</v>
      </c>
      <c r="AG46" s="41" t="s">
        <v>223</v>
      </c>
      <c r="AI46" s="52" t="s">
        <v>18</v>
      </c>
    </row>
    <row r="47" spans="1:35" ht="382.5">
      <c r="A47" s="7" t="s">
        <v>1748</v>
      </c>
      <c r="B47" s="37" t="s">
        <v>1122</v>
      </c>
      <c r="C47" s="39" t="s">
        <v>524</v>
      </c>
      <c r="D47" s="38" t="s">
        <v>19</v>
      </c>
      <c r="E47" s="38" t="s">
        <v>20</v>
      </c>
      <c r="F47" s="38" t="s">
        <v>515</v>
      </c>
      <c r="G47" s="38" t="s">
        <v>0</v>
      </c>
      <c r="H47" s="38" t="s">
        <v>207</v>
      </c>
      <c r="I47" s="38" t="s">
        <v>208</v>
      </c>
      <c r="J47" s="38" t="s">
        <v>1415</v>
      </c>
      <c r="K47" s="38" t="s">
        <v>1151</v>
      </c>
      <c r="L47" s="38" t="s">
        <v>525</v>
      </c>
      <c r="M47" s="38" t="s">
        <v>21</v>
      </c>
      <c r="N47" s="38" t="s">
        <v>212</v>
      </c>
      <c r="O47" s="38" t="s">
        <v>526</v>
      </c>
      <c r="P47" s="38" t="s">
        <v>214</v>
      </c>
      <c r="Q47" s="39" t="s">
        <v>527</v>
      </c>
      <c r="R47" s="38" t="s">
        <v>77</v>
      </c>
      <c r="S47" s="39" t="s">
        <v>87</v>
      </c>
      <c r="T47" s="39" t="s">
        <v>90</v>
      </c>
      <c r="U47" s="39" t="s">
        <v>96</v>
      </c>
      <c r="V47" s="39" t="s">
        <v>98</v>
      </c>
      <c r="W47" s="39" t="s">
        <v>544</v>
      </c>
      <c r="X47" s="39" t="s">
        <v>545</v>
      </c>
      <c r="Y47" s="38" t="s">
        <v>13</v>
      </c>
      <c r="Z47" s="38" t="s">
        <v>216</v>
      </c>
      <c r="AA47" s="38" t="s">
        <v>218</v>
      </c>
      <c r="AB47" s="38" t="s">
        <v>542</v>
      </c>
      <c r="AC47" s="39" t="s">
        <v>543</v>
      </c>
      <c r="AD47" s="38" t="s">
        <v>789</v>
      </c>
      <c r="AE47" s="39" t="s">
        <v>1186</v>
      </c>
      <c r="AF47" s="41" t="s">
        <v>223</v>
      </c>
      <c r="AG47" s="41" t="s">
        <v>223</v>
      </c>
      <c r="AI47" s="52" t="s">
        <v>18</v>
      </c>
    </row>
    <row r="48" spans="1:35" ht="382.5">
      <c r="A48" s="7" t="s">
        <v>1749</v>
      </c>
      <c r="B48" s="37" t="s">
        <v>1122</v>
      </c>
      <c r="C48" s="39" t="s">
        <v>524</v>
      </c>
      <c r="D48" s="38" t="s">
        <v>19</v>
      </c>
      <c r="E48" s="38" t="s">
        <v>20</v>
      </c>
      <c r="F48" s="38" t="s">
        <v>515</v>
      </c>
      <c r="G48" s="38" t="s">
        <v>0</v>
      </c>
      <c r="H48" s="38" t="s">
        <v>207</v>
      </c>
      <c r="I48" s="38" t="s">
        <v>208</v>
      </c>
      <c r="J48" s="38" t="s">
        <v>1415</v>
      </c>
      <c r="K48" s="38" t="s">
        <v>1151</v>
      </c>
      <c r="L48" s="38" t="s">
        <v>525</v>
      </c>
      <c r="M48" s="38" t="s">
        <v>21</v>
      </c>
      <c r="N48" s="38" t="s">
        <v>212</v>
      </c>
      <c r="O48" s="38" t="s">
        <v>526</v>
      </c>
      <c r="P48" s="38" t="s">
        <v>214</v>
      </c>
      <c r="Q48" s="39" t="s">
        <v>527</v>
      </c>
      <c r="R48" s="38" t="s">
        <v>77</v>
      </c>
      <c r="S48" s="39" t="s">
        <v>87</v>
      </c>
      <c r="T48" s="39" t="s">
        <v>90</v>
      </c>
      <c r="U48" s="39" t="s">
        <v>96</v>
      </c>
      <c r="V48" s="39" t="s">
        <v>98</v>
      </c>
      <c r="W48" s="39" t="s">
        <v>544</v>
      </c>
      <c r="X48" s="39" t="s">
        <v>545</v>
      </c>
      <c r="Y48" s="38" t="s">
        <v>13</v>
      </c>
      <c r="Z48" s="38" t="s">
        <v>216</v>
      </c>
      <c r="AA48" s="38" t="s">
        <v>218</v>
      </c>
      <c r="AB48" s="38" t="s">
        <v>542</v>
      </c>
      <c r="AC48" s="39" t="s">
        <v>543</v>
      </c>
      <c r="AD48" s="38" t="s">
        <v>789</v>
      </c>
      <c r="AE48" s="39" t="s">
        <v>1186</v>
      </c>
      <c r="AF48" s="41" t="s">
        <v>223</v>
      </c>
      <c r="AG48" s="41" t="s">
        <v>223</v>
      </c>
      <c r="AI48" s="52" t="s">
        <v>18</v>
      </c>
    </row>
    <row r="49" spans="1:36" ht="382.5">
      <c r="A49" s="7" t="s">
        <v>1750</v>
      </c>
      <c r="B49" s="37" t="s">
        <v>1122</v>
      </c>
      <c r="C49" s="39" t="s">
        <v>524</v>
      </c>
      <c r="D49" s="38" t="s">
        <v>19</v>
      </c>
      <c r="E49" s="38" t="s">
        <v>20</v>
      </c>
      <c r="F49" s="38" t="s">
        <v>515</v>
      </c>
      <c r="G49" s="38" t="s">
        <v>0</v>
      </c>
      <c r="H49" s="38" t="s">
        <v>207</v>
      </c>
      <c r="I49" s="38" t="s">
        <v>208</v>
      </c>
      <c r="J49" s="38" t="s">
        <v>1415</v>
      </c>
      <c r="K49" s="38" t="s">
        <v>1151</v>
      </c>
      <c r="L49" s="38" t="s">
        <v>525</v>
      </c>
      <c r="M49" s="38" t="s">
        <v>21</v>
      </c>
      <c r="N49" s="38" t="s">
        <v>212</v>
      </c>
      <c r="O49" s="38" t="s">
        <v>526</v>
      </c>
      <c r="P49" s="38" t="s">
        <v>214</v>
      </c>
      <c r="Q49" s="39" t="s">
        <v>527</v>
      </c>
      <c r="R49" s="38" t="s">
        <v>77</v>
      </c>
      <c r="S49" s="39" t="s">
        <v>87</v>
      </c>
      <c r="T49" s="39" t="s">
        <v>90</v>
      </c>
      <c r="U49" s="39" t="s">
        <v>96</v>
      </c>
      <c r="V49" s="39" t="s">
        <v>98</v>
      </c>
      <c r="W49" s="39" t="s">
        <v>544</v>
      </c>
      <c r="X49" s="39" t="s">
        <v>545</v>
      </c>
      <c r="Y49" s="38" t="s">
        <v>13</v>
      </c>
      <c r="Z49" s="38" t="s">
        <v>216</v>
      </c>
      <c r="AA49" s="38" t="s">
        <v>218</v>
      </c>
      <c r="AB49" s="38" t="s">
        <v>542</v>
      </c>
      <c r="AC49" s="39" t="s">
        <v>543</v>
      </c>
      <c r="AD49" s="38" t="s">
        <v>789</v>
      </c>
      <c r="AE49" s="39" t="s">
        <v>1186</v>
      </c>
      <c r="AF49" s="41" t="s">
        <v>223</v>
      </c>
      <c r="AG49" s="41" t="s">
        <v>223</v>
      </c>
      <c r="AI49" s="52" t="s">
        <v>18</v>
      </c>
    </row>
    <row r="50" spans="1:36">
      <c r="AH50" s="38"/>
      <c r="AI50" s="38"/>
    </row>
    <row r="51" spans="1:36" ht="409.5">
      <c r="A51" s="1" t="s">
        <v>225</v>
      </c>
      <c r="B51" s="27" t="s">
        <v>1180</v>
      </c>
      <c r="C51" s="27" t="s">
        <v>1178</v>
      </c>
      <c r="D51" s="27" t="s">
        <v>546</v>
      </c>
      <c r="E51" s="27" t="s">
        <v>1227</v>
      </c>
      <c r="F51" s="27" t="s">
        <v>547</v>
      </c>
      <c r="G51" s="27" t="s">
        <v>548</v>
      </c>
      <c r="H51" s="27" t="s">
        <v>549</v>
      </c>
      <c r="I51" s="27" t="s">
        <v>550</v>
      </c>
      <c r="J51" s="27" t="s">
        <v>1726</v>
      </c>
      <c r="K51" s="27" t="s">
        <v>551</v>
      </c>
      <c r="L51" s="27" t="s">
        <v>1420</v>
      </c>
      <c r="M51" s="27" t="s">
        <v>1421</v>
      </c>
      <c r="N51" s="27" t="s">
        <v>1422</v>
      </c>
      <c r="O51" s="27" t="s">
        <v>1432</v>
      </c>
      <c r="P51" s="27" t="s">
        <v>1423</v>
      </c>
      <c r="Q51" s="27" t="s">
        <v>1424</v>
      </c>
      <c r="R51" s="27" t="s">
        <v>1425</v>
      </c>
      <c r="S51" s="27" t="s">
        <v>1426</v>
      </c>
      <c r="T51" s="27" t="s">
        <v>1427</v>
      </c>
      <c r="U51" s="27" t="s">
        <v>1428</v>
      </c>
      <c r="V51" s="27" t="s">
        <v>1429</v>
      </c>
      <c r="W51" s="27" t="s">
        <v>1430</v>
      </c>
      <c r="X51" s="27" t="s">
        <v>1263</v>
      </c>
      <c r="Y51" s="27" t="s">
        <v>1264</v>
      </c>
      <c r="Z51" s="27" t="s">
        <v>1265</v>
      </c>
      <c r="AA51" s="27" t="s">
        <v>1266</v>
      </c>
      <c r="AB51" s="27" t="s">
        <v>15</v>
      </c>
      <c r="AC51" s="27" t="s">
        <v>1431</v>
      </c>
      <c r="AD51" s="29" t="s">
        <v>70</v>
      </c>
      <c r="AE51" s="27" t="s">
        <v>231</v>
      </c>
      <c r="AF51" s="27" t="s">
        <v>231</v>
      </c>
      <c r="AG51" s="27" t="s">
        <v>231</v>
      </c>
      <c r="AI51" s="53" t="s">
        <v>552</v>
      </c>
      <c r="AJ51" s="7" t="s">
        <v>1444</v>
      </c>
    </row>
    <row r="52" spans="1:36" ht="409.5">
      <c r="I52" s="7" t="s">
        <v>1207</v>
      </c>
      <c r="K52" s="1" t="s">
        <v>1173</v>
      </c>
    </row>
    <row r="55" spans="1:36">
      <c r="AI55" s="42"/>
    </row>
  </sheetData>
  <phoneticPr fontId="27"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372"/>
  <sheetViews>
    <sheetView workbookViewId="0">
      <selection activeCell="D321" sqref="D321"/>
    </sheetView>
  </sheetViews>
  <sheetFormatPr defaultRowHeight="12.75"/>
  <cols>
    <col min="1" max="1" width="41" bestFit="1" customWidth="1"/>
    <col min="2" max="2" width="9.5703125" bestFit="1" customWidth="1"/>
    <col min="3" max="3" width="4" bestFit="1" customWidth="1"/>
    <col min="4" max="4" width="49.7109375" bestFit="1" customWidth="1"/>
    <col min="5" max="5" width="96" bestFit="1" customWidth="1"/>
  </cols>
  <sheetData>
    <row r="1" spans="1:5">
      <c r="A1" t="s">
        <v>333</v>
      </c>
      <c r="B1" t="s">
        <v>56</v>
      </c>
      <c r="C1">
        <v>3.3</v>
      </c>
      <c r="D1" t="s">
        <v>874</v>
      </c>
      <c r="E1" t="s">
        <v>71</v>
      </c>
    </row>
    <row r="2" spans="1:5">
      <c r="A2" t="s">
        <v>333</v>
      </c>
      <c r="B2" t="s">
        <v>56</v>
      </c>
      <c r="C2">
        <v>2.5</v>
      </c>
      <c r="D2" t="s">
        <v>875</v>
      </c>
      <c r="E2" t="s">
        <v>71</v>
      </c>
    </row>
    <row r="3" spans="1:5">
      <c r="A3" t="s">
        <v>333</v>
      </c>
      <c r="B3" t="s">
        <v>56</v>
      </c>
      <c r="C3">
        <v>1.8</v>
      </c>
      <c r="D3" t="s">
        <v>876</v>
      </c>
      <c r="E3" t="s">
        <v>262</v>
      </c>
    </row>
    <row r="4" spans="1:5">
      <c r="A4" t="s">
        <v>333</v>
      </c>
      <c r="B4" t="s">
        <v>56</v>
      </c>
      <c r="C4">
        <v>1.5</v>
      </c>
      <c r="D4" t="s">
        <v>877</v>
      </c>
      <c r="E4" t="s">
        <v>262</v>
      </c>
    </row>
    <row r="5" spans="1:5">
      <c r="A5" t="s">
        <v>333</v>
      </c>
      <c r="B5" t="s">
        <v>56</v>
      </c>
      <c r="C5">
        <v>1.2</v>
      </c>
      <c r="D5" t="s">
        <v>878</v>
      </c>
      <c r="E5" t="s">
        <v>346</v>
      </c>
    </row>
    <row r="6" spans="1:5">
      <c r="A6" t="s">
        <v>333</v>
      </c>
      <c r="B6" t="s">
        <v>56</v>
      </c>
      <c r="C6">
        <v>0</v>
      </c>
      <c r="D6" t="s">
        <v>879</v>
      </c>
      <c r="E6" t="s">
        <v>346</v>
      </c>
    </row>
    <row r="7" spans="1:5">
      <c r="A7" t="s">
        <v>333</v>
      </c>
      <c r="B7" t="s">
        <v>1446</v>
      </c>
      <c r="C7">
        <v>3.3</v>
      </c>
      <c r="D7" t="s">
        <v>1605</v>
      </c>
      <c r="E7" t="s">
        <v>71</v>
      </c>
    </row>
    <row r="8" spans="1:5">
      <c r="A8" t="s">
        <v>333</v>
      </c>
      <c r="B8" t="s">
        <v>1446</v>
      </c>
      <c r="C8">
        <v>2.5</v>
      </c>
      <c r="D8" t="s">
        <v>1606</v>
      </c>
      <c r="E8" t="s">
        <v>71</v>
      </c>
    </row>
    <row r="9" spans="1:5">
      <c r="A9" t="s">
        <v>333</v>
      </c>
      <c r="B9" t="s">
        <v>1446</v>
      </c>
      <c r="C9">
        <v>1.8</v>
      </c>
      <c r="D9" t="s">
        <v>1607</v>
      </c>
      <c r="E9" t="s">
        <v>262</v>
      </c>
    </row>
    <row r="10" spans="1:5">
      <c r="A10" t="s">
        <v>333</v>
      </c>
      <c r="B10" t="s">
        <v>1446</v>
      </c>
      <c r="C10">
        <v>1.5</v>
      </c>
      <c r="D10" t="s">
        <v>1608</v>
      </c>
      <c r="E10" t="s">
        <v>262</v>
      </c>
    </row>
    <row r="11" spans="1:5">
      <c r="A11" t="s">
        <v>333</v>
      </c>
      <c r="B11" t="s">
        <v>1446</v>
      </c>
      <c r="C11">
        <v>1.2</v>
      </c>
      <c r="D11" t="s">
        <v>1609</v>
      </c>
      <c r="E11" t="s">
        <v>346</v>
      </c>
    </row>
    <row r="12" spans="1:5">
      <c r="A12" t="s">
        <v>333</v>
      </c>
      <c r="B12" t="s">
        <v>1446</v>
      </c>
      <c r="C12">
        <v>0</v>
      </c>
      <c r="D12" t="s">
        <v>1610</v>
      </c>
      <c r="E12" t="s">
        <v>346</v>
      </c>
    </row>
    <row r="13" spans="1:5">
      <c r="A13" t="s">
        <v>333</v>
      </c>
      <c r="B13" t="s">
        <v>101</v>
      </c>
      <c r="C13">
        <v>3.3</v>
      </c>
      <c r="D13" t="s">
        <v>880</v>
      </c>
      <c r="E13" t="s">
        <v>71</v>
      </c>
    </row>
    <row r="14" spans="1:5">
      <c r="A14" t="s">
        <v>333</v>
      </c>
      <c r="B14" t="s">
        <v>101</v>
      </c>
      <c r="C14">
        <v>2.5</v>
      </c>
      <c r="D14" t="s">
        <v>881</v>
      </c>
      <c r="E14" t="s">
        <v>71</v>
      </c>
    </row>
    <row r="15" spans="1:5">
      <c r="A15" t="s">
        <v>333</v>
      </c>
      <c r="B15" t="s">
        <v>101</v>
      </c>
      <c r="C15">
        <v>1.8</v>
      </c>
      <c r="D15" t="s">
        <v>882</v>
      </c>
      <c r="E15" t="s">
        <v>262</v>
      </c>
    </row>
    <row r="16" spans="1:5">
      <c r="A16" t="s">
        <v>333</v>
      </c>
      <c r="B16" t="s">
        <v>101</v>
      </c>
      <c r="C16">
        <v>1.5</v>
      </c>
      <c r="D16" t="s">
        <v>883</v>
      </c>
      <c r="E16" t="s">
        <v>262</v>
      </c>
    </row>
    <row r="17" spans="1:5">
      <c r="A17" t="s">
        <v>333</v>
      </c>
      <c r="B17" t="s">
        <v>101</v>
      </c>
      <c r="C17">
        <v>1.2</v>
      </c>
      <c r="D17" t="s">
        <v>884</v>
      </c>
      <c r="E17" t="s">
        <v>346</v>
      </c>
    </row>
    <row r="18" spans="1:5">
      <c r="A18" t="s">
        <v>333</v>
      </c>
      <c r="B18" t="s">
        <v>101</v>
      </c>
      <c r="C18">
        <v>0</v>
      </c>
      <c r="D18" t="s">
        <v>885</v>
      </c>
      <c r="E18" t="s">
        <v>346</v>
      </c>
    </row>
    <row r="19" spans="1:5">
      <c r="A19" t="s">
        <v>333</v>
      </c>
      <c r="B19" t="s">
        <v>102</v>
      </c>
      <c r="C19">
        <v>3.3</v>
      </c>
      <c r="D19" t="s">
        <v>886</v>
      </c>
      <c r="E19" t="s">
        <v>71</v>
      </c>
    </row>
    <row r="20" spans="1:5">
      <c r="A20" t="s">
        <v>333</v>
      </c>
      <c r="B20" t="s">
        <v>102</v>
      </c>
      <c r="C20">
        <v>2.5</v>
      </c>
      <c r="D20" t="s">
        <v>887</v>
      </c>
      <c r="E20" t="s">
        <v>71</v>
      </c>
    </row>
    <row r="21" spans="1:5">
      <c r="A21" t="s">
        <v>333</v>
      </c>
      <c r="B21" t="s">
        <v>102</v>
      </c>
      <c r="C21">
        <v>1.8</v>
      </c>
      <c r="D21" t="s">
        <v>888</v>
      </c>
      <c r="E21" t="s">
        <v>262</v>
      </c>
    </row>
    <row r="22" spans="1:5">
      <c r="A22" t="s">
        <v>333</v>
      </c>
      <c r="B22" t="s">
        <v>102</v>
      </c>
      <c r="C22">
        <v>1.5</v>
      </c>
      <c r="D22" t="s">
        <v>889</v>
      </c>
      <c r="E22" t="s">
        <v>890</v>
      </c>
    </row>
    <row r="23" spans="1:5">
      <c r="A23" t="s">
        <v>333</v>
      </c>
      <c r="B23" t="s">
        <v>102</v>
      </c>
      <c r="C23">
        <v>1.2</v>
      </c>
      <c r="D23" t="s">
        <v>891</v>
      </c>
      <c r="E23" t="s">
        <v>346</v>
      </c>
    </row>
    <row r="24" spans="1:5">
      <c r="A24" t="s">
        <v>333</v>
      </c>
      <c r="B24" t="s">
        <v>102</v>
      </c>
      <c r="C24">
        <v>0</v>
      </c>
      <c r="D24" t="s">
        <v>892</v>
      </c>
      <c r="E24" t="s">
        <v>346</v>
      </c>
    </row>
    <row r="25" spans="1:5">
      <c r="A25" t="s">
        <v>334</v>
      </c>
      <c r="B25" t="s">
        <v>56</v>
      </c>
      <c r="C25">
        <v>3.3</v>
      </c>
      <c r="D25" t="s">
        <v>893</v>
      </c>
      <c r="E25" t="s">
        <v>71</v>
      </c>
    </row>
    <row r="26" spans="1:5">
      <c r="A26" t="s">
        <v>334</v>
      </c>
      <c r="B26" t="s">
        <v>56</v>
      </c>
      <c r="C26">
        <v>2.5</v>
      </c>
      <c r="D26" t="s">
        <v>894</v>
      </c>
      <c r="E26" t="s">
        <v>71</v>
      </c>
    </row>
    <row r="27" spans="1:5">
      <c r="A27" t="s">
        <v>334</v>
      </c>
      <c r="B27" t="s">
        <v>56</v>
      </c>
      <c r="C27">
        <v>1.8</v>
      </c>
      <c r="D27" t="s">
        <v>895</v>
      </c>
      <c r="E27" t="s">
        <v>262</v>
      </c>
    </row>
    <row r="28" spans="1:5">
      <c r="A28" t="s">
        <v>334</v>
      </c>
      <c r="B28" t="s">
        <v>56</v>
      </c>
      <c r="C28">
        <v>1.5</v>
      </c>
      <c r="D28" t="s">
        <v>896</v>
      </c>
      <c r="E28" t="s">
        <v>262</v>
      </c>
    </row>
    <row r="29" spans="1:5">
      <c r="A29" t="s">
        <v>334</v>
      </c>
      <c r="B29" t="s">
        <v>56</v>
      </c>
      <c r="C29">
        <v>1.2</v>
      </c>
      <c r="D29" t="s">
        <v>897</v>
      </c>
      <c r="E29" t="s">
        <v>346</v>
      </c>
    </row>
    <row r="30" spans="1:5">
      <c r="A30" t="s">
        <v>334</v>
      </c>
      <c r="B30" t="s">
        <v>56</v>
      </c>
      <c r="C30">
        <v>0</v>
      </c>
      <c r="D30" t="s">
        <v>898</v>
      </c>
      <c r="E30" t="s">
        <v>346</v>
      </c>
    </row>
    <row r="31" spans="1:5">
      <c r="A31" t="s">
        <v>334</v>
      </c>
      <c r="B31" t="s">
        <v>1446</v>
      </c>
      <c r="C31">
        <v>3.3</v>
      </c>
      <c r="D31" t="s">
        <v>1611</v>
      </c>
      <c r="E31" t="s">
        <v>71</v>
      </c>
    </row>
    <row r="32" spans="1:5">
      <c r="A32" t="s">
        <v>334</v>
      </c>
      <c r="B32" t="s">
        <v>1446</v>
      </c>
      <c r="C32">
        <v>2.5</v>
      </c>
      <c r="D32" t="s">
        <v>1612</v>
      </c>
      <c r="E32" t="s">
        <v>71</v>
      </c>
    </row>
    <row r="33" spans="1:5">
      <c r="A33" t="s">
        <v>334</v>
      </c>
      <c r="B33" t="s">
        <v>1446</v>
      </c>
      <c r="C33">
        <v>1.8</v>
      </c>
      <c r="D33" t="s">
        <v>1613</v>
      </c>
      <c r="E33" t="s">
        <v>262</v>
      </c>
    </row>
    <row r="34" spans="1:5">
      <c r="A34" t="s">
        <v>334</v>
      </c>
      <c r="B34" t="s">
        <v>1446</v>
      </c>
      <c r="C34">
        <v>1.5</v>
      </c>
      <c r="D34" t="s">
        <v>1614</v>
      </c>
      <c r="E34" t="s">
        <v>262</v>
      </c>
    </row>
    <row r="35" spans="1:5">
      <c r="A35" t="s">
        <v>334</v>
      </c>
      <c r="B35" t="s">
        <v>1446</v>
      </c>
      <c r="C35">
        <v>1.2</v>
      </c>
      <c r="D35" t="s">
        <v>1615</v>
      </c>
      <c r="E35" t="s">
        <v>346</v>
      </c>
    </row>
    <row r="36" spans="1:5">
      <c r="A36" t="s">
        <v>334</v>
      </c>
      <c r="B36" t="s">
        <v>1446</v>
      </c>
      <c r="C36">
        <v>0</v>
      </c>
      <c r="D36" t="s">
        <v>1616</v>
      </c>
      <c r="E36" t="s">
        <v>346</v>
      </c>
    </row>
    <row r="37" spans="1:5">
      <c r="A37" t="s">
        <v>334</v>
      </c>
      <c r="B37" t="s">
        <v>101</v>
      </c>
      <c r="C37">
        <v>3.3</v>
      </c>
      <c r="D37" t="s">
        <v>899</v>
      </c>
      <c r="E37" t="s">
        <v>71</v>
      </c>
    </row>
    <row r="38" spans="1:5">
      <c r="A38" t="s">
        <v>334</v>
      </c>
      <c r="B38" t="s">
        <v>101</v>
      </c>
      <c r="C38">
        <v>2.5</v>
      </c>
      <c r="D38" t="s">
        <v>900</v>
      </c>
      <c r="E38" t="s">
        <v>71</v>
      </c>
    </row>
    <row r="39" spans="1:5">
      <c r="A39" t="s">
        <v>334</v>
      </c>
      <c r="B39" t="s">
        <v>101</v>
      </c>
      <c r="C39">
        <v>1.8</v>
      </c>
      <c r="D39" t="s">
        <v>901</v>
      </c>
      <c r="E39" t="s">
        <v>262</v>
      </c>
    </row>
    <row r="40" spans="1:5">
      <c r="A40" t="s">
        <v>334</v>
      </c>
      <c r="B40" t="s">
        <v>101</v>
      </c>
      <c r="C40">
        <v>1.5</v>
      </c>
      <c r="D40" t="s">
        <v>902</v>
      </c>
      <c r="E40" t="s">
        <v>262</v>
      </c>
    </row>
    <row r="41" spans="1:5">
      <c r="A41" t="s">
        <v>334</v>
      </c>
      <c r="B41" t="s">
        <v>101</v>
      </c>
      <c r="C41">
        <v>1.2</v>
      </c>
      <c r="D41" t="s">
        <v>903</v>
      </c>
      <c r="E41" t="s">
        <v>346</v>
      </c>
    </row>
    <row r="42" spans="1:5">
      <c r="A42" t="s">
        <v>334</v>
      </c>
      <c r="B42" t="s">
        <v>101</v>
      </c>
      <c r="C42">
        <v>0</v>
      </c>
      <c r="D42" t="s">
        <v>904</v>
      </c>
      <c r="E42" t="s">
        <v>346</v>
      </c>
    </row>
    <row r="43" spans="1:5">
      <c r="A43" t="s">
        <v>334</v>
      </c>
      <c r="B43" t="s">
        <v>102</v>
      </c>
      <c r="C43">
        <v>3.3</v>
      </c>
      <c r="D43" t="s">
        <v>905</v>
      </c>
      <c r="E43" t="s">
        <v>346</v>
      </c>
    </row>
    <row r="44" spans="1:5">
      <c r="A44" t="s">
        <v>334</v>
      </c>
      <c r="B44" t="s">
        <v>102</v>
      </c>
      <c r="C44">
        <v>2.5</v>
      </c>
      <c r="D44" t="s">
        <v>906</v>
      </c>
      <c r="E44" t="s">
        <v>346</v>
      </c>
    </row>
    <row r="45" spans="1:5">
      <c r="A45" t="s">
        <v>334</v>
      </c>
      <c r="B45" t="s">
        <v>102</v>
      </c>
      <c r="C45">
        <v>1.8</v>
      </c>
      <c r="D45" t="s">
        <v>907</v>
      </c>
      <c r="E45" t="s">
        <v>262</v>
      </c>
    </row>
    <row r="46" spans="1:5">
      <c r="A46" t="s">
        <v>334</v>
      </c>
      <c r="B46" t="s">
        <v>102</v>
      </c>
      <c r="C46">
        <v>1.5</v>
      </c>
      <c r="D46" t="s">
        <v>908</v>
      </c>
      <c r="E46" t="s">
        <v>890</v>
      </c>
    </row>
    <row r="47" spans="1:5">
      <c r="A47" t="s">
        <v>334</v>
      </c>
      <c r="B47" t="s">
        <v>102</v>
      </c>
      <c r="C47">
        <v>1.2</v>
      </c>
      <c r="D47" t="s">
        <v>909</v>
      </c>
      <c r="E47" t="s">
        <v>346</v>
      </c>
    </row>
    <row r="48" spans="1:5">
      <c r="A48" t="s">
        <v>334</v>
      </c>
      <c r="B48" t="s">
        <v>102</v>
      </c>
      <c r="C48">
        <v>0</v>
      </c>
      <c r="D48" t="s">
        <v>910</v>
      </c>
      <c r="E48" t="s">
        <v>346</v>
      </c>
    </row>
    <row r="49" spans="1:5">
      <c r="A49" t="s">
        <v>790</v>
      </c>
      <c r="B49" s="6" t="s">
        <v>350</v>
      </c>
      <c r="C49">
        <v>3.3</v>
      </c>
      <c r="D49" t="s">
        <v>911</v>
      </c>
      <c r="E49" t="s">
        <v>71</v>
      </c>
    </row>
    <row r="50" spans="1:5">
      <c r="A50" t="s">
        <v>790</v>
      </c>
      <c r="B50" s="6" t="s">
        <v>350</v>
      </c>
      <c r="C50">
        <v>2.5</v>
      </c>
      <c r="D50" t="s">
        <v>912</v>
      </c>
      <c r="E50" t="s">
        <v>71</v>
      </c>
    </row>
    <row r="51" spans="1:5">
      <c r="A51" t="s">
        <v>790</v>
      </c>
      <c r="B51" s="6" t="s">
        <v>350</v>
      </c>
      <c r="C51">
        <v>1.8</v>
      </c>
      <c r="D51" t="s">
        <v>913</v>
      </c>
      <c r="E51" t="s">
        <v>262</v>
      </c>
    </row>
    <row r="52" spans="1:5">
      <c r="A52" t="s">
        <v>790</v>
      </c>
      <c r="B52" s="6" t="s">
        <v>350</v>
      </c>
      <c r="C52">
        <v>1.5</v>
      </c>
      <c r="D52" t="s">
        <v>914</v>
      </c>
      <c r="E52" t="s">
        <v>262</v>
      </c>
    </row>
    <row r="53" spans="1:5">
      <c r="A53" t="s">
        <v>790</v>
      </c>
      <c r="B53" s="6" t="s">
        <v>350</v>
      </c>
      <c r="C53">
        <v>1.2</v>
      </c>
      <c r="D53" t="s">
        <v>915</v>
      </c>
      <c r="E53" t="s">
        <v>346</v>
      </c>
    </row>
    <row r="54" spans="1:5">
      <c r="A54" t="s">
        <v>790</v>
      </c>
      <c r="B54" s="6" t="s">
        <v>350</v>
      </c>
      <c r="C54">
        <v>0</v>
      </c>
      <c r="D54" t="s">
        <v>916</v>
      </c>
      <c r="E54" t="s">
        <v>346</v>
      </c>
    </row>
    <row r="55" spans="1:5">
      <c r="A55" t="s">
        <v>335</v>
      </c>
      <c r="B55" t="s">
        <v>56</v>
      </c>
      <c r="C55">
        <v>3.3</v>
      </c>
      <c r="D55" t="s">
        <v>917</v>
      </c>
      <c r="E55" t="s">
        <v>71</v>
      </c>
    </row>
    <row r="56" spans="1:5">
      <c r="A56" t="s">
        <v>335</v>
      </c>
      <c r="B56" t="s">
        <v>56</v>
      </c>
      <c r="C56">
        <v>2.5</v>
      </c>
      <c r="D56" t="s">
        <v>918</v>
      </c>
      <c r="E56" t="s">
        <v>71</v>
      </c>
    </row>
    <row r="57" spans="1:5">
      <c r="A57" t="s">
        <v>335</v>
      </c>
      <c r="B57" t="s">
        <v>56</v>
      </c>
      <c r="C57">
        <v>1.8</v>
      </c>
      <c r="D57" t="s">
        <v>919</v>
      </c>
      <c r="E57" t="s">
        <v>262</v>
      </c>
    </row>
    <row r="58" spans="1:5">
      <c r="A58" t="s">
        <v>335</v>
      </c>
      <c r="B58" t="s">
        <v>56</v>
      </c>
      <c r="C58">
        <v>1.5</v>
      </c>
      <c r="D58" t="s">
        <v>920</v>
      </c>
      <c r="E58" t="s">
        <v>262</v>
      </c>
    </row>
    <row r="59" spans="1:5">
      <c r="A59" t="s">
        <v>335</v>
      </c>
      <c r="B59" t="s">
        <v>56</v>
      </c>
      <c r="C59">
        <v>1.2</v>
      </c>
      <c r="D59" t="s">
        <v>921</v>
      </c>
      <c r="E59" t="s">
        <v>346</v>
      </c>
    </row>
    <row r="60" spans="1:5">
      <c r="A60" t="s">
        <v>335</v>
      </c>
      <c r="B60" t="s">
        <v>56</v>
      </c>
      <c r="C60">
        <v>0</v>
      </c>
      <c r="D60" t="s">
        <v>922</v>
      </c>
      <c r="E60" t="s">
        <v>346</v>
      </c>
    </row>
    <row r="61" spans="1:5">
      <c r="A61" t="s">
        <v>335</v>
      </c>
      <c r="B61" t="s">
        <v>1446</v>
      </c>
      <c r="C61">
        <v>3.3</v>
      </c>
      <c r="D61" t="s">
        <v>1617</v>
      </c>
      <c r="E61" t="s">
        <v>71</v>
      </c>
    </row>
    <row r="62" spans="1:5">
      <c r="A62" t="s">
        <v>335</v>
      </c>
      <c r="B62" t="s">
        <v>1446</v>
      </c>
      <c r="C62">
        <v>2.5</v>
      </c>
      <c r="D62" t="s">
        <v>1618</v>
      </c>
      <c r="E62" t="s">
        <v>71</v>
      </c>
    </row>
    <row r="63" spans="1:5">
      <c r="A63" t="s">
        <v>335</v>
      </c>
      <c r="B63" t="s">
        <v>1446</v>
      </c>
      <c r="C63">
        <v>1.8</v>
      </c>
      <c r="D63" t="s">
        <v>1619</v>
      </c>
      <c r="E63" t="s">
        <v>262</v>
      </c>
    </row>
    <row r="64" spans="1:5">
      <c r="A64" t="s">
        <v>335</v>
      </c>
      <c r="B64" t="s">
        <v>1446</v>
      </c>
      <c r="C64">
        <v>1.5</v>
      </c>
      <c r="D64" t="s">
        <v>1620</v>
      </c>
      <c r="E64" t="s">
        <v>262</v>
      </c>
    </row>
    <row r="65" spans="1:5">
      <c r="A65" t="s">
        <v>335</v>
      </c>
      <c r="B65" t="s">
        <v>1446</v>
      </c>
      <c r="C65">
        <v>1.2</v>
      </c>
      <c r="D65" t="s">
        <v>1621</v>
      </c>
      <c r="E65" t="s">
        <v>346</v>
      </c>
    </row>
    <row r="66" spans="1:5">
      <c r="A66" t="s">
        <v>335</v>
      </c>
      <c r="B66" t="s">
        <v>1446</v>
      </c>
      <c r="C66">
        <v>0</v>
      </c>
      <c r="D66" t="s">
        <v>1622</v>
      </c>
      <c r="E66" t="s">
        <v>346</v>
      </c>
    </row>
    <row r="67" spans="1:5">
      <c r="A67" t="s">
        <v>335</v>
      </c>
      <c r="B67" t="s">
        <v>101</v>
      </c>
      <c r="C67">
        <v>3.3</v>
      </c>
      <c r="D67" t="s">
        <v>923</v>
      </c>
      <c r="E67" t="s">
        <v>71</v>
      </c>
    </row>
    <row r="68" spans="1:5">
      <c r="A68" t="s">
        <v>335</v>
      </c>
      <c r="B68" t="s">
        <v>101</v>
      </c>
      <c r="C68">
        <v>2.5</v>
      </c>
      <c r="D68" t="s">
        <v>924</v>
      </c>
      <c r="E68" t="s">
        <v>71</v>
      </c>
    </row>
    <row r="69" spans="1:5">
      <c r="A69" t="s">
        <v>335</v>
      </c>
      <c r="B69" t="s">
        <v>101</v>
      </c>
      <c r="C69">
        <v>1.8</v>
      </c>
      <c r="D69" t="s">
        <v>925</v>
      </c>
      <c r="E69" t="s">
        <v>262</v>
      </c>
    </row>
    <row r="70" spans="1:5">
      <c r="A70" t="s">
        <v>335</v>
      </c>
      <c r="B70" t="s">
        <v>101</v>
      </c>
      <c r="C70">
        <v>1.5</v>
      </c>
      <c r="D70" t="s">
        <v>926</v>
      </c>
      <c r="E70" t="s">
        <v>262</v>
      </c>
    </row>
    <row r="71" spans="1:5">
      <c r="A71" t="s">
        <v>335</v>
      </c>
      <c r="B71" t="s">
        <v>101</v>
      </c>
      <c r="C71">
        <v>1.2</v>
      </c>
      <c r="D71" t="s">
        <v>927</v>
      </c>
      <c r="E71" t="s">
        <v>346</v>
      </c>
    </row>
    <row r="72" spans="1:5">
      <c r="A72" t="s">
        <v>335</v>
      </c>
      <c r="B72" t="s">
        <v>101</v>
      </c>
      <c r="C72">
        <v>0</v>
      </c>
      <c r="D72" t="s">
        <v>928</v>
      </c>
      <c r="E72" t="s">
        <v>346</v>
      </c>
    </row>
    <row r="73" spans="1:5">
      <c r="A73" t="s">
        <v>335</v>
      </c>
      <c r="B73" t="s">
        <v>102</v>
      </c>
      <c r="C73">
        <v>3.3</v>
      </c>
      <c r="D73" t="s">
        <v>929</v>
      </c>
      <c r="E73" t="s">
        <v>346</v>
      </c>
    </row>
    <row r="74" spans="1:5">
      <c r="A74" t="s">
        <v>335</v>
      </c>
      <c r="B74" t="s">
        <v>102</v>
      </c>
      <c r="C74">
        <v>2.5</v>
      </c>
      <c r="D74" t="s">
        <v>930</v>
      </c>
      <c r="E74" t="s">
        <v>346</v>
      </c>
    </row>
    <row r="75" spans="1:5">
      <c r="A75" t="s">
        <v>335</v>
      </c>
      <c r="B75" t="s">
        <v>102</v>
      </c>
      <c r="C75">
        <v>1.8</v>
      </c>
      <c r="D75" t="s">
        <v>931</v>
      </c>
      <c r="E75" t="s">
        <v>262</v>
      </c>
    </row>
    <row r="76" spans="1:5">
      <c r="A76" t="s">
        <v>335</v>
      </c>
      <c r="B76" t="s">
        <v>102</v>
      </c>
      <c r="C76">
        <v>1.5</v>
      </c>
      <c r="D76" t="s">
        <v>932</v>
      </c>
      <c r="E76" t="s">
        <v>890</v>
      </c>
    </row>
    <row r="77" spans="1:5">
      <c r="A77" t="s">
        <v>335</v>
      </c>
      <c r="B77" t="s">
        <v>102</v>
      </c>
      <c r="C77">
        <v>1.2</v>
      </c>
      <c r="D77" t="s">
        <v>933</v>
      </c>
      <c r="E77" t="s">
        <v>346</v>
      </c>
    </row>
    <row r="78" spans="1:5">
      <c r="A78" t="s">
        <v>335</v>
      </c>
      <c r="B78" t="s">
        <v>102</v>
      </c>
      <c r="C78">
        <v>0</v>
      </c>
      <c r="D78" t="s">
        <v>934</v>
      </c>
      <c r="E78" t="s">
        <v>346</v>
      </c>
    </row>
    <row r="79" spans="1:5">
      <c r="A79" t="s">
        <v>336</v>
      </c>
      <c r="B79" t="s">
        <v>56</v>
      </c>
      <c r="C79">
        <v>3.3</v>
      </c>
      <c r="D79" t="s">
        <v>935</v>
      </c>
      <c r="E79" t="s">
        <v>71</v>
      </c>
    </row>
    <row r="80" spans="1:5">
      <c r="A80" t="s">
        <v>336</v>
      </c>
      <c r="B80" t="s">
        <v>56</v>
      </c>
      <c r="C80">
        <v>2.5</v>
      </c>
      <c r="D80" t="s">
        <v>936</v>
      </c>
      <c r="E80" t="s">
        <v>71</v>
      </c>
    </row>
    <row r="81" spans="1:5">
      <c r="A81" t="s">
        <v>336</v>
      </c>
      <c r="B81" t="s">
        <v>56</v>
      </c>
      <c r="C81">
        <v>1.8</v>
      </c>
      <c r="D81" t="s">
        <v>937</v>
      </c>
      <c r="E81" t="s">
        <v>262</v>
      </c>
    </row>
    <row r="82" spans="1:5">
      <c r="A82" t="s">
        <v>336</v>
      </c>
      <c r="B82" t="s">
        <v>56</v>
      </c>
      <c r="C82">
        <v>1.5</v>
      </c>
      <c r="D82" t="s">
        <v>938</v>
      </c>
      <c r="E82" t="s">
        <v>262</v>
      </c>
    </row>
    <row r="83" spans="1:5">
      <c r="A83" t="s">
        <v>336</v>
      </c>
      <c r="B83" t="s">
        <v>56</v>
      </c>
      <c r="C83">
        <v>1.2</v>
      </c>
      <c r="D83" t="s">
        <v>939</v>
      </c>
      <c r="E83" t="s">
        <v>346</v>
      </c>
    </row>
    <row r="84" spans="1:5">
      <c r="A84" t="s">
        <v>336</v>
      </c>
      <c r="B84" t="s">
        <v>56</v>
      </c>
      <c r="C84">
        <v>0</v>
      </c>
      <c r="D84" t="s">
        <v>940</v>
      </c>
      <c r="E84" t="s">
        <v>346</v>
      </c>
    </row>
    <row r="85" spans="1:5">
      <c r="A85" t="s">
        <v>336</v>
      </c>
      <c r="B85" t="s">
        <v>1446</v>
      </c>
      <c r="C85">
        <v>3.3</v>
      </c>
      <c r="D85" t="s">
        <v>1623</v>
      </c>
      <c r="E85" t="s">
        <v>71</v>
      </c>
    </row>
    <row r="86" spans="1:5">
      <c r="A86" t="s">
        <v>336</v>
      </c>
      <c r="B86" t="s">
        <v>1446</v>
      </c>
      <c r="C86">
        <v>2.5</v>
      </c>
      <c r="D86" t="s">
        <v>1624</v>
      </c>
      <c r="E86" t="s">
        <v>71</v>
      </c>
    </row>
    <row r="87" spans="1:5">
      <c r="A87" t="s">
        <v>336</v>
      </c>
      <c r="B87" t="s">
        <v>1446</v>
      </c>
      <c r="C87">
        <v>1.8</v>
      </c>
      <c r="D87" t="s">
        <v>1625</v>
      </c>
      <c r="E87" t="s">
        <v>262</v>
      </c>
    </row>
    <row r="88" spans="1:5">
      <c r="A88" t="s">
        <v>336</v>
      </c>
      <c r="B88" t="s">
        <v>1446</v>
      </c>
      <c r="C88">
        <v>1.5</v>
      </c>
      <c r="D88" t="s">
        <v>1626</v>
      </c>
      <c r="E88" t="s">
        <v>262</v>
      </c>
    </row>
    <row r="89" spans="1:5">
      <c r="A89" t="s">
        <v>336</v>
      </c>
      <c r="B89" t="s">
        <v>1446</v>
      </c>
      <c r="C89">
        <v>1.2</v>
      </c>
      <c r="D89" t="s">
        <v>1627</v>
      </c>
      <c r="E89" t="s">
        <v>346</v>
      </c>
    </row>
    <row r="90" spans="1:5">
      <c r="A90" t="s">
        <v>336</v>
      </c>
      <c r="B90" t="s">
        <v>1446</v>
      </c>
      <c r="C90">
        <v>0</v>
      </c>
      <c r="D90" t="s">
        <v>1628</v>
      </c>
      <c r="E90" t="s">
        <v>346</v>
      </c>
    </row>
    <row r="91" spans="1:5">
      <c r="A91" t="s">
        <v>336</v>
      </c>
      <c r="B91" t="s">
        <v>101</v>
      </c>
      <c r="C91">
        <v>3.3</v>
      </c>
      <c r="D91" t="s">
        <v>941</v>
      </c>
      <c r="E91" t="s">
        <v>71</v>
      </c>
    </row>
    <row r="92" spans="1:5">
      <c r="A92" t="s">
        <v>336</v>
      </c>
      <c r="B92" t="s">
        <v>101</v>
      </c>
      <c r="C92">
        <v>2.5</v>
      </c>
      <c r="D92" t="s">
        <v>942</v>
      </c>
      <c r="E92" t="s">
        <v>71</v>
      </c>
    </row>
    <row r="93" spans="1:5">
      <c r="A93" t="s">
        <v>336</v>
      </c>
      <c r="B93" t="s">
        <v>101</v>
      </c>
      <c r="C93">
        <v>1.8</v>
      </c>
      <c r="D93" t="s">
        <v>943</v>
      </c>
      <c r="E93" t="s">
        <v>262</v>
      </c>
    </row>
    <row r="94" spans="1:5">
      <c r="A94" t="s">
        <v>336</v>
      </c>
      <c r="B94" t="s">
        <v>101</v>
      </c>
      <c r="C94">
        <v>1.5</v>
      </c>
      <c r="D94" t="s">
        <v>944</v>
      </c>
      <c r="E94" t="s">
        <v>262</v>
      </c>
    </row>
    <row r="95" spans="1:5">
      <c r="A95" t="s">
        <v>336</v>
      </c>
      <c r="B95" t="s">
        <v>101</v>
      </c>
      <c r="C95">
        <v>1.2</v>
      </c>
      <c r="D95" t="s">
        <v>945</v>
      </c>
      <c r="E95" t="s">
        <v>346</v>
      </c>
    </row>
    <row r="96" spans="1:5">
      <c r="A96" t="s">
        <v>336</v>
      </c>
      <c r="B96" t="s">
        <v>101</v>
      </c>
      <c r="C96">
        <v>0</v>
      </c>
      <c r="D96" t="s">
        <v>946</v>
      </c>
      <c r="E96" t="s">
        <v>346</v>
      </c>
    </row>
    <row r="97" spans="1:5">
      <c r="A97" t="s">
        <v>336</v>
      </c>
      <c r="B97" t="s">
        <v>102</v>
      </c>
      <c r="C97">
        <v>3.3</v>
      </c>
      <c r="D97" t="s">
        <v>947</v>
      </c>
      <c r="E97" t="s">
        <v>346</v>
      </c>
    </row>
    <row r="98" spans="1:5">
      <c r="A98" t="s">
        <v>336</v>
      </c>
      <c r="B98" t="s">
        <v>102</v>
      </c>
      <c r="C98">
        <v>2.5</v>
      </c>
      <c r="D98" t="s">
        <v>948</v>
      </c>
      <c r="E98" t="s">
        <v>346</v>
      </c>
    </row>
    <row r="99" spans="1:5">
      <c r="A99" t="s">
        <v>336</v>
      </c>
      <c r="B99" t="s">
        <v>102</v>
      </c>
      <c r="C99">
        <v>1.8</v>
      </c>
      <c r="D99" t="s">
        <v>949</v>
      </c>
      <c r="E99" t="s">
        <v>262</v>
      </c>
    </row>
    <row r="100" spans="1:5">
      <c r="A100" t="s">
        <v>336</v>
      </c>
      <c r="B100" t="s">
        <v>102</v>
      </c>
      <c r="C100">
        <v>1.5</v>
      </c>
      <c r="D100" t="s">
        <v>950</v>
      </c>
      <c r="E100" t="s">
        <v>890</v>
      </c>
    </row>
    <row r="101" spans="1:5">
      <c r="A101" t="s">
        <v>336</v>
      </c>
      <c r="B101" t="s">
        <v>102</v>
      </c>
      <c r="C101">
        <v>1.2</v>
      </c>
      <c r="D101" t="s">
        <v>951</v>
      </c>
      <c r="E101" t="s">
        <v>346</v>
      </c>
    </row>
    <row r="102" spans="1:5">
      <c r="A102" t="s">
        <v>336</v>
      </c>
      <c r="B102" t="s">
        <v>102</v>
      </c>
      <c r="C102">
        <v>0</v>
      </c>
      <c r="D102" t="s">
        <v>952</v>
      </c>
      <c r="E102" t="s">
        <v>346</v>
      </c>
    </row>
    <row r="103" spans="1:5">
      <c r="A103" t="s">
        <v>337</v>
      </c>
      <c r="B103" t="s">
        <v>56</v>
      </c>
      <c r="C103">
        <v>3.3</v>
      </c>
      <c r="D103" t="s">
        <v>953</v>
      </c>
      <c r="E103" t="s">
        <v>71</v>
      </c>
    </row>
    <row r="104" spans="1:5">
      <c r="A104" t="s">
        <v>337</v>
      </c>
      <c r="B104" t="s">
        <v>56</v>
      </c>
      <c r="C104">
        <v>2.5</v>
      </c>
      <c r="D104" t="s">
        <v>954</v>
      </c>
      <c r="E104" t="s">
        <v>71</v>
      </c>
    </row>
    <row r="105" spans="1:5">
      <c r="A105" t="s">
        <v>337</v>
      </c>
      <c r="B105" t="s">
        <v>56</v>
      </c>
      <c r="C105">
        <v>1.8</v>
      </c>
      <c r="D105" t="s">
        <v>955</v>
      </c>
      <c r="E105" t="s">
        <v>262</v>
      </c>
    </row>
    <row r="106" spans="1:5">
      <c r="A106" t="s">
        <v>337</v>
      </c>
      <c r="B106" t="s">
        <v>56</v>
      </c>
      <c r="C106">
        <v>1.5</v>
      </c>
      <c r="D106" t="s">
        <v>956</v>
      </c>
      <c r="E106" t="s">
        <v>262</v>
      </c>
    </row>
    <row r="107" spans="1:5">
      <c r="A107" t="s">
        <v>337</v>
      </c>
      <c r="B107" t="s">
        <v>56</v>
      </c>
      <c r="C107">
        <v>1.2</v>
      </c>
      <c r="D107" t="s">
        <v>957</v>
      </c>
      <c r="E107" t="s">
        <v>346</v>
      </c>
    </row>
    <row r="108" spans="1:5">
      <c r="A108" t="s">
        <v>337</v>
      </c>
      <c r="B108" t="s">
        <v>56</v>
      </c>
      <c r="C108">
        <v>0</v>
      </c>
      <c r="D108" t="s">
        <v>958</v>
      </c>
      <c r="E108" t="s">
        <v>346</v>
      </c>
    </row>
    <row r="109" spans="1:5">
      <c r="A109" t="s">
        <v>337</v>
      </c>
      <c r="B109" t="s">
        <v>1446</v>
      </c>
      <c r="C109">
        <v>3.3</v>
      </c>
      <c r="D109" t="s">
        <v>1629</v>
      </c>
      <c r="E109" t="s">
        <v>71</v>
      </c>
    </row>
    <row r="110" spans="1:5">
      <c r="A110" t="s">
        <v>337</v>
      </c>
      <c r="B110" t="s">
        <v>1446</v>
      </c>
      <c r="C110">
        <v>2.5</v>
      </c>
      <c r="D110" t="s">
        <v>1630</v>
      </c>
      <c r="E110" t="s">
        <v>71</v>
      </c>
    </row>
    <row r="111" spans="1:5">
      <c r="A111" t="s">
        <v>337</v>
      </c>
      <c r="B111" t="s">
        <v>1446</v>
      </c>
      <c r="C111">
        <v>1.8</v>
      </c>
      <c r="D111" t="s">
        <v>1631</v>
      </c>
      <c r="E111" t="s">
        <v>262</v>
      </c>
    </row>
    <row r="112" spans="1:5">
      <c r="A112" t="s">
        <v>337</v>
      </c>
      <c r="B112" t="s">
        <v>1446</v>
      </c>
      <c r="C112">
        <v>1.5</v>
      </c>
      <c r="D112" t="s">
        <v>1632</v>
      </c>
      <c r="E112" t="s">
        <v>262</v>
      </c>
    </row>
    <row r="113" spans="1:5">
      <c r="A113" t="s">
        <v>337</v>
      </c>
      <c r="B113" t="s">
        <v>1446</v>
      </c>
      <c r="C113">
        <v>1.2</v>
      </c>
      <c r="D113" t="s">
        <v>1633</v>
      </c>
      <c r="E113" t="s">
        <v>346</v>
      </c>
    </row>
    <row r="114" spans="1:5">
      <c r="A114" t="s">
        <v>337</v>
      </c>
      <c r="B114" t="s">
        <v>1446</v>
      </c>
      <c r="C114">
        <v>0</v>
      </c>
      <c r="D114" t="s">
        <v>1634</v>
      </c>
      <c r="E114" t="s">
        <v>346</v>
      </c>
    </row>
    <row r="115" spans="1:5">
      <c r="A115" t="s">
        <v>337</v>
      </c>
      <c r="B115" t="s">
        <v>101</v>
      </c>
      <c r="C115">
        <v>3.3</v>
      </c>
      <c r="D115" t="s">
        <v>959</v>
      </c>
      <c r="E115" t="s">
        <v>71</v>
      </c>
    </row>
    <row r="116" spans="1:5">
      <c r="A116" t="s">
        <v>337</v>
      </c>
      <c r="B116" t="s">
        <v>101</v>
      </c>
      <c r="C116">
        <v>2.5</v>
      </c>
      <c r="D116" t="s">
        <v>960</v>
      </c>
      <c r="E116" t="s">
        <v>71</v>
      </c>
    </row>
    <row r="117" spans="1:5">
      <c r="A117" t="s">
        <v>337</v>
      </c>
      <c r="B117" t="s">
        <v>101</v>
      </c>
      <c r="C117">
        <v>1.8</v>
      </c>
      <c r="D117" t="s">
        <v>961</v>
      </c>
      <c r="E117" t="s">
        <v>262</v>
      </c>
    </row>
    <row r="118" spans="1:5">
      <c r="A118" t="s">
        <v>337</v>
      </c>
      <c r="B118" t="s">
        <v>101</v>
      </c>
      <c r="C118">
        <v>1.5</v>
      </c>
      <c r="D118" t="s">
        <v>962</v>
      </c>
      <c r="E118" t="s">
        <v>262</v>
      </c>
    </row>
    <row r="119" spans="1:5">
      <c r="A119" t="s">
        <v>337</v>
      </c>
      <c r="B119" t="s">
        <v>101</v>
      </c>
      <c r="C119">
        <v>1.2</v>
      </c>
      <c r="D119" t="s">
        <v>963</v>
      </c>
      <c r="E119" t="s">
        <v>346</v>
      </c>
    </row>
    <row r="120" spans="1:5">
      <c r="A120" t="s">
        <v>337</v>
      </c>
      <c r="B120" t="s">
        <v>101</v>
      </c>
      <c r="C120">
        <v>0</v>
      </c>
      <c r="D120" t="s">
        <v>964</v>
      </c>
      <c r="E120" t="s">
        <v>346</v>
      </c>
    </row>
    <row r="121" spans="1:5">
      <c r="A121" t="s">
        <v>337</v>
      </c>
      <c r="B121" t="s">
        <v>102</v>
      </c>
      <c r="C121">
        <v>3.3</v>
      </c>
      <c r="D121" t="s">
        <v>965</v>
      </c>
      <c r="E121" t="s">
        <v>346</v>
      </c>
    </row>
    <row r="122" spans="1:5">
      <c r="A122" t="s">
        <v>337</v>
      </c>
      <c r="B122" t="s">
        <v>102</v>
      </c>
      <c r="C122">
        <v>2.5</v>
      </c>
      <c r="D122" t="s">
        <v>966</v>
      </c>
      <c r="E122" t="s">
        <v>346</v>
      </c>
    </row>
    <row r="123" spans="1:5">
      <c r="A123" t="s">
        <v>337</v>
      </c>
      <c r="B123" t="s">
        <v>102</v>
      </c>
      <c r="C123">
        <v>1.8</v>
      </c>
      <c r="D123" t="s">
        <v>967</v>
      </c>
      <c r="E123" t="s">
        <v>262</v>
      </c>
    </row>
    <row r="124" spans="1:5">
      <c r="A124" t="s">
        <v>337</v>
      </c>
      <c r="B124" t="s">
        <v>102</v>
      </c>
      <c r="C124">
        <v>1.5</v>
      </c>
      <c r="D124" t="s">
        <v>968</v>
      </c>
      <c r="E124" t="s">
        <v>890</v>
      </c>
    </row>
    <row r="125" spans="1:5">
      <c r="A125" t="s">
        <v>337</v>
      </c>
      <c r="B125" t="s">
        <v>102</v>
      </c>
      <c r="C125">
        <v>1.2</v>
      </c>
      <c r="D125" t="s">
        <v>969</v>
      </c>
      <c r="E125" t="s">
        <v>346</v>
      </c>
    </row>
    <row r="126" spans="1:5">
      <c r="A126" t="s">
        <v>337</v>
      </c>
      <c r="B126" t="s">
        <v>102</v>
      </c>
      <c r="C126">
        <v>0</v>
      </c>
      <c r="D126" t="s">
        <v>970</v>
      </c>
      <c r="E126" t="s">
        <v>346</v>
      </c>
    </row>
    <row r="127" spans="1:5">
      <c r="A127" t="s">
        <v>338</v>
      </c>
      <c r="B127" t="s">
        <v>56</v>
      </c>
      <c r="C127">
        <v>3.3</v>
      </c>
      <c r="D127" t="s">
        <v>971</v>
      </c>
      <c r="E127" t="s">
        <v>71</v>
      </c>
    </row>
    <row r="128" spans="1:5">
      <c r="A128" t="s">
        <v>338</v>
      </c>
      <c r="B128" t="s">
        <v>56</v>
      </c>
      <c r="C128">
        <v>2.5</v>
      </c>
      <c r="D128" t="s">
        <v>972</v>
      </c>
      <c r="E128" t="s">
        <v>71</v>
      </c>
    </row>
    <row r="129" spans="1:5">
      <c r="A129" t="s">
        <v>338</v>
      </c>
      <c r="B129" t="s">
        <v>56</v>
      </c>
      <c r="C129">
        <v>1.8</v>
      </c>
      <c r="D129" t="s">
        <v>973</v>
      </c>
      <c r="E129" t="s">
        <v>262</v>
      </c>
    </row>
    <row r="130" spans="1:5">
      <c r="A130" t="s">
        <v>338</v>
      </c>
      <c r="B130" t="s">
        <v>56</v>
      </c>
      <c r="C130">
        <v>1.5</v>
      </c>
      <c r="D130" t="s">
        <v>974</v>
      </c>
      <c r="E130" t="s">
        <v>262</v>
      </c>
    </row>
    <row r="131" spans="1:5">
      <c r="A131" t="s">
        <v>338</v>
      </c>
      <c r="B131" t="s">
        <v>56</v>
      </c>
      <c r="C131">
        <v>1.2</v>
      </c>
      <c r="D131" t="s">
        <v>975</v>
      </c>
      <c r="E131" t="s">
        <v>346</v>
      </c>
    </row>
    <row r="132" spans="1:5">
      <c r="A132" t="s">
        <v>338</v>
      </c>
      <c r="B132" t="s">
        <v>56</v>
      </c>
      <c r="C132">
        <v>0</v>
      </c>
      <c r="D132" t="s">
        <v>976</v>
      </c>
      <c r="E132" t="s">
        <v>346</v>
      </c>
    </row>
    <row r="133" spans="1:5">
      <c r="A133" t="s">
        <v>338</v>
      </c>
      <c r="B133" t="s">
        <v>1446</v>
      </c>
      <c r="C133">
        <v>3.3</v>
      </c>
      <c r="D133" t="s">
        <v>1635</v>
      </c>
      <c r="E133" t="s">
        <v>71</v>
      </c>
    </row>
    <row r="134" spans="1:5">
      <c r="A134" t="s">
        <v>338</v>
      </c>
      <c r="B134" t="s">
        <v>1446</v>
      </c>
      <c r="C134">
        <v>2.5</v>
      </c>
      <c r="D134" t="s">
        <v>1636</v>
      </c>
      <c r="E134" t="s">
        <v>71</v>
      </c>
    </row>
    <row r="135" spans="1:5">
      <c r="A135" t="s">
        <v>338</v>
      </c>
      <c r="B135" t="s">
        <v>1446</v>
      </c>
      <c r="C135">
        <v>1.8</v>
      </c>
      <c r="D135" t="s">
        <v>1637</v>
      </c>
      <c r="E135" t="s">
        <v>262</v>
      </c>
    </row>
    <row r="136" spans="1:5">
      <c r="A136" t="s">
        <v>338</v>
      </c>
      <c r="B136" t="s">
        <v>1446</v>
      </c>
      <c r="C136">
        <v>1.5</v>
      </c>
      <c r="D136" t="s">
        <v>1638</v>
      </c>
      <c r="E136" t="s">
        <v>262</v>
      </c>
    </row>
    <row r="137" spans="1:5">
      <c r="A137" t="s">
        <v>338</v>
      </c>
      <c r="B137" t="s">
        <v>1446</v>
      </c>
      <c r="C137">
        <v>1.2</v>
      </c>
      <c r="D137" t="s">
        <v>1639</v>
      </c>
      <c r="E137" t="s">
        <v>346</v>
      </c>
    </row>
    <row r="138" spans="1:5">
      <c r="A138" t="s">
        <v>338</v>
      </c>
      <c r="B138" t="s">
        <v>1446</v>
      </c>
      <c r="C138">
        <v>0</v>
      </c>
      <c r="D138" t="s">
        <v>1640</v>
      </c>
      <c r="E138" t="s">
        <v>346</v>
      </c>
    </row>
    <row r="139" spans="1:5">
      <c r="A139" t="s">
        <v>338</v>
      </c>
      <c r="B139" t="s">
        <v>101</v>
      </c>
      <c r="C139">
        <v>3.3</v>
      </c>
      <c r="D139" t="s">
        <v>977</v>
      </c>
      <c r="E139" t="s">
        <v>71</v>
      </c>
    </row>
    <row r="140" spans="1:5">
      <c r="A140" t="s">
        <v>338</v>
      </c>
      <c r="B140" t="s">
        <v>101</v>
      </c>
      <c r="C140">
        <v>2.5</v>
      </c>
      <c r="D140" t="s">
        <v>978</v>
      </c>
      <c r="E140" t="s">
        <v>71</v>
      </c>
    </row>
    <row r="141" spans="1:5">
      <c r="A141" t="s">
        <v>338</v>
      </c>
      <c r="B141" t="s">
        <v>101</v>
      </c>
      <c r="C141">
        <v>1.8</v>
      </c>
      <c r="D141" t="s">
        <v>979</v>
      </c>
      <c r="E141" t="s">
        <v>262</v>
      </c>
    </row>
    <row r="142" spans="1:5">
      <c r="A142" t="s">
        <v>338</v>
      </c>
      <c r="B142" t="s">
        <v>101</v>
      </c>
      <c r="C142">
        <v>1.5</v>
      </c>
      <c r="D142" t="s">
        <v>980</v>
      </c>
      <c r="E142" t="s">
        <v>262</v>
      </c>
    </row>
    <row r="143" spans="1:5">
      <c r="A143" t="s">
        <v>338</v>
      </c>
      <c r="B143" t="s">
        <v>101</v>
      </c>
      <c r="C143">
        <v>1.2</v>
      </c>
      <c r="D143" t="s">
        <v>981</v>
      </c>
      <c r="E143" t="s">
        <v>346</v>
      </c>
    </row>
    <row r="144" spans="1:5">
      <c r="A144" t="s">
        <v>338</v>
      </c>
      <c r="B144" t="s">
        <v>101</v>
      </c>
      <c r="C144">
        <v>0</v>
      </c>
      <c r="D144" t="s">
        <v>982</v>
      </c>
      <c r="E144" t="s">
        <v>346</v>
      </c>
    </row>
    <row r="145" spans="1:5">
      <c r="A145" t="s">
        <v>338</v>
      </c>
      <c r="B145" t="s">
        <v>102</v>
      </c>
      <c r="C145">
        <v>3.3</v>
      </c>
      <c r="D145" t="s">
        <v>983</v>
      </c>
      <c r="E145" t="s">
        <v>346</v>
      </c>
    </row>
    <row r="146" spans="1:5">
      <c r="A146" t="s">
        <v>338</v>
      </c>
      <c r="B146" t="s">
        <v>102</v>
      </c>
      <c r="C146">
        <v>2.5</v>
      </c>
      <c r="D146" t="s">
        <v>984</v>
      </c>
      <c r="E146" t="s">
        <v>346</v>
      </c>
    </row>
    <row r="147" spans="1:5">
      <c r="A147" t="s">
        <v>338</v>
      </c>
      <c r="B147" t="s">
        <v>102</v>
      </c>
      <c r="C147">
        <v>1.8</v>
      </c>
      <c r="D147" t="s">
        <v>985</v>
      </c>
      <c r="E147" t="s">
        <v>262</v>
      </c>
    </row>
    <row r="148" spans="1:5">
      <c r="A148" t="s">
        <v>338</v>
      </c>
      <c r="B148" t="s">
        <v>102</v>
      </c>
      <c r="C148">
        <v>1.5</v>
      </c>
      <c r="D148" t="s">
        <v>986</v>
      </c>
      <c r="E148" t="s">
        <v>890</v>
      </c>
    </row>
    <row r="149" spans="1:5">
      <c r="A149" t="s">
        <v>338</v>
      </c>
      <c r="B149" t="s">
        <v>102</v>
      </c>
      <c r="C149">
        <v>1.2</v>
      </c>
      <c r="D149" t="s">
        <v>987</v>
      </c>
      <c r="E149" t="s">
        <v>346</v>
      </c>
    </row>
    <row r="150" spans="1:5">
      <c r="A150" t="s">
        <v>338</v>
      </c>
      <c r="B150" t="s">
        <v>102</v>
      </c>
      <c r="C150">
        <v>0</v>
      </c>
      <c r="D150" t="s">
        <v>988</v>
      </c>
      <c r="E150" t="s">
        <v>346</v>
      </c>
    </row>
    <row r="151" spans="1:5">
      <c r="A151" t="s">
        <v>339</v>
      </c>
      <c r="B151" t="s">
        <v>56</v>
      </c>
      <c r="C151">
        <v>3.3</v>
      </c>
      <c r="D151" t="s">
        <v>989</v>
      </c>
      <c r="E151" t="s">
        <v>71</v>
      </c>
    </row>
    <row r="152" spans="1:5">
      <c r="A152" t="s">
        <v>339</v>
      </c>
      <c r="B152" t="s">
        <v>56</v>
      </c>
      <c r="C152">
        <v>2.5</v>
      </c>
      <c r="D152" t="s">
        <v>990</v>
      </c>
      <c r="E152" t="s">
        <v>71</v>
      </c>
    </row>
    <row r="153" spans="1:5">
      <c r="A153" t="s">
        <v>339</v>
      </c>
      <c r="B153" t="s">
        <v>56</v>
      </c>
      <c r="C153">
        <v>1.8</v>
      </c>
      <c r="D153" t="s">
        <v>991</v>
      </c>
      <c r="E153" t="s">
        <v>262</v>
      </c>
    </row>
    <row r="154" spans="1:5">
      <c r="A154" t="s">
        <v>339</v>
      </c>
      <c r="B154" t="s">
        <v>56</v>
      </c>
      <c r="C154">
        <v>1.5</v>
      </c>
      <c r="D154" t="s">
        <v>992</v>
      </c>
      <c r="E154" t="s">
        <v>262</v>
      </c>
    </row>
    <row r="155" spans="1:5">
      <c r="A155" t="s">
        <v>339</v>
      </c>
      <c r="B155" t="s">
        <v>56</v>
      </c>
      <c r="C155">
        <v>1.2</v>
      </c>
      <c r="D155" t="s">
        <v>993</v>
      </c>
      <c r="E155" t="s">
        <v>346</v>
      </c>
    </row>
    <row r="156" spans="1:5">
      <c r="A156" t="s">
        <v>339</v>
      </c>
      <c r="B156" t="s">
        <v>56</v>
      </c>
      <c r="C156">
        <v>0</v>
      </c>
      <c r="D156" t="s">
        <v>994</v>
      </c>
      <c r="E156" t="s">
        <v>346</v>
      </c>
    </row>
    <row r="157" spans="1:5">
      <c r="A157" t="s">
        <v>339</v>
      </c>
      <c r="B157" t="s">
        <v>1446</v>
      </c>
      <c r="C157">
        <v>3.3</v>
      </c>
      <c r="D157" t="s">
        <v>1641</v>
      </c>
      <c r="E157" t="s">
        <v>71</v>
      </c>
    </row>
    <row r="158" spans="1:5">
      <c r="A158" t="s">
        <v>339</v>
      </c>
      <c r="B158" t="s">
        <v>1446</v>
      </c>
      <c r="C158">
        <v>2.5</v>
      </c>
      <c r="D158" t="s">
        <v>1642</v>
      </c>
      <c r="E158" t="s">
        <v>71</v>
      </c>
    </row>
    <row r="159" spans="1:5">
      <c r="A159" t="s">
        <v>339</v>
      </c>
      <c r="B159" t="s">
        <v>1446</v>
      </c>
      <c r="C159">
        <v>1.8</v>
      </c>
      <c r="D159" t="s">
        <v>1643</v>
      </c>
      <c r="E159" t="s">
        <v>262</v>
      </c>
    </row>
    <row r="160" spans="1:5">
      <c r="A160" t="s">
        <v>339</v>
      </c>
      <c r="B160" t="s">
        <v>1446</v>
      </c>
      <c r="C160">
        <v>1.5</v>
      </c>
      <c r="D160" t="s">
        <v>1644</v>
      </c>
      <c r="E160" t="s">
        <v>262</v>
      </c>
    </row>
    <row r="161" spans="1:5">
      <c r="A161" t="s">
        <v>339</v>
      </c>
      <c r="B161" t="s">
        <v>1446</v>
      </c>
      <c r="C161">
        <v>1.2</v>
      </c>
      <c r="D161" t="s">
        <v>1645</v>
      </c>
      <c r="E161" t="s">
        <v>346</v>
      </c>
    </row>
    <row r="162" spans="1:5">
      <c r="A162" t="s">
        <v>339</v>
      </c>
      <c r="B162" t="s">
        <v>1446</v>
      </c>
      <c r="C162">
        <v>0</v>
      </c>
      <c r="D162" t="s">
        <v>1646</v>
      </c>
      <c r="E162" t="s">
        <v>346</v>
      </c>
    </row>
    <row r="163" spans="1:5">
      <c r="A163" t="s">
        <v>339</v>
      </c>
      <c r="B163" t="s">
        <v>101</v>
      </c>
      <c r="C163">
        <v>3.3</v>
      </c>
      <c r="D163" t="s">
        <v>995</v>
      </c>
      <c r="E163" t="s">
        <v>71</v>
      </c>
    </row>
    <row r="164" spans="1:5">
      <c r="A164" t="s">
        <v>339</v>
      </c>
      <c r="B164" t="s">
        <v>101</v>
      </c>
      <c r="C164">
        <v>2.5</v>
      </c>
      <c r="D164" t="s">
        <v>996</v>
      </c>
      <c r="E164" t="s">
        <v>71</v>
      </c>
    </row>
    <row r="165" spans="1:5">
      <c r="A165" t="s">
        <v>339</v>
      </c>
      <c r="B165" t="s">
        <v>101</v>
      </c>
      <c r="C165">
        <v>1.8</v>
      </c>
      <c r="D165" t="s">
        <v>997</v>
      </c>
      <c r="E165" t="s">
        <v>262</v>
      </c>
    </row>
    <row r="166" spans="1:5">
      <c r="A166" t="s">
        <v>339</v>
      </c>
      <c r="B166" t="s">
        <v>101</v>
      </c>
      <c r="C166">
        <v>1.5</v>
      </c>
      <c r="D166" t="s">
        <v>998</v>
      </c>
      <c r="E166" t="s">
        <v>262</v>
      </c>
    </row>
    <row r="167" spans="1:5">
      <c r="A167" t="s">
        <v>339</v>
      </c>
      <c r="B167" t="s">
        <v>101</v>
      </c>
      <c r="C167">
        <v>1.2</v>
      </c>
      <c r="D167" t="s">
        <v>999</v>
      </c>
      <c r="E167" t="s">
        <v>346</v>
      </c>
    </row>
    <row r="168" spans="1:5">
      <c r="A168" t="s">
        <v>339</v>
      </c>
      <c r="B168" t="s">
        <v>101</v>
      </c>
      <c r="C168">
        <v>0</v>
      </c>
      <c r="D168" t="s">
        <v>1000</v>
      </c>
      <c r="E168" t="s">
        <v>346</v>
      </c>
    </row>
    <row r="169" spans="1:5">
      <c r="A169" t="s">
        <v>339</v>
      </c>
      <c r="B169" t="s">
        <v>102</v>
      </c>
      <c r="C169">
        <v>3.3</v>
      </c>
      <c r="D169" t="s">
        <v>1001</v>
      </c>
      <c r="E169" t="s">
        <v>346</v>
      </c>
    </row>
    <row r="170" spans="1:5">
      <c r="A170" t="s">
        <v>339</v>
      </c>
      <c r="B170" t="s">
        <v>102</v>
      </c>
      <c r="C170">
        <v>2.5</v>
      </c>
      <c r="D170" t="s">
        <v>1002</v>
      </c>
      <c r="E170" t="s">
        <v>346</v>
      </c>
    </row>
    <row r="171" spans="1:5">
      <c r="A171" t="s">
        <v>339</v>
      </c>
      <c r="B171" t="s">
        <v>102</v>
      </c>
      <c r="C171">
        <v>1.8</v>
      </c>
      <c r="D171" t="s">
        <v>1003</v>
      </c>
      <c r="E171" t="s">
        <v>262</v>
      </c>
    </row>
    <row r="172" spans="1:5">
      <c r="A172" t="s">
        <v>339</v>
      </c>
      <c r="B172" t="s">
        <v>102</v>
      </c>
      <c r="C172">
        <v>1.5</v>
      </c>
      <c r="D172" t="s">
        <v>1004</v>
      </c>
      <c r="E172" t="s">
        <v>890</v>
      </c>
    </row>
    <row r="173" spans="1:5">
      <c r="A173" t="s">
        <v>339</v>
      </c>
      <c r="B173" t="s">
        <v>102</v>
      </c>
      <c r="C173">
        <v>1.2</v>
      </c>
      <c r="D173" t="s">
        <v>1005</v>
      </c>
      <c r="E173" t="s">
        <v>346</v>
      </c>
    </row>
    <row r="174" spans="1:5">
      <c r="A174" t="s">
        <v>339</v>
      </c>
      <c r="B174" t="s">
        <v>102</v>
      </c>
      <c r="C174">
        <v>0</v>
      </c>
      <c r="D174" t="s">
        <v>1006</v>
      </c>
      <c r="E174" t="s">
        <v>346</v>
      </c>
    </row>
    <row r="175" spans="1:5">
      <c r="A175" t="s">
        <v>340</v>
      </c>
      <c r="B175" t="s">
        <v>56</v>
      </c>
      <c r="C175">
        <v>3.3</v>
      </c>
      <c r="D175" t="s">
        <v>1007</v>
      </c>
      <c r="E175" t="s">
        <v>71</v>
      </c>
    </row>
    <row r="176" spans="1:5">
      <c r="A176" t="s">
        <v>340</v>
      </c>
      <c r="B176" t="s">
        <v>56</v>
      </c>
      <c r="C176">
        <v>2.5</v>
      </c>
      <c r="D176" t="s">
        <v>1008</v>
      </c>
      <c r="E176" t="s">
        <v>71</v>
      </c>
    </row>
    <row r="177" spans="1:5">
      <c r="A177" t="s">
        <v>340</v>
      </c>
      <c r="B177" t="s">
        <v>56</v>
      </c>
      <c r="C177">
        <v>1.8</v>
      </c>
      <c r="D177" t="s">
        <v>1009</v>
      </c>
      <c r="E177" t="s">
        <v>262</v>
      </c>
    </row>
    <row r="178" spans="1:5">
      <c r="A178" t="s">
        <v>340</v>
      </c>
      <c r="B178" t="s">
        <v>56</v>
      </c>
      <c r="C178">
        <v>1.5</v>
      </c>
      <c r="D178" t="s">
        <v>1010</v>
      </c>
      <c r="E178" t="s">
        <v>262</v>
      </c>
    </row>
    <row r="179" spans="1:5">
      <c r="A179" t="s">
        <v>340</v>
      </c>
      <c r="B179" t="s">
        <v>56</v>
      </c>
      <c r="C179">
        <v>1.2</v>
      </c>
      <c r="D179" t="s">
        <v>1011</v>
      </c>
      <c r="E179" t="s">
        <v>346</v>
      </c>
    </row>
    <row r="180" spans="1:5">
      <c r="A180" t="s">
        <v>340</v>
      </c>
      <c r="B180" t="s">
        <v>56</v>
      </c>
      <c r="C180">
        <v>0</v>
      </c>
      <c r="D180" t="s">
        <v>1012</v>
      </c>
      <c r="E180" t="s">
        <v>346</v>
      </c>
    </row>
    <row r="181" spans="1:5">
      <c r="A181" t="s">
        <v>340</v>
      </c>
      <c r="B181" t="s">
        <v>1446</v>
      </c>
      <c r="C181">
        <v>3.3</v>
      </c>
      <c r="D181" t="s">
        <v>1647</v>
      </c>
      <c r="E181" t="s">
        <v>71</v>
      </c>
    </row>
    <row r="182" spans="1:5">
      <c r="A182" t="s">
        <v>340</v>
      </c>
      <c r="B182" t="s">
        <v>1446</v>
      </c>
      <c r="C182">
        <v>2.5</v>
      </c>
      <c r="D182" t="s">
        <v>1648</v>
      </c>
      <c r="E182" t="s">
        <v>71</v>
      </c>
    </row>
    <row r="183" spans="1:5">
      <c r="A183" t="s">
        <v>340</v>
      </c>
      <c r="B183" t="s">
        <v>1446</v>
      </c>
      <c r="C183">
        <v>1.8</v>
      </c>
      <c r="D183" t="s">
        <v>1649</v>
      </c>
      <c r="E183" t="s">
        <v>262</v>
      </c>
    </row>
    <row r="184" spans="1:5">
      <c r="A184" t="s">
        <v>340</v>
      </c>
      <c r="B184" t="s">
        <v>1446</v>
      </c>
      <c r="C184">
        <v>1.5</v>
      </c>
      <c r="D184" t="s">
        <v>1650</v>
      </c>
      <c r="E184" t="s">
        <v>262</v>
      </c>
    </row>
    <row r="185" spans="1:5">
      <c r="A185" t="s">
        <v>340</v>
      </c>
      <c r="B185" t="s">
        <v>1446</v>
      </c>
      <c r="C185">
        <v>1.2</v>
      </c>
      <c r="D185" t="s">
        <v>1651</v>
      </c>
      <c r="E185" t="s">
        <v>346</v>
      </c>
    </row>
    <row r="186" spans="1:5">
      <c r="A186" t="s">
        <v>340</v>
      </c>
      <c r="B186" t="s">
        <v>1446</v>
      </c>
      <c r="C186">
        <v>0</v>
      </c>
      <c r="D186" t="s">
        <v>1652</v>
      </c>
      <c r="E186" t="s">
        <v>346</v>
      </c>
    </row>
    <row r="187" spans="1:5">
      <c r="A187" t="s">
        <v>340</v>
      </c>
      <c r="B187" t="s">
        <v>101</v>
      </c>
      <c r="C187">
        <v>3.3</v>
      </c>
      <c r="D187" t="s">
        <v>1013</v>
      </c>
      <c r="E187" t="s">
        <v>71</v>
      </c>
    </row>
    <row r="188" spans="1:5">
      <c r="A188" t="s">
        <v>340</v>
      </c>
      <c r="B188" t="s">
        <v>101</v>
      </c>
      <c r="C188">
        <v>2.5</v>
      </c>
      <c r="D188" t="s">
        <v>1014</v>
      </c>
      <c r="E188" t="s">
        <v>71</v>
      </c>
    </row>
    <row r="189" spans="1:5">
      <c r="A189" t="s">
        <v>340</v>
      </c>
      <c r="B189" t="s">
        <v>101</v>
      </c>
      <c r="C189">
        <v>1.8</v>
      </c>
      <c r="D189" t="s">
        <v>1015</v>
      </c>
      <c r="E189" t="s">
        <v>262</v>
      </c>
    </row>
    <row r="190" spans="1:5">
      <c r="A190" t="s">
        <v>340</v>
      </c>
      <c r="B190" t="s">
        <v>101</v>
      </c>
      <c r="C190">
        <v>1.5</v>
      </c>
      <c r="D190" t="s">
        <v>1016</v>
      </c>
      <c r="E190" t="s">
        <v>262</v>
      </c>
    </row>
    <row r="191" spans="1:5">
      <c r="A191" t="s">
        <v>340</v>
      </c>
      <c r="B191" t="s">
        <v>101</v>
      </c>
      <c r="C191">
        <v>1.2</v>
      </c>
      <c r="D191" t="s">
        <v>1017</v>
      </c>
      <c r="E191" t="s">
        <v>346</v>
      </c>
    </row>
    <row r="192" spans="1:5">
      <c r="A192" t="s">
        <v>340</v>
      </c>
      <c r="B192" t="s">
        <v>101</v>
      </c>
      <c r="C192">
        <v>0</v>
      </c>
      <c r="D192" t="s">
        <v>1018</v>
      </c>
      <c r="E192" t="s">
        <v>346</v>
      </c>
    </row>
    <row r="193" spans="1:5">
      <c r="A193" t="s">
        <v>340</v>
      </c>
      <c r="B193" t="s">
        <v>102</v>
      </c>
      <c r="C193">
        <v>3.3</v>
      </c>
      <c r="D193" t="s">
        <v>1019</v>
      </c>
      <c r="E193" t="s">
        <v>346</v>
      </c>
    </row>
    <row r="194" spans="1:5">
      <c r="A194" t="s">
        <v>340</v>
      </c>
      <c r="B194" t="s">
        <v>102</v>
      </c>
      <c r="C194">
        <v>2.5</v>
      </c>
      <c r="D194" t="s">
        <v>1020</v>
      </c>
      <c r="E194" t="s">
        <v>346</v>
      </c>
    </row>
    <row r="195" spans="1:5">
      <c r="A195" t="s">
        <v>340</v>
      </c>
      <c r="B195" t="s">
        <v>102</v>
      </c>
      <c r="C195">
        <v>1.8</v>
      </c>
      <c r="D195" t="s">
        <v>1021</v>
      </c>
      <c r="E195" t="s">
        <v>262</v>
      </c>
    </row>
    <row r="196" spans="1:5">
      <c r="A196" t="s">
        <v>340</v>
      </c>
      <c r="B196" t="s">
        <v>102</v>
      </c>
      <c r="C196">
        <v>1.5</v>
      </c>
      <c r="D196" t="s">
        <v>1022</v>
      </c>
      <c r="E196" t="s">
        <v>890</v>
      </c>
    </row>
    <row r="197" spans="1:5">
      <c r="A197" t="s">
        <v>340</v>
      </c>
      <c r="B197" t="s">
        <v>102</v>
      </c>
      <c r="C197">
        <v>1.2</v>
      </c>
      <c r="D197" t="s">
        <v>1023</v>
      </c>
      <c r="E197" t="s">
        <v>346</v>
      </c>
    </row>
    <row r="198" spans="1:5">
      <c r="A198" t="s">
        <v>340</v>
      </c>
      <c r="B198" t="s">
        <v>102</v>
      </c>
      <c r="C198">
        <v>0</v>
      </c>
      <c r="D198" t="s">
        <v>1024</v>
      </c>
      <c r="E198" t="s">
        <v>346</v>
      </c>
    </row>
    <row r="199" spans="1:5">
      <c r="A199" t="s">
        <v>341</v>
      </c>
      <c r="B199" t="s">
        <v>56</v>
      </c>
      <c r="C199">
        <v>3.3</v>
      </c>
      <c r="D199" t="s">
        <v>1025</v>
      </c>
      <c r="E199" t="s">
        <v>71</v>
      </c>
    </row>
    <row r="200" spans="1:5">
      <c r="A200" t="s">
        <v>341</v>
      </c>
      <c r="B200" t="s">
        <v>56</v>
      </c>
      <c r="C200">
        <v>2.5</v>
      </c>
      <c r="D200" t="s">
        <v>1026</v>
      </c>
      <c r="E200" t="s">
        <v>71</v>
      </c>
    </row>
    <row r="201" spans="1:5">
      <c r="A201" t="s">
        <v>341</v>
      </c>
      <c r="B201" t="s">
        <v>56</v>
      </c>
      <c r="C201">
        <v>1.8</v>
      </c>
      <c r="D201" t="s">
        <v>1027</v>
      </c>
      <c r="E201" t="s">
        <v>262</v>
      </c>
    </row>
    <row r="202" spans="1:5">
      <c r="A202" t="s">
        <v>341</v>
      </c>
      <c r="B202" t="s">
        <v>56</v>
      </c>
      <c r="C202">
        <v>1.5</v>
      </c>
      <c r="D202" t="s">
        <v>1028</v>
      </c>
      <c r="E202" t="s">
        <v>262</v>
      </c>
    </row>
    <row r="203" spans="1:5">
      <c r="A203" t="s">
        <v>341</v>
      </c>
      <c r="B203" t="s">
        <v>56</v>
      </c>
      <c r="C203">
        <v>1.2</v>
      </c>
      <c r="D203" t="s">
        <v>1029</v>
      </c>
      <c r="E203" t="s">
        <v>346</v>
      </c>
    </row>
    <row r="204" spans="1:5">
      <c r="A204" t="s">
        <v>341</v>
      </c>
      <c r="B204" t="s">
        <v>56</v>
      </c>
      <c r="C204">
        <v>0</v>
      </c>
      <c r="D204" t="s">
        <v>1030</v>
      </c>
      <c r="E204" t="s">
        <v>346</v>
      </c>
    </row>
    <row r="205" spans="1:5">
      <c r="A205" t="s">
        <v>341</v>
      </c>
      <c r="B205" t="s">
        <v>1446</v>
      </c>
      <c r="C205">
        <v>3.3</v>
      </c>
      <c r="D205" t="s">
        <v>1653</v>
      </c>
      <c r="E205" t="s">
        <v>71</v>
      </c>
    </row>
    <row r="206" spans="1:5">
      <c r="A206" t="s">
        <v>341</v>
      </c>
      <c r="B206" t="s">
        <v>1446</v>
      </c>
      <c r="C206">
        <v>2.5</v>
      </c>
      <c r="D206" t="s">
        <v>1654</v>
      </c>
      <c r="E206" t="s">
        <v>71</v>
      </c>
    </row>
    <row r="207" spans="1:5">
      <c r="A207" t="s">
        <v>341</v>
      </c>
      <c r="B207" t="s">
        <v>1446</v>
      </c>
      <c r="C207">
        <v>1.8</v>
      </c>
      <c r="D207" t="s">
        <v>1655</v>
      </c>
      <c r="E207" t="s">
        <v>262</v>
      </c>
    </row>
    <row r="208" spans="1:5">
      <c r="A208" t="s">
        <v>341</v>
      </c>
      <c r="B208" t="s">
        <v>1446</v>
      </c>
      <c r="C208">
        <v>1.5</v>
      </c>
      <c r="D208" t="s">
        <v>1656</v>
      </c>
      <c r="E208" t="s">
        <v>262</v>
      </c>
    </row>
    <row r="209" spans="1:5">
      <c r="A209" t="s">
        <v>341</v>
      </c>
      <c r="B209" t="s">
        <v>1446</v>
      </c>
      <c r="C209">
        <v>1.2</v>
      </c>
      <c r="D209" t="s">
        <v>1657</v>
      </c>
      <c r="E209" t="s">
        <v>346</v>
      </c>
    </row>
    <row r="210" spans="1:5">
      <c r="A210" t="s">
        <v>341</v>
      </c>
      <c r="B210" t="s">
        <v>1446</v>
      </c>
      <c r="C210">
        <v>0</v>
      </c>
      <c r="D210" t="s">
        <v>1658</v>
      </c>
      <c r="E210" t="s">
        <v>346</v>
      </c>
    </row>
    <row r="211" spans="1:5">
      <c r="A211" t="s">
        <v>341</v>
      </c>
      <c r="B211" t="s">
        <v>101</v>
      </c>
      <c r="C211">
        <v>3.3</v>
      </c>
      <c r="D211" t="s">
        <v>1031</v>
      </c>
      <c r="E211" t="s">
        <v>71</v>
      </c>
    </row>
    <row r="212" spans="1:5">
      <c r="A212" t="s">
        <v>341</v>
      </c>
      <c r="B212" t="s">
        <v>101</v>
      </c>
      <c r="C212">
        <v>2.5</v>
      </c>
      <c r="D212" t="s">
        <v>1032</v>
      </c>
      <c r="E212" t="s">
        <v>71</v>
      </c>
    </row>
    <row r="213" spans="1:5">
      <c r="A213" t="s">
        <v>341</v>
      </c>
      <c r="B213" t="s">
        <v>101</v>
      </c>
      <c r="C213">
        <v>1.8</v>
      </c>
      <c r="D213" t="s">
        <v>1033</v>
      </c>
      <c r="E213" t="s">
        <v>262</v>
      </c>
    </row>
    <row r="214" spans="1:5">
      <c r="A214" t="s">
        <v>341</v>
      </c>
      <c r="B214" t="s">
        <v>101</v>
      </c>
      <c r="C214">
        <v>1.5</v>
      </c>
      <c r="D214" t="s">
        <v>1034</v>
      </c>
      <c r="E214" t="s">
        <v>262</v>
      </c>
    </row>
    <row r="215" spans="1:5">
      <c r="A215" t="s">
        <v>341</v>
      </c>
      <c r="B215" t="s">
        <v>101</v>
      </c>
      <c r="C215">
        <v>1.2</v>
      </c>
      <c r="D215" t="s">
        <v>1035</v>
      </c>
      <c r="E215" t="s">
        <v>346</v>
      </c>
    </row>
    <row r="216" spans="1:5">
      <c r="A216" t="s">
        <v>341</v>
      </c>
      <c r="B216" t="s">
        <v>101</v>
      </c>
      <c r="C216">
        <v>0</v>
      </c>
      <c r="D216" t="s">
        <v>1036</v>
      </c>
      <c r="E216" t="s">
        <v>346</v>
      </c>
    </row>
    <row r="217" spans="1:5">
      <c r="A217" t="s">
        <v>341</v>
      </c>
      <c r="B217" t="s">
        <v>102</v>
      </c>
      <c r="C217">
        <v>3.3</v>
      </c>
      <c r="D217" t="s">
        <v>1037</v>
      </c>
      <c r="E217" t="s">
        <v>346</v>
      </c>
    </row>
    <row r="218" spans="1:5">
      <c r="A218" t="s">
        <v>341</v>
      </c>
      <c r="B218" t="s">
        <v>102</v>
      </c>
      <c r="C218">
        <v>2.5</v>
      </c>
      <c r="D218" t="s">
        <v>1038</v>
      </c>
      <c r="E218" t="s">
        <v>346</v>
      </c>
    </row>
    <row r="219" spans="1:5">
      <c r="A219" t="s">
        <v>341</v>
      </c>
      <c r="B219" t="s">
        <v>102</v>
      </c>
      <c r="C219">
        <v>1.8</v>
      </c>
      <c r="D219" t="s">
        <v>1039</v>
      </c>
      <c r="E219" t="s">
        <v>262</v>
      </c>
    </row>
    <row r="220" spans="1:5">
      <c r="A220" t="s">
        <v>341</v>
      </c>
      <c r="B220" t="s">
        <v>102</v>
      </c>
      <c r="C220">
        <v>1.5</v>
      </c>
      <c r="D220" t="s">
        <v>1040</v>
      </c>
      <c r="E220" t="s">
        <v>890</v>
      </c>
    </row>
    <row r="221" spans="1:5">
      <c r="A221" t="s">
        <v>341</v>
      </c>
      <c r="B221" t="s">
        <v>102</v>
      </c>
      <c r="C221">
        <v>1.2</v>
      </c>
      <c r="D221" t="s">
        <v>1041</v>
      </c>
      <c r="E221" t="s">
        <v>346</v>
      </c>
    </row>
    <row r="222" spans="1:5">
      <c r="A222" t="s">
        <v>341</v>
      </c>
      <c r="B222" t="s">
        <v>102</v>
      </c>
      <c r="C222">
        <v>0</v>
      </c>
      <c r="D222" t="s">
        <v>1042</v>
      </c>
      <c r="E222" t="s">
        <v>346</v>
      </c>
    </row>
    <row r="223" spans="1:5">
      <c r="A223" t="s">
        <v>342</v>
      </c>
      <c r="B223" t="s">
        <v>56</v>
      </c>
      <c r="C223">
        <v>3.3</v>
      </c>
      <c r="D223" t="s">
        <v>1043</v>
      </c>
      <c r="E223" t="s">
        <v>71</v>
      </c>
    </row>
    <row r="224" spans="1:5">
      <c r="A224" t="s">
        <v>342</v>
      </c>
      <c r="B224" t="s">
        <v>56</v>
      </c>
      <c r="C224">
        <v>2.5</v>
      </c>
      <c r="D224" t="s">
        <v>1044</v>
      </c>
      <c r="E224" t="s">
        <v>71</v>
      </c>
    </row>
    <row r="225" spans="1:5">
      <c r="A225" t="s">
        <v>342</v>
      </c>
      <c r="B225" t="s">
        <v>56</v>
      </c>
      <c r="C225">
        <v>1.8</v>
      </c>
      <c r="D225" t="s">
        <v>1045</v>
      </c>
      <c r="E225" t="s">
        <v>262</v>
      </c>
    </row>
    <row r="226" spans="1:5">
      <c r="A226" t="s">
        <v>342</v>
      </c>
      <c r="B226" t="s">
        <v>56</v>
      </c>
      <c r="C226">
        <v>1.5</v>
      </c>
      <c r="D226" t="s">
        <v>1046</v>
      </c>
      <c r="E226" t="s">
        <v>262</v>
      </c>
    </row>
    <row r="227" spans="1:5">
      <c r="A227" t="s">
        <v>342</v>
      </c>
      <c r="B227" t="s">
        <v>56</v>
      </c>
      <c r="C227">
        <v>1.2</v>
      </c>
      <c r="D227" t="s">
        <v>1047</v>
      </c>
      <c r="E227" t="s">
        <v>346</v>
      </c>
    </row>
    <row r="228" spans="1:5">
      <c r="A228" t="s">
        <v>342</v>
      </c>
      <c r="B228" t="s">
        <v>56</v>
      </c>
      <c r="C228">
        <v>0</v>
      </c>
      <c r="D228" t="s">
        <v>1048</v>
      </c>
      <c r="E228" t="s">
        <v>346</v>
      </c>
    </row>
    <row r="229" spans="1:5">
      <c r="A229" t="s">
        <v>342</v>
      </c>
      <c r="B229" t="s">
        <v>1446</v>
      </c>
      <c r="C229">
        <v>3.3</v>
      </c>
      <c r="D229" t="s">
        <v>1659</v>
      </c>
      <c r="E229" t="s">
        <v>71</v>
      </c>
    </row>
    <row r="230" spans="1:5">
      <c r="A230" t="s">
        <v>342</v>
      </c>
      <c r="B230" t="s">
        <v>1446</v>
      </c>
      <c r="C230">
        <v>2.5</v>
      </c>
      <c r="D230" t="s">
        <v>1660</v>
      </c>
      <c r="E230" t="s">
        <v>71</v>
      </c>
    </row>
    <row r="231" spans="1:5">
      <c r="A231" t="s">
        <v>342</v>
      </c>
      <c r="B231" t="s">
        <v>1446</v>
      </c>
      <c r="C231">
        <v>1.8</v>
      </c>
      <c r="D231" t="s">
        <v>1661</v>
      </c>
      <c r="E231" t="s">
        <v>262</v>
      </c>
    </row>
    <row r="232" spans="1:5">
      <c r="A232" t="s">
        <v>342</v>
      </c>
      <c r="B232" t="s">
        <v>1446</v>
      </c>
      <c r="C232">
        <v>1.5</v>
      </c>
      <c r="D232" t="s">
        <v>1662</v>
      </c>
      <c r="E232" t="s">
        <v>262</v>
      </c>
    </row>
    <row r="233" spans="1:5">
      <c r="A233" t="s">
        <v>342</v>
      </c>
      <c r="B233" t="s">
        <v>1446</v>
      </c>
      <c r="C233">
        <v>1.2</v>
      </c>
      <c r="D233" t="s">
        <v>1663</v>
      </c>
      <c r="E233" t="s">
        <v>346</v>
      </c>
    </row>
    <row r="234" spans="1:5">
      <c r="A234" t="s">
        <v>342</v>
      </c>
      <c r="B234" t="s">
        <v>1446</v>
      </c>
      <c r="C234">
        <v>0</v>
      </c>
      <c r="D234" t="s">
        <v>1664</v>
      </c>
      <c r="E234" t="s">
        <v>346</v>
      </c>
    </row>
    <row r="235" spans="1:5">
      <c r="A235" t="s">
        <v>342</v>
      </c>
      <c r="B235" t="s">
        <v>101</v>
      </c>
      <c r="C235">
        <v>3.3</v>
      </c>
      <c r="D235" t="s">
        <v>1049</v>
      </c>
      <c r="E235" t="s">
        <v>71</v>
      </c>
    </row>
    <row r="236" spans="1:5">
      <c r="A236" t="s">
        <v>342</v>
      </c>
      <c r="B236" t="s">
        <v>101</v>
      </c>
      <c r="C236">
        <v>2.5</v>
      </c>
      <c r="D236" t="s">
        <v>1050</v>
      </c>
      <c r="E236" t="s">
        <v>71</v>
      </c>
    </row>
    <row r="237" spans="1:5">
      <c r="A237" t="s">
        <v>342</v>
      </c>
      <c r="B237" t="s">
        <v>101</v>
      </c>
      <c r="C237">
        <v>1.8</v>
      </c>
      <c r="D237" t="s">
        <v>1051</v>
      </c>
      <c r="E237" t="s">
        <v>262</v>
      </c>
    </row>
    <row r="238" spans="1:5">
      <c r="A238" t="s">
        <v>342</v>
      </c>
      <c r="B238" t="s">
        <v>101</v>
      </c>
      <c r="C238">
        <v>1.5</v>
      </c>
      <c r="D238" t="s">
        <v>1052</v>
      </c>
      <c r="E238" t="s">
        <v>262</v>
      </c>
    </row>
    <row r="239" spans="1:5">
      <c r="A239" t="s">
        <v>342</v>
      </c>
      <c r="B239" t="s">
        <v>101</v>
      </c>
      <c r="C239">
        <v>1.2</v>
      </c>
      <c r="D239" t="s">
        <v>1053</v>
      </c>
      <c r="E239" t="s">
        <v>346</v>
      </c>
    </row>
    <row r="240" spans="1:5">
      <c r="A240" t="s">
        <v>342</v>
      </c>
      <c r="B240" t="s">
        <v>101</v>
      </c>
      <c r="C240">
        <v>0</v>
      </c>
      <c r="D240" t="s">
        <v>1054</v>
      </c>
      <c r="E240" t="s">
        <v>346</v>
      </c>
    </row>
    <row r="241" spans="1:5">
      <c r="A241" t="s">
        <v>342</v>
      </c>
      <c r="B241" t="s">
        <v>102</v>
      </c>
      <c r="C241">
        <v>3.3</v>
      </c>
      <c r="D241" t="s">
        <v>1055</v>
      </c>
      <c r="E241" t="s">
        <v>346</v>
      </c>
    </row>
    <row r="242" spans="1:5">
      <c r="A242" t="s">
        <v>342</v>
      </c>
      <c r="B242" t="s">
        <v>102</v>
      </c>
      <c r="C242">
        <v>2.5</v>
      </c>
      <c r="D242" t="s">
        <v>1056</v>
      </c>
      <c r="E242" t="s">
        <v>346</v>
      </c>
    </row>
    <row r="243" spans="1:5">
      <c r="A243" t="s">
        <v>342</v>
      </c>
      <c r="B243" t="s">
        <v>102</v>
      </c>
      <c r="C243">
        <v>1.8</v>
      </c>
      <c r="D243" t="s">
        <v>1057</v>
      </c>
      <c r="E243" t="s">
        <v>262</v>
      </c>
    </row>
    <row r="244" spans="1:5">
      <c r="A244" t="s">
        <v>342</v>
      </c>
      <c r="B244" t="s">
        <v>102</v>
      </c>
      <c r="C244">
        <v>1.5</v>
      </c>
      <c r="D244" t="s">
        <v>1058</v>
      </c>
      <c r="E244" t="s">
        <v>890</v>
      </c>
    </row>
    <row r="245" spans="1:5">
      <c r="A245" t="s">
        <v>342</v>
      </c>
      <c r="B245" t="s">
        <v>102</v>
      </c>
      <c r="C245">
        <v>1.2</v>
      </c>
      <c r="D245" t="s">
        <v>1059</v>
      </c>
      <c r="E245" t="s">
        <v>346</v>
      </c>
    </row>
    <row r="246" spans="1:5">
      <c r="A246" t="s">
        <v>342</v>
      </c>
      <c r="B246" t="s">
        <v>102</v>
      </c>
      <c r="C246">
        <v>0</v>
      </c>
      <c r="D246" t="s">
        <v>1060</v>
      </c>
      <c r="E246" t="s">
        <v>346</v>
      </c>
    </row>
    <row r="247" spans="1:5">
      <c r="A247" t="s">
        <v>343</v>
      </c>
      <c r="B247" t="s">
        <v>56</v>
      </c>
      <c r="C247">
        <v>3.3</v>
      </c>
      <c r="D247" t="s">
        <v>1061</v>
      </c>
      <c r="E247" t="s">
        <v>71</v>
      </c>
    </row>
    <row r="248" spans="1:5">
      <c r="A248" t="s">
        <v>343</v>
      </c>
      <c r="B248" t="s">
        <v>56</v>
      </c>
      <c r="C248">
        <v>2.5</v>
      </c>
      <c r="D248" t="s">
        <v>1062</v>
      </c>
      <c r="E248" t="s">
        <v>71</v>
      </c>
    </row>
    <row r="249" spans="1:5">
      <c r="A249" t="s">
        <v>343</v>
      </c>
      <c r="B249" t="s">
        <v>56</v>
      </c>
      <c r="C249">
        <v>1.8</v>
      </c>
      <c r="D249" t="s">
        <v>1063</v>
      </c>
      <c r="E249" t="s">
        <v>262</v>
      </c>
    </row>
    <row r="250" spans="1:5">
      <c r="A250" t="s">
        <v>343</v>
      </c>
      <c r="B250" t="s">
        <v>56</v>
      </c>
      <c r="C250">
        <v>1.5</v>
      </c>
      <c r="D250" t="s">
        <v>1064</v>
      </c>
      <c r="E250" t="s">
        <v>262</v>
      </c>
    </row>
    <row r="251" spans="1:5">
      <c r="A251" t="s">
        <v>343</v>
      </c>
      <c r="B251" t="s">
        <v>56</v>
      </c>
      <c r="C251">
        <v>1.2</v>
      </c>
      <c r="D251" t="s">
        <v>1065</v>
      </c>
      <c r="E251" t="s">
        <v>346</v>
      </c>
    </row>
    <row r="252" spans="1:5">
      <c r="A252" t="s">
        <v>343</v>
      </c>
      <c r="B252" t="s">
        <v>56</v>
      </c>
      <c r="C252">
        <v>0</v>
      </c>
      <c r="D252" t="s">
        <v>1066</v>
      </c>
      <c r="E252" t="s">
        <v>346</v>
      </c>
    </row>
    <row r="253" spans="1:5">
      <c r="A253" t="s">
        <v>343</v>
      </c>
      <c r="B253" t="s">
        <v>1446</v>
      </c>
      <c r="C253">
        <v>3.3</v>
      </c>
      <c r="D253" t="s">
        <v>1665</v>
      </c>
      <c r="E253" t="s">
        <v>71</v>
      </c>
    </row>
    <row r="254" spans="1:5">
      <c r="A254" t="s">
        <v>343</v>
      </c>
      <c r="B254" t="s">
        <v>1446</v>
      </c>
      <c r="C254">
        <v>2.5</v>
      </c>
      <c r="D254" t="s">
        <v>1666</v>
      </c>
      <c r="E254" t="s">
        <v>71</v>
      </c>
    </row>
    <row r="255" spans="1:5">
      <c r="A255" t="s">
        <v>343</v>
      </c>
      <c r="B255" t="s">
        <v>1446</v>
      </c>
      <c r="C255">
        <v>1.8</v>
      </c>
      <c r="D255" t="s">
        <v>1667</v>
      </c>
      <c r="E255" t="s">
        <v>262</v>
      </c>
    </row>
    <row r="256" spans="1:5">
      <c r="A256" t="s">
        <v>343</v>
      </c>
      <c r="B256" t="s">
        <v>1446</v>
      </c>
      <c r="C256">
        <v>1.5</v>
      </c>
      <c r="D256" t="s">
        <v>1668</v>
      </c>
      <c r="E256" t="s">
        <v>262</v>
      </c>
    </row>
    <row r="257" spans="1:5">
      <c r="A257" t="s">
        <v>343</v>
      </c>
      <c r="B257" t="s">
        <v>1446</v>
      </c>
      <c r="C257">
        <v>1.2</v>
      </c>
      <c r="D257" t="s">
        <v>1669</v>
      </c>
      <c r="E257" t="s">
        <v>346</v>
      </c>
    </row>
    <row r="258" spans="1:5">
      <c r="A258" t="s">
        <v>343</v>
      </c>
      <c r="B258" t="s">
        <v>1446</v>
      </c>
      <c r="C258">
        <v>0</v>
      </c>
      <c r="D258" t="s">
        <v>1670</v>
      </c>
      <c r="E258" t="s">
        <v>346</v>
      </c>
    </row>
    <row r="259" spans="1:5">
      <c r="A259" t="s">
        <v>343</v>
      </c>
      <c r="B259" t="s">
        <v>101</v>
      </c>
      <c r="C259">
        <v>3.3</v>
      </c>
      <c r="D259" t="s">
        <v>1067</v>
      </c>
      <c r="E259" t="s">
        <v>71</v>
      </c>
    </row>
    <row r="260" spans="1:5">
      <c r="A260" t="s">
        <v>343</v>
      </c>
      <c r="B260" t="s">
        <v>101</v>
      </c>
      <c r="C260">
        <v>2.5</v>
      </c>
      <c r="D260" t="s">
        <v>1068</v>
      </c>
      <c r="E260" t="s">
        <v>71</v>
      </c>
    </row>
    <row r="261" spans="1:5">
      <c r="A261" t="s">
        <v>343</v>
      </c>
      <c r="B261" t="s">
        <v>101</v>
      </c>
      <c r="C261">
        <v>1.8</v>
      </c>
      <c r="D261" t="s">
        <v>1069</v>
      </c>
      <c r="E261" t="s">
        <v>262</v>
      </c>
    </row>
    <row r="262" spans="1:5">
      <c r="A262" t="s">
        <v>343</v>
      </c>
      <c r="B262" t="s">
        <v>101</v>
      </c>
      <c r="C262">
        <v>1.5</v>
      </c>
      <c r="D262" t="s">
        <v>1070</v>
      </c>
      <c r="E262" t="s">
        <v>262</v>
      </c>
    </row>
    <row r="263" spans="1:5">
      <c r="A263" t="s">
        <v>343</v>
      </c>
      <c r="B263" t="s">
        <v>101</v>
      </c>
      <c r="C263">
        <v>1.2</v>
      </c>
      <c r="D263" t="s">
        <v>1071</v>
      </c>
      <c r="E263" t="s">
        <v>346</v>
      </c>
    </row>
    <row r="264" spans="1:5">
      <c r="A264" t="s">
        <v>343</v>
      </c>
      <c r="B264" t="s">
        <v>101</v>
      </c>
      <c r="C264">
        <v>0</v>
      </c>
      <c r="D264" t="s">
        <v>1072</v>
      </c>
      <c r="E264" t="s">
        <v>346</v>
      </c>
    </row>
    <row r="265" spans="1:5">
      <c r="A265" t="s">
        <v>343</v>
      </c>
      <c r="B265" t="s">
        <v>102</v>
      </c>
      <c r="C265">
        <v>3.3</v>
      </c>
      <c r="D265" t="s">
        <v>1073</v>
      </c>
      <c r="E265" t="s">
        <v>346</v>
      </c>
    </row>
    <row r="266" spans="1:5">
      <c r="A266" t="s">
        <v>343</v>
      </c>
      <c r="B266" t="s">
        <v>102</v>
      </c>
      <c r="C266">
        <v>2.5</v>
      </c>
      <c r="D266" t="s">
        <v>1074</v>
      </c>
      <c r="E266" t="s">
        <v>346</v>
      </c>
    </row>
    <row r="267" spans="1:5">
      <c r="A267" t="s">
        <v>343</v>
      </c>
      <c r="B267" t="s">
        <v>102</v>
      </c>
      <c r="C267">
        <v>1.8</v>
      </c>
      <c r="D267" t="s">
        <v>1075</v>
      </c>
      <c r="E267" t="s">
        <v>262</v>
      </c>
    </row>
    <row r="268" spans="1:5">
      <c r="A268" t="s">
        <v>343</v>
      </c>
      <c r="B268" t="s">
        <v>102</v>
      </c>
      <c r="C268">
        <v>1.5</v>
      </c>
      <c r="D268" t="s">
        <v>1076</v>
      </c>
      <c r="E268" t="s">
        <v>890</v>
      </c>
    </row>
    <row r="269" spans="1:5">
      <c r="A269" t="s">
        <v>343</v>
      </c>
      <c r="B269" t="s">
        <v>102</v>
      </c>
      <c r="C269">
        <v>1.2</v>
      </c>
      <c r="D269" t="s">
        <v>1077</v>
      </c>
      <c r="E269" t="s">
        <v>346</v>
      </c>
    </row>
    <row r="270" spans="1:5">
      <c r="A270" t="s">
        <v>343</v>
      </c>
      <c r="B270" t="s">
        <v>102</v>
      </c>
      <c r="C270">
        <v>0</v>
      </c>
      <c r="D270" t="s">
        <v>1078</v>
      </c>
      <c r="E270" t="s">
        <v>346</v>
      </c>
    </row>
    <row r="271" spans="1:5">
      <c r="A271" t="s">
        <v>344</v>
      </c>
      <c r="B271" t="s">
        <v>56</v>
      </c>
      <c r="C271">
        <v>3.3</v>
      </c>
      <c r="D271" t="s">
        <v>1079</v>
      </c>
      <c r="E271" t="s">
        <v>71</v>
      </c>
    </row>
    <row r="272" spans="1:5">
      <c r="A272" t="s">
        <v>344</v>
      </c>
      <c r="B272" t="s">
        <v>56</v>
      </c>
      <c r="C272">
        <v>2.5</v>
      </c>
      <c r="D272" t="s">
        <v>1080</v>
      </c>
      <c r="E272" t="s">
        <v>71</v>
      </c>
    </row>
    <row r="273" spans="1:5">
      <c r="A273" t="s">
        <v>344</v>
      </c>
      <c r="B273" t="s">
        <v>56</v>
      </c>
      <c r="C273">
        <v>1.8</v>
      </c>
      <c r="D273" t="s">
        <v>1081</v>
      </c>
      <c r="E273" t="s">
        <v>262</v>
      </c>
    </row>
    <row r="274" spans="1:5">
      <c r="A274" t="s">
        <v>344</v>
      </c>
      <c r="B274" t="s">
        <v>56</v>
      </c>
      <c r="C274">
        <v>1.5</v>
      </c>
      <c r="D274" t="s">
        <v>1082</v>
      </c>
      <c r="E274" t="s">
        <v>262</v>
      </c>
    </row>
    <row r="275" spans="1:5">
      <c r="A275" t="s">
        <v>344</v>
      </c>
      <c r="B275" t="s">
        <v>56</v>
      </c>
      <c r="C275">
        <v>1.2</v>
      </c>
      <c r="D275" t="s">
        <v>1083</v>
      </c>
      <c r="E275" t="s">
        <v>346</v>
      </c>
    </row>
    <row r="276" spans="1:5">
      <c r="A276" t="s">
        <v>344</v>
      </c>
      <c r="B276" t="s">
        <v>56</v>
      </c>
      <c r="C276">
        <v>0</v>
      </c>
      <c r="D276" t="s">
        <v>1084</v>
      </c>
      <c r="E276" t="s">
        <v>346</v>
      </c>
    </row>
    <row r="277" spans="1:5">
      <c r="A277" t="s">
        <v>344</v>
      </c>
      <c r="B277" t="s">
        <v>1446</v>
      </c>
      <c r="C277">
        <v>3.3</v>
      </c>
      <c r="D277" t="s">
        <v>1671</v>
      </c>
      <c r="E277" t="s">
        <v>71</v>
      </c>
    </row>
    <row r="278" spans="1:5">
      <c r="A278" t="s">
        <v>344</v>
      </c>
      <c r="B278" t="s">
        <v>1446</v>
      </c>
      <c r="C278">
        <v>2.5</v>
      </c>
      <c r="D278" t="s">
        <v>1672</v>
      </c>
      <c r="E278" t="s">
        <v>71</v>
      </c>
    </row>
    <row r="279" spans="1:5">
      <c r="A279" t="s">
        <v>344</v>
      </c>
      <c r="B279" t="s">
        <v>1446</v>
      </c>
      <c r="C279">
        <v>1.8</v>
      </c>
      <c r="D279" t="s">
        <v>1673</v>
      </c>
      <c r="E279" t="s">
        <v>262</v>
      </c>
    </row>
    <row r="280" spans="1:5">
      <c r="A280" t="s">
        <v>344</v>
      </c>
      <c r="B280" t="s">
        <v>1446</v>
      </c>
      <c r="C280">
        <v>1.5</v>
      </c>
      <c r="D280" t="s">
        <v>1674</v>
      </c>
      <c r="E280" t="s">
        <v>262</v>
      </c>
    </row>
    <row r="281" spans="1:5">
      <c r="A281" t="s">
        <v>344</v>
      </c>
      <c r="B281" t="s">
        <v>1446</v>
      </c>
      <c r="C281">
        <v>1.2</v>
      </c>
      <c r="D281" t="s">
        <v>1675</v>
      </c>
      <c r="E281" t="s">
        <v>346</v>
      </c>
    </row>
    <row r="282" spans="1:5">
      <c r="A282" t="s">
        <v>344</v>
      </c>
      <c r="B282" t="s">
        <v>1446</v>
      </c>
      <c r="C282">
        <v>0</v>
      </c>
      <c r="D282" t="s">
        <v>1676</v>
      </c>
      <c r="E282" t="s">
        <v>346</v>
      </c>
    </row>
    <row r="283" spans="1:5">
      <c r="A283" t="s">
        <v>344</v>
      </c>
      <c r="B283" t="s">
        <v>101</v>
      </c>
      <c r="C283">
        <v>3.3</v>
      </c>
      <c r="D283" t="s">
        <v>1085</v>
      </c>
      <c r="E283" t="s">
        <v>71</v>
      </c>
    </row>
    <row r="284" spans="1:5">
      <c r="A284" t="s">
        <v>344</v>
      </c>
      <c r="B284" t="s">
        <v>101</v>
      </c>
      <c r="C284">
        <v>2.5</v>
      </c>
      <c r="D284" t="s">
        <v>1086</v>
      </c>
      <c r="E284" t="s">
        <v>71</v>
      </c>
    </row>
    <row r="285" spans="1:5">
      <c r="A285" t="s">
        <v>344</v>
      </c>
      <c r="B285" t="s">
        <v>101</v>
      </c>
      <c r="C285">
        <v>1.8</v>
      </c>
      <c r="D285" t="s">
        <v>1087</v>
      </c>
      <c r="E285" t="s">
        <v>262</v>
      </c>
    </row>
    <row r="286" spans="1:5">
      <c r="A286" t="s">
        <v>344</v>
      </c>
      <c r="B286" t="s">
        <v>101</v>
      </c>
      <c r="C286">
        <v>1.5</v>
      </c>
      <c r="D286" t="s">
        <v>1088</v>
      </c>
      <c r="E286" t="s">
        <v>262</v>
      </c>
    </row>
    <row r="287" spans="1:5">
      <c r="A287" t="s">
        <v>344</v>
      </c>
      <c r="B287" t="s">
        <v>101</v>
      </c>
      <c r="C287">
        <v>1.2</v>
      </c>
      <c r="D287" t="s">
        <v>1089</v>
      </c>
      <c r="E287" t="s">
        <v>346</v>
      </c>
    </row>
    <row r="288" spans="1:5">
      <c r="A288" t="s">
        <v>344</v>
      </c>
      <c r="B288" t="s">
        <v>101</v>
      </c>
      <c r="C288">
        <v>0</v>
      </c>
      <c r="D288" t="s">
        <v>1090</v>
      </c>
      <c r="E288" t="s">
        <v>346</v>
      </c>
    </row>
    <row r="289" spans="1:5">
      <c r="A289" t="s">
        <v>344</v>
      </c>
      <c r="B289" t="s">
        <v>102</v>
      </c>
      <c r="C289">
        <v>3.3</v>
      </c>
      <c r="D289" t="s">
        <v>1091</v>
      </c>
      <c r="E289" t="s">
        <v>346</v>
      </c>
    </row>
    <row r="290" spans="1:5">
      <c r="A290" t="s">
        <v>344</v>
      </c>
      <c r="B290" t="s">
        <v>102</v>
      </c>
      <c r="C290">
        <v>2.5</v>
      </c>
      <c r="D290" t="s">
        <v>1092</v>
      </c>
      <c r="E290" t="s">
        <v>346</v>
      </c>
    </row>
    <row r="291" spans="1:5">
      <c r="A291" t="s">
        <v>344</v>
      </c>
      <c r="B291" t="s">
        <v>102</v>
      </c>
      <c r="C291">
        <v>1.8</v>
      </c>
      <c r="D291" t="s">
        <v>1093</v>
      </c>
      <c r="E291" t="s">
        <v>262</v>
      </c>
    </row>
    <row r="292" spans="1:5">
      <c r="A292" t="s">
        <v>344</v>
      </c>
      <c r="B292" t="s">
        <v>102</v>
      </c>
      <c r="C292">
        <v>1.5</v>
      </c>
      <c r="D292" t="s">
        <v>1094</v>
      </c>
      <c r="E292" t="s">
        <v>890</v>
      </c>
    </row>
    <row r="293" spans="1:5">
      <c r="A293" t="s">
        <v>344</v>
      </c>
      <c r="B293" t="s">
        <v>102</v>
      </c>
      <c r="C293">
        <v>1.2</v>
      </c>
      <c r="D293" t="s">
        <v>1095</v>
      </c>
      <c r="E293" t="s">
        <v>346</v>
      </c>
    </row>
    <row r="294" spans="1:5">
      <c r="A294" t="s">
        <v>344</v>
      </c>
      <c r="B294" t="s">
        <v>102</v>
      </c>
      <c r="C294">
        <v>0</v>
      </c>
      <c r="D294" t="s">
        <v>1096</v>
      </c>
      <c r="E294" t="s">
        <v>346</v>
      </c>
    </row>
    <row r="295" spans="1:5">
      <c r="A295" t="s">
        <v>345</v>
      </c>
      <c r="B295" t="s">
        <v>56</v>
      </c>
      <c r="C295">
        <v>3.3</v>
      </c>
      <c r="D295" t="s">
        <v>1097</v>
      </c>
      <c r="E295" t="s">
        <v>71</v>
      </c>
    </row>
    <row r="296" spans="1:5">
      <c r="A296" t="s">
        <v>345</v>
      </c>
      <c r="B296" t="s">
        <v>56</v>
      </c>
      <c r="C296">
        <v>2.5</v>
      </c>
      <c r="D296" t="s">
        <v>1098</v>
      </c>
      <c r="E296" t="s">
        <v>71</v>
      </c>
    </row>
    <row r="297" spans="1:5">
      <c r="A297" t="s">
        <v>345</v>
      </c>
      <c r="B297" t="s">
        <v>56</v>
      </c>
      <c r="C297">
        <v>1.8</v>
      </c>
      <c r="D297" t="s">
        <v>1099</v>
      </c>
      <c r="E297" t="s">
        <v>262</v>
      </c>
    </row>
    <row r="298" spans="1:5">
      <c r="A298" t="s">
        <v>345</v>
      </c>
      <c r="B298" t="s">
        <v>56</v>
      </c>
      <c r="C298">
        <v>1.5</v>
      </c>
      <c r="D298" t="s">
        <v>1100</v>
      </c>
      <c r="E298" t="s">
        <v>262</v>
      </c>
    </row>
    <row r="299" spans="1:5">
      <c r="A299" t="s">
        <v>345</v>
      </c>
      <c r="B299" t="s">
        <v>56</v>
      </c>
      <c r="C299">
        <v>1.2</v>
      </c>
      <c r="D299" t="s">
        <v>1101</v>
      </c>
      <c r="E299" t="s">
        <v>346</v>
      </c>
    </row>
    <row r="300" spans="1:5">
      <c r="A300" t="s">
        <v>345</v>
      </c>
      <c r="B300" t="s">
        <v>56</v>
      </c>
      <c r="C300">
        <v>0</v>
      </c>
      <c r="D300" t="s">
        <v>1102</v>
      </c>
      <c r="E300" t="s">
        <v>346</v>
      </c>
    </row>
    <row r="301" spans="1:5">
      <c r="A301" t="s">
        <v>345</v>
      </c>
      <c r="B301" t="s">
        <v>1446</v>
      </c>
      <c r="C301">
        <v>3.3</v>
      </c>
      <c r="D301" t="s">
        <v>1677</v>
      </c>
      <c r="E301" t="s">
        <v>71</v>
      </c>
    </row>
    <row r="302" spans="1:5">
      <c r="A302" t="s">
        <v>345</v>
      </c>
      <c r="B302" t="s">
        <v>1446</v>
      </c>
      <c r="C302">
        <v>2.5</v>
      </c>
      <c r="D302" t="s">
        <v>1678</v>
      </c>
      <c r="E302" t="s">
        <v>71</v>
      </c>
    </row>
    <row r="303" spans="1:5">
      <c r="A303" t="s">
        <v>345</v>
      </c>
      <c r="B303" t="s">
        <v>1446</v>
      </c>
      <c r="C303">
        <v>1.8</v>
      </c>
      <c r="D303" t="s">
        <v>1679</v>
      </c>
      <c r="E303" t="s">
        <v>262</v>
      </c>
    </row>
    <row r="304" spans="1:5">
      <c r="A304" t="s">
        <v>345</v>
      </c>
      <c r="B304" t="s">
        <v>1446</v>
      </c>
      <c r="C304">
        <v>1.5</v>
      </c>
      <c r="D304" t="s">
        <v>1680</v>
      </c>
      <c r="E304" t="s">
        <v>262</v>
      </c>
    </row>
    <row r="305" spans="1:5">
      <c r="A305" t="s">
        <v>345</v>
      </c>
      <c r="B305" t="s">
        <v>1446</v>
      </c>
      <c r="C305">
        <v>1.2</v>
      </c>
      <c r="D305" t="s">
        <v>1681</v>
      </c>
      <c r="E305" t="s">
        <v>346</v>
      </c>
    </row>
    <row r="306" spans="1:5">
      <c r="A306" t="s">
        <v>345</v>
      </c>
      <c r="B306" t="s">
        <v>1446</v>
      </c>
      <c r="C306">
        <v>0</v>
      </c>
      <c r="D306" t="s">
        <v>1682</v>
      </c>
      <c r="E306" t="s">
        <v>346</v>
      </c>
    </row>
    <row r="307" spans="1:5">
      <c r="A307" t="s">
        <v>345</v>
      </c>
      <c r="B307" t="s">
        <v>101</v>
      </c>
      <c r="C307">
        <v>3.3</v>
      </c>
      <c r="D307" t="s">
        <v>1103</v>
      </c>
      <c r="E307" t="s">
        <v>71</v>
      </c>
    </row>
    <row r="308" spans="1:5">
      <c r="A308" t="s">
        <v>345</v>
      </c>
      <c r="B308" t="s">
        <v>101</v>
      </c>
      <c r="C308">
        <v>2.5</v>
      </c>
      <c r="D308" t="s">
        <v>1104</v>
      </c>
      <c r="E308" t="s">
        <v>71</v>
      </c>
    </row>
    <row r="309" spans="1:5">
      <c r="A309" t="s">
        <v>345</v>
      </c>
      <c r="B309" t="s">
        <v>101</v>
      </c>
      <c r="C309">
        <v>1.8</v>
      </c>
      <c r="D309" t="s">
        <v>1105</v>
      </c>
      <c r="E309" t="s">
        <v>262</v>
      </c>
    </row>
    <row r="310" spans="1:5">
      <c r="A310" t="s">
        <v>345</v>
      </c>
      <c r="B310" t="s">
        <v>101</v>
      </c>
      <c r="C310">
        <v>1.5</v>
      </c>
      <c r="D310" t="s">
        <v>1106</v>
      </c>
      <c r="E310" t="s">
        <v>262</v>
      </c>
    </row>
    <row r="311" spans="1:5">
      <c r="A311" t="s">
        <v>345</v>
      </c>
      <c r="B311" t="s">
        <v>101</v>
      </c>
      <c r="C311">
        <v>1.2</v>
      </c>
      <c r="D311" t="s">
        <v>1107</v>
      </c>
      <c r="E311" t="s">
        <v>346</v>
      </c>
    </row>
    <row r="312" spans="1:5">
      <c r="A312" t="s">
        <v>345</v>
      </c>
      <c r="B312" t="s">
        <v>101</v>
      </c>
      <c r="C312">
        <v>0</v>
      </c>
      <c r="D312" t="s">
        <v>1108</v>
      </c>
      <c r="E312" t="s">
        <v>346</v>
      </c>
    </row>
    <row r="313" spans="1:5">
      <c r="A313" t="s">
        <v>345</v>
      </c>
      <c r="B313" t="s">
        <v>102</v>
      </c>
      <c r="C313">
        <v>3.3</v>
      </c>
      <c r="D313" t="s">
        <v>1109</v>
      </c>
      <c r="E313" t="s">
        <v>346</v>
      </c>
    </row>
    <row r="314" spans="1:5">
      <c r="A314" t="s">
        <v>345</v>
      </c>
      <c r="B314" t="s">
        <v>102</v>
      </c>
      <c r="C314">
        <v>2.5</v>
      </c>
      <c r="D314" t="s">
        <v>1110</v>
      </c>
      <c r="E314" t="s">
        <v>346</v>
      </c>
    </row>
    <row r="315" spans="1:5">
      <c r="A315" t="s">
        <v>345</v>
      </c>
      <c r="B315" t="s">
        <v>102</v>
      </c>
      <c r="C315">
        <v>1.8</v>
      </c>
      <c r="D315" t="s">
        <v>1111</v>
      </c>
      <c r="E315" t="s">
        <v>262</v>
      </c>
    </row>
    <row r="316" spans="1:5">
      <c r="A316" t="s">
        <v>345</v>
      </c>
      <c r="B316" t="s">
        <v>102</v>
      </c>
      <c r="C316">
        <v>1.5</v>
      </c>
      <c r="D316" t="s">
        <v>1112</v>
      </c>
      <c r="E316" t="s">
        <v>890</v>
      </c>
    </row>
    <row r="317" spans="1:5">
      <c r="A317" t="s">
        <v>345</v>
      </c>
      <c r="B317" t="s">
        <v>102</v>
      </c>
      <c r="C317">
        <v>1.2</v>
      </c>
      <c r="D317" t="s">
        <v>1113</v>
      </c>
      <c r="E317" t="s">
        <v>346</v>
      </c>
    </row>
    <row r="318" spans="1:5">
      <c r="A318" t="s">
        <v>345</v>
      </c>
      <c r="B318" t="s">
        <v>102</v>
      </c>
      <c r="C318">
        <v>0</v>
      </c>
      <c r="D318" t="s">
        <v>1114</v>
      </c>
      <c r="E318" t="s">
        <v>346</v>
      </c>
    </row>
    <row r="319" spans="1:5">
      <c r="A319" s="7" t="s">
        <v>1742</v>
      </c>
      <c r="B319" s="6" t="s">
        <v>350</v>
      </c>
      <c r="C319">
        <v>3.3</v>
      </c>
      <c r="D319" t="s">
        <v>1755</v>
      </c>
      <c r="E319" t="s">
        <v>71</v>
      </c>
    </row>
    <row r="320" spans="1:5">
      <c r="A320" s="7" t="s">
        <v>1742</v>
      </c>
      <c r="B320" s="6" t="s">
        <v>350</v>
      </c>
      <c r="C320">
        <v>2.5</v>
      </c>
      <c r="D320" t="s">
        <v>1756</v>
      </c>
      <c r="E320" t="s">
        <v>71</v>
      </c>
    </row>
    <row r="321" spans="1:5">
      <c r="A321" s="7" t="s">
        <v>1742</v>
      </c>
      <c r="B321" s="6" t="s">
        <v>350</v>
      </c>
      <c r="C321">
        <v>1.8</v>
      </c>
      <c r="D321" t="s">
        <v>1757</v>
      </c>
      <c r="E321" t="s">
        <v>262</v>
      </c>
    </row>
    <row r="322" spans="1:5">
      <c r="A322" s="7" t="s">
        <v>1742</v>
      </c>
      <c r="B322" s="6" t="s">
        <v>350</v>
      </c>
      <c r="C322">
        <v>1.5</v>
      </c>
      <c r="D322" t="s">
        <v>1758</v>
      </c>
      <c r="E322" t="s">
        <v>262</v>
      </c>
    </row>
    <row r="323" spans="1:5">
      <c r="A323" s="7" t="s">
        <v>1742</v>
      </c>
      <c r="B323" s="6" t="s">
        <v>350</v>
      </c>
      <c r="C323">
        <v>1.2</v>
      </c>
      <c r="D323" t="s">
        <v>1759</v>
      </c>
      <c r="E323" t="s">
        <v>346</v>
      </c>
    </row>
    <row r="324" spans="1:5">
      <c r="A324" s="7" t="s">
        <v>1742</v>
      </c>
      <c r="B324" s="6" t="s">
        <v>350</v>
      </c>
      <c r="C324">
        <v>0</v>
      </c>
      <c r="D324" t="s">
        <v>1760</v>
      </c>
      <c r="E324" t="s">
        <v>346</v>
      </c>
    </row>
    <row r="325" spans="1:5">
      <c r="A325" s="7" t="s">
        <v>1743</v>
      </c>
      <c r="B325" s="6" t="s">
        <v>350</v>
      </c>
      <c r="C325">
        <v>3.3</v>
      </c>
      <c r="D325" t="s">
        <v>1761</v>
      </c>
      <c r="E325" t="s">
        <v>71</v>
      </c>
    </row>
    <row r="326" spans="1:5">
      <c r="A326" s="7" t="s">
        <v>1743</v>
      </c>
      <c r="B326" s="6" t="s">
        <v>350</v>
      </c>
      <c r="C326">
        <v>2.5</v>
      </c>
      <c r="D326" t="s">
        <v>1762</v>
      </c>
      <c r="E326" t="s">
        <v>71</v>
      </c>
    </row>
    <row r="327" spans="1:5">
      <c r="A327" s="7" t="s">
        <v>1743</v>
      </c>
      <c r="B327" s="6" t="s">
        <v>350</v>
      </c>
      <c r="C327">
        <v>1.8</v>
      </c>
      <c r="D327" t="s">
        <v>1763</v>
      </c>
      <c r="E327" t="s">
        <v>262</v>
      </c>
    </row>
    <row r="328" spans="1:5">
      <c r="A328" s="7" t="s">
        <v>1743</v>
      </c>
      <c r="B328" s="6" t="s">
        <v>350</v>
      </c>
      <c r="C328">
        <v>1.5</v>
      </c>
      <c r="D328" t="s">
        <v>1764</v>
      </c>
      <c r="E328" t="s">
        <v>262</v>
      </c>
    </row>
    <row r="329" spans="1:5">
      <c r="A329" s="7" t="s">
        <v>1743</v>
      </c>
      <c r="B329" s="6" t="s">
        <v>350</v>
      </c>
      <c r="C329">
        <v>1.2</v>
      </c>
      <c r="D329" t="s">
        <v>1765</v>
      </c>
      <c r="E329" t="s">
        <v>346</v>
      </c>
    </row>
    <row r="330" spans="1:5">
      <c r="A330" s="7" t="s">
        <v>1743</v>
      </c>
      <c r="B330" s="6" t="s">
        <v>350</v>
      </c>
      <c r="C330">
        <v>0</v>
      </c>
      <c r="D330" t="s">
        <v>1766</v>
      </c>
      <c r="E330" t="s">
        <v>346</v>
      </c>
    </row>
    <row r="331" spans="1:5">
      <c r="A331" s="7" t="s">
        <v>1744</v>
      </c>
      <c r="B331" s="6" t="s">
        <v>350</v>
      </c>
      <c r="C331">
        <v>3.3</v>
      </c>
      <c r="D331" t="s">
        <v>1767</v>
      </c>
      <c r="E331" t="s">
        <v>71</v>
      </c>
    </row>
    <row r="332" spans="1:5">
      <c r="A332" s="7" t="s">
        <v>1744</v>
      </c>
      <c r="B332" s="6" t="s">
        <v>350</v>
      </c>
      <c r="C332">
        <v>2.5</v>
      </c>
      <c r="D332" t="s">
        <v>1768</v>
      </c>
      <c r="E332" t="s">
        <v>71</v>
      </c>
    </row>
    <row r="333" spans="1:5">
      <c r="A333" s="7" t="s">
        <v>1744</v>
      </c>
      <c r="B333" s="6" t="s">
        <v>350</v>
      </c>
      <c r="C333">
        <v>1.8</v>
      </c>
      <c r="D333" t="s">
        <v>1769</v>
      </c>
      <c r="E333" t="s">
        <v>262</v>
      </c>
    </row>
    <row r="334" spans="1:5">
      <c r="A334" s="7" t="s">
        <v>1744</v>
      </c>
      <c r="B334" s="6" t="s">
        <v>350</v>
      </c>
      <c r="C334">
        <v>1.5</v>
      </c>
      <c r="D334" t="s">
        <v>1770</v>
      </c>
      <c r="E334" t="s">
        <v>262</v>
      </c>
    </row>
    <row r="335" spans="1:5">
      <c r="A335" s="7" t="s">
        <v>1744</v>
      </c>
      <c r="B335" s="6" t="s">
        <v>350</v>
      </c>
      <c r="C335">
        <v>1.2</v>
      </c>
      <c r="D335" t="s">
        <v>1771</v>
      </c>
      <c r="E335" t="s">
        <v>346</v>
      </c>
    </row>
    <row r="336" spans="1:5">
      <c r="A336" s="7" t="s">
        <v>1744</v>
      </c>
      <c r="B336" s="6" t="s">
        <v>350</v>
      </c>
      <c r="C336">
        <v>0</v>
      </c>
      <c r="D336" t="s">
        <v>1772</v>
      </c>
      <c r="E336" t="s">
        <v>346</v>
      </c>
    </row>
    <row r="337" spans="1:5">
      <c r="A337" s="7" t="s">
        <v>1745</v>
      </c>
      <c r="B337" s="6" t="s">
        <v>350</v>
      </c>
      <c r="C337">
        <v>3.3</v>
      </c>
      <c r="D337" t="s">
        <v>1773</v>
      </c>
      <c r="E337" t="s">
        <v>71</v>
      </c>
    </row>
    <row r="338" spans="1:5">
      <c r="A338" s="7" t="s">
        <v>1745</v>
      </c>
      <c r="B338" s="6" t="s">
        <v>350</v>
      </c>
      <c r="C338">
        <v>2.5</v>
      </c>
      <c r="D338" t="s">
        <v>1774</v>
      </c>
      <c r="E338" t="s">
        <v>71</v>
      </c>
    </row>
    <row r="339" spans="1:5">
      <c r="A339" s="7" t="s">
        <v>1745</v>
      </c>
      <c r="B339" s="6" t="s">
        <v>350</v>
      </c>
      <c r="C339">
        <v>1.8</v>
      </c>
      <c r="D339" t="s">
        <v>1775</v>
      </c>
      <c r="E339" t="s">
        <v>262</v>
      </c>
    </row>
    <row r="340" spans="1:5">
      <c r="A340" s="7" t="s">
        <v>1745</v>
      </c>
      <c r="B340" s="6" t="s">
        <v>350</v>
      </c>
      <c r="C340">
        <v>1.5</v>
      </c>
      <c r="D340" t="s">
        <v>1776</v>
      </c>
      <c r="E340" t="s">
        <v>262</v>
      </c>
    </row>
    <row r="341" spans="1:5">
      <c r="A341" s="7" t="s">
        <v>1745</v>
      </c>
      <c r="B341" s="6" t="s">
        <v>350</v>
      </c>
      <c r="C341">
        <v>1.2</v>
      </c>
      <c r="D341" t="s">
        <v>1777</v>
      </c>
      <c r="E341" t="s">
        <v>346</v>
      </c>
    </row>
    <row r="342" spans="1:5">
      <c r="A342" s="7" t="s">
        <v>1745</v>
      </c>
      <c r="B342" s="6" t="s">
        <v>350</v>
      </c>
      <c r="C342">
        <v>0</v>
      </c>
      <c r="D342" t="s">
        <v>1778</v>
      </c>
      <c r="E342" t="s">
        <v>346</v>
      </c>
    </row>
    <row r="343" spans="1:5">
      <c r="A343" s="7" t="s">
        <v>1746</v>
      </c>
      <c r="B343" s="6" t="s">
        <v>350</v>
      </c>
      <c r="C343">
        <v>3.3</v>
      </c>
      <c r="D343" t="s">
        <v>1779</v>
      </c>
      <c r="E343" t="s">
        <v>71</v>
      </c>
    </row>
    <row r="344" spans="1:5">
      <c r="A344" s="7" t="s">
        <v>1746</v>
      </c>
      <c r="B344" s="6" t="s">
        <v>350</v>
      </c>
      <c r="C344">
        <v>2.5</v>
      </c>
      <c r="D344" t="s">
        <v>1780</v>
      </c>
      <c r="E344" t="s">
        <v>71</v>
      </c>
    </row>
    <row r="345" spans="1:5">
      <c r="A345" s="7" t="s">
        <v>1746</v>
      </c>
      <c r="B345" s="6" t="s">
        <v>350</v>
      </c>
      <c r="C345">
        <v>1.8</v>
      </c>
      <c r="D345" t="s">
        <v>1781</v>
      </c>
      <c r="E345" t="s">
        <v>262</v>
      </c>
    </row>
    <row r="346" spans="1:5">
      <c r="A346" s="7" t="s">
        <v>1746</v>
      </c>
      <c r="B346" s="6" t="s">
        <v>350</v>
      </c>
      <c r="C346">
        <v>1.5</v>
      </c>
      <c r="D346" t="s">
        <v>1782</v>
      </c>
      <c r="E346" t="s">
        <v>262</v>
      </c>
    </row>
    <row r="347" spans="1:5">
      <c r="A347" s="7" t="s">
        <v>1746</v>
      </c>
      <c r="B347" s="6" t="s">
        <v>350</v>
      </c>
      <c r="C347">
        <v>1.2</v>
      </c>
      <c r="D347" t="s">
        <v>1783</v>
      </c>
      <c r="E347" t="s">
        <v>346</v>
      </c>
    </row>
    <row r="348" spans="1:5">
      <c r="A348" s="7" t="s">
        <v>1746</v>
      </c>
      <c r="B348" s="6" t="s">
        <v>350</v>
      </c>
      <c r="C348">
        <v>0</v>
      </c>
      <c r="D348" t="s">
        <v>1784</v>
      </c>
      <c r="E348" t="s">
        <v>346</v>
      </c>
    </row>
    <row r="349" spans="1:5">
      <c r="A349" s="7" t="s">
        <v>1747</v>
      </c>
      <c r="B349" s="6" t="s">
        <v>350</v>
      </c>
      <c r="C349">
        <v>3.3</v>
      </c>
      <c r="D349" t="s">
        <v>1785</v>
      </c>
      <c r="E349" t="s">
        <v>71</v>
      </c>
    </row>
    <row r="350" spans="1:5">
      <c r="A350" s="7" t="s">
        <v>1747</v>
      </c>
      <c r="B350" s="6" t="s">
        <v>350</v>
      </c>
      <c r="C350">
        <v>2.5</v>
      </c>
      <c r="D350" t="s">
        <v>1786</v>
      </c>
      <c r="E350" t="s">
        <v>71</v>
      </c>
    </row>
    <row r="351" spans="1:5">
      <c r="A351" s="7" t="s">
        <v>1747</v>
      </c>
      <c r="B351" s="6" t="s">
        <v>350</v>
      </c>
      <c r="C351">
        <v>1.8</v>
      </c>
      <c r="D351" t="s">
        <v>1787</v>
      </c>
      <c r="E351" t="s">
        <v>262</v>
      </c>
    </row>
    <row r="352" spans="1:5">
      <c r="A352" s="7" t="s">
        <v>1747</v>
      </c>
      <c r="B352" s="6" t="s">
        <v>350</v>
      </c>
      <c r="C352">
        <v>1.5</v>
      </c>
      <c r="D352" t="s">
        <v>1788</v>
      </c>
      <c r="E352" t="s">
        <v>262</v>
      </c>
    </row>
    <row r="353" spans="1:5">
      <c r="A353" s="7" t="s">
        <v>1747</v>
      </c>
      <c r="B353" s="6" t="s">
        <v>350</v>
      </c>
      <c r="C353">
        <v>1.2</v>
      </c>
      <c r="D353" t="s">
        <v>1789</v>
      </c>
      <c r="E353" t="s">
        <v>346</v>
      </c>
    </row>
    <row r="354" spans="1:5">
      <c r="A354" s="7" t="s">
        <v>1747</v>
      </c>
      <c r="B354" s="6" t="s">
        <v>350</v>
      </c>
      <c r="C354">
        <v>0</v>
      </c>
      <c r="D354" t="s">
        <v>1790</v>
      </c>
      <c r="E354" t="s">
        <v>346</v>
      </c>
    </row>
    <row r="355" spans="1:5">
      <c r="A355" s="7" t="s">
        <v>1748</v>
      </c>
      <c r="B355" s="6" t="s">
        <v>350</v>
      </c>
      <c r="C355">
        <v>3.3</v>
      </c>
      <c r="D355" t="s">
        <v>1791</v>
      </c>
      <c r="E355" t="s">
        <v>71</v>
      </c>
    </row>
    <row r="356" spans="1:5">
      <c r="A356" s="7" t="s">
        <v>1748</v>
      </c>
      <c r="B356" s="6" t="s">
        <v>350</v>
      </c>
      <c r="C356">
        <v>2.5</v>
      </c>
      <c r="D356" t="s">
        <v>1792</v>
      </c>
      <c r="E356" t="s">
        <v>71</v>
      </c>
    </row>
    <row r="357" spans="1:5">
      <c r="A357" s="7" t="s">
        <v>1748</v>
      </c>
      <c r="B357" s="6" t="s">
        <v>350</v>
      </c>
      <c r="C357">
        <v>1.8</v>
      </c>
      <c r="D357" t="s">
        <v>1793</v>
      </c>
      <c r="E357" t="s">
        <v>262</v>
      </c>
    </row>
    <row r="358" spans="1:5">
      <c r="A358" s="7" t="s">
        <v>1748</v>
      </c>
      <c r="B358" s="6" t="s">
        <v>350</v>
      </c>
      <c r="C358">
        <v>1.5</v>
      </c>
      <c r="D358" t="s">
        <v>1794</v>
      </c>
      <c r="E358" t="s">
        <v>262</v>
      </c>
    </row>
    <row r="359" spans="1:5">
      <c r="A359" s="7" t="s">
        <v>1748</v>
      </c>
      <c r="B359" s="6" t="s">
        <v>350</v>
      </c>
      <c r="C359">
        <v>1.2</v>
      </c>
      <c r="D359" t="s">
        <v>1795</v>
      </c>
      <c r="E359" t="s">
        <v>346</v>
      </c>
    </row>
    <row r="360" spans="1:5">
      <c r="A360" s="7" t="s">
        <v>1748</v>
      </c>
      <c r="B360" s="6" t="s">
        <v>350</v>
      </c>
      <c r="C360">
        <v>0</v>
      </c>
      <c r="D360" t="s">
        <v>1796</v>
      </c>
      <c r="E360" t="s">
        <v>346</v>
      </c>
    </row>
    <row r="361" spans="1:5">
      <c r="A361" s="7" t="s">
        <v>1749</v>
      </c>
      <c r="B361" s="6" t="s">
        <v>350</v>
      </c>
      <c r="C361">
        <v>3.3</v>
      </c>
      <c r="D361" t="s">
        <v>1797</v>
      </c>
      <c r="E361" t="s">
        <v>71</v>
      </c>
    </row>
    <row r="362" spans="1:5">
      <c r="A362" s="7" t="s">
        <v>1749</v>
      </c>
      <c r="B362" s="6" t="s">
        <v>350</v>
      </c>
      <c r="C362">
        <v>2.5</v>
      </c>
      <c r="D362" t="s">
        <v>1798</v>
      </c>
      <c r="E362" t="s">
        <v>71</v>
      </c>
    </row>
    <row r="363" spans="1:5">
      <c r="A363" s="7" t="s">
        <v>1749</v>
      </c>
      <c r="B363" s="6" t="s">
        <v>350</v>
      </c>
      <c r="C363">
        <v>1.8</v>
      </c>
      <c r="D363" t="s">
        <v>1799</v>
      </c>
      <c r="E363" t="s">
        <v>262</v>
      </c>
    </row>
    <row r="364" spans="1:5">
      <c r="A364" s="7" t="s">
        <v>1749</v>
      </c>
      <c r="B364" s="6" t="s">
        <v>350</v>
      </c>
      <c r="C364">
        <v>1.5</v>
      </c>
      <c r="D364" t="s">
        <v>1800</v>
      </c>
      <c r="E364" t="s">
        <v>262</v>
      </c>
    </row>
    <row r="365" spans="1:5">
      <c r="A365" s="7" t="s">
        <v>1749</v>
      </c>
      <c r="B365" s="6" t="s">
        <v>350</v>
      </c>
      <c r="C365">
        <v>1.2</v>
      </c>
      <c r="D365" t="s">
        <v>1801</v>
      </c>
      <c r="E365" t="s">
        <v>346</v>
      </c>
    </row>
    <row r="366" spans="1:5">
      <c r="A366" s="7" t="s">
        <v>1749</v>
      </c>
      <c r="B366" s="6" t="s">
        <v>350</v>
      </c>
      <c r="C366">
        <v>0</v>
      </c>
      <c r="D366" t="s">
        <v>1802</v>
      </c>
      <c r="E366" t="s">
        <v>346</v>
      </c>
    </row>
    <row r="367" spans="1:5">
      <c r="A367" s="7" t="s">
        <v>1750</v>
      </c>
      <c r="B367" s="6" t="s">
        <v>350</v>
      </c>
      <c r="C367">
        <v>3.3</v>
      </c>
      <c r="D367" t="s">
        <v>1803</v>
      </c>
      <c r="E367" t="s">
        <v>71</v>
      </c>
    </row>
    <row r="368" spans="1:5">
      <c r="A368" s="7" t="s">
        <v>1750</v>
      </c>
      <c r="B368" s="6" t="s">
        <v>350</v>
      </c>
      <c r="C368">
        <v>2.5</v>
      </c>
      <c r="D368" t="s">
        <v>1804</v>
      </c>
      <c r="E368" t="s">
        <v>71</v>
      </c>
    </row>
    <row r="369" spans="1:5">
      <c r="A369" s="7" t="s">
        <v>1750</v>
      </c>
      <c r="B369" s="6" t="s">
        <v>350</v>
      </c>
      <c r="C369">
        <v>1.8</v>
      </c>
      <c r="D369" t="s">
        <v>1805</v>
      </c>
      <c r="E369" t="s">
        <v>262</v>
      </c>
    </row>
    <row r="370" spans="1:5">
      <c r="A370" s="7" t="s">
        <v>1750</v>
      </c>
      <c r="B370" s="6" t="s">
        <v>350</v>
      </c>
      <c r="C370">
        <v>1.5</v>
      </c>
      <c r="D370" t="s">
        <v>1806</v>
      </c>
      <c r="E370" t="s">
        <v>262</v>
      </c>
    </row>
    <row r="371" spans="1:5">
      <c r="A371" s="7" t="s">
        <v>1750</v>
      </c>
      <c r="B371" s="6" t="s">
        <v>350</v>
      </c>
      <c r="C371">
        <v>1.2</v>
      </c>
      <c r="D371" t="s">
        <v>1807</v>
      </c>
      <c r="E371" t="s">
        <v>346</v>
      </c>
    </row>
    <row r="372" spans="1:5">
      <c r="A372" s="7" t="s">
        <v>1750</v>
      </c>
      <c r="B372" s="6" t="s">
        <v>350</v>
      </c>
      <c r="C372">
        <v>0</v>
      </c>
      <c r="D372" t="s">
        <v>1808</v>
      </c>
      <c r="E372" t="s">
        <v>346</v>
      </c>
    </row>
  </sheetData>
  <phoneticPr fontId="27"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46"/>
  <sheetViews>
    <sheetView topLeftCell="A4" zoomScale="80" zoomScaleNormal="80" workbookViewId="0">
      <selection activeCell="B14" sqref="B14"/>
    </sheetView>
  </sheetViews>
  <sheetFormatPr defaultRowHeight="12.75"/>
  <cols>
    <col min="1" max="1" width="27.5703125" customWidth="1"/>
    <col min="2" max="2" width="36.5703125" customWidth="1"/>
    <col min="3" max="3" width="59" customWidth="1"/>
  </cols>
  <sheetData>
    <row r="1" spans="1:3">
      <c r="A1" s="23" t="s">
        <v>176</v>
      </c>
      <c r="B1" s="22" t="s">
        <v>157</v>
      </c>
      <c r="C1" s="23" t="s">
        <v>206</v>
      </c>
    </row>
    <row r="2" spans="1:3" ht="102">
      <c r="A2" s="5" t="s">
        <v>117</v>
      </c>
      <c r="B2" s="24"/>
      <c r="C2" s="3" t="s">
        <v>1259</v>
      </c>
    </row>
    <row r="3" spans="1:3" ht="114.75">
      <c r="A3" s="5" t="s">
        <v>105</v>
      </c>
      <c r="B3" s="24"/>
      <c r="C3" s="3" t="s">
        <v>1260</v>
      </c>
    </row>
    <row r="4" spans="1:3">
      <c r="A4" s="25" t="s">
        <v>118</v>
      </c>
      <c r="B4" s="24"/>
      <c r="C4" s="3"/>
    </row>
    <row r="5" spans="1:3" ht="51">
      <c r="A5" s="5" t="s">
        <v>66</v>
      </c>
      <c r="B5" s="24"/>
      <c r="C5" s="5" t="s">
        <v>1434</v>
      </c>
    </row>
    <row r="6" spans="1:3">
      <c r="A6" s="5"/>
      <c r="B6" s="24"/>
    </row>
    <row r="7" spans="1:3">
      <c r="A7" s="5" t="s">
        <v>115</v>
      </c>
      <c r="B7" s="4"/>
      <c r="C7" s="28"/>
    </row>
    <row r="8" spans="1:3">
      <c r="A8" s="5" t="s">
        <v>163</v>
      </c>
      <c r="B8" s="24"/>
      <c r="C8" s="28"/>
    </row>
    <row r="9" spans="1:3">
      <c r="A9" s="5" t="s">
        <v>164</v>
      </c>
      <c r="B9" s="24"/>
      <c r="C9" s="28"/>
    </row>
    <row r="10" spans="1:3" ht="114.75">
      <c r="A10" s="5"/>
      <c r="B10" s="24"/>
      <c r="C10" s="5" t="s">
        <v>1274</v>
      </c>
    </row>
    <row r="11" spans="1:3" ht="114.75">
      <c r="A11" s="5"/>
      <c r="B11" s="24"/>
      <c r="C11" s="5" t="s">
        <v>1274</v>
      </c>
    </row>
    <row r="12" spans="1:3" ht="102">
      <c r="A12" s="5" t="s">
        <v>3</v>
      </c>
      <c r="B12" s="27" t="s">
        <v>44</v>
      </c>
      <c r="C12" s="50"/>
    </row>
    <row r="13" spans="1:3">
      <c r="A13" s="5" t="s">
        <v>353</v>
      </c>
      <c r="B13" s="25" t="s">
        <v>1740</v>
      </c>
    </row>
    <row r="14" spans="1:3" ht="25.5">
      <c r="A14" s="5" t="s">
        <v>72</v>
      </c>
      <c r="B14" s="24"/>
      <c r="C14" s="5" t="s">
        <v>563</v>
      </c>
    </row>
    <row r="15" spans="1:3" ht="96" customHeight="1">
      <c r="A15" s="5" t="s">
        <v>120</v>
      </c>
      <c r="B15" s="4" t="s">
        <v>564</v>
      </c>
      <c r="C15" s="5" t="s">
        <v>119</v>
      </c>
    </row>
    <row r="16" spans="1:3" ht="15.75">
      <c r="A16" s="3" t="s">
        <v>121</v>
      </c>
      <c r="B16" s="26" t="s">
        <v>104</v>
      </c>
      <c r="C16" s="7" t="s">
        <v>565</v>
      </c>
    </row>
    <row r="17" spans="1:5" ht="149.25">
      <c r="A17" s="3" t="s">
        <v>114</v>
      </c>
      <c r="B17" s="5" t="s">
        <v>830</v>
      </c>
      <c r="C17" s="5" t="s">
        <v>566</v>
      </c>
    </row>
    <row r="25" spans="1:5">
      <c r="E25" t="str">
        <f>B25 &amp; " " &amp; B26 &amp; " " &amp; B27 &amp; " " &amp; B28 &amp; " " &amp; B29 &amp; " " &amp; B30 &amp; " " &amp; B31 &amp; " " &amp; B32 &amp; " " &amp; B33 &amp; " " &amp; B34 &amp; " " &amp; B35 &amp; " " &amp; B36 &amp; " " &amp; B37 &amp; " " &amp; B38 &amp; " " &amp; B39 &amp; " " &amp; B40 &amp; " " &amp; B41 &amp; " " &amp; B42 &amp; " " &amp; B43 &amp; " " &amp; B44</f>
        <v xml:space="preserve">                   </v>
      </c>
    </row>
    <row r="46" spans="2:2">
      <c r="B46" s="1"/>
    </row>
  </sheetData>
  <phoneticPr fontId="30" type="noConversion"/>
  <pageMargins left="0.7" right="0.7" top="0.75" bottom="0.75" header="0.3" footer="0.3"/>
  <pageSetup orientation="landscape"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9"/>
  <sheetViews>
    <sheetView workbookViewId="0">
      <selection activeCell="B10" sqref="B10"/>
    </sheetView>
  </sheetViews>
  <sheetFormatPr defaultRowHeight="12.75"/>
  <cols>
    <col min="1" max="1" width="14.140625" bestFit="1" customWidth="1"/>
    <col min="2" max="2" width="85.28515625" customWidth="1"/>
    <col min="3" max="3" width="30.7109375" customWidth="1"/>
  </cols>
  <sheetData>
    <row r="1" spans="1:3">
      <c r="A1" s="66" t="s">
        <v>176</v>
      </c>
      <c r="B1" s="67" t="s">
        <v>157</v>
      </c>
      <c r="C1" s="66" t="s">
        <v>206</v>
      </c>
    </row>
    <row r="2" spans="1:3" ht="105">
      <c r="A2" s="68" t="s">
        <v>145</v>
      </c>
      <c r="B2" s="69" t="s">
        <v>1230</v>
      </c>
      <c r="C2" s="70" t="s">
        <v>219</v>
      </c>
    </row>
    <row r="3" spans="1:3" ht="65.25">
      <c r="A3" s="68" t="s">
        <v>146</v>
      </c>
      <c r="B3" s="69" t="s">
        <v>650</v>
      </c>
      <c r="C3" s="71" t="s">
        <v>220</v>
      </c>
    </row>
    <row r="4" spans="1:3" ht="90.75">
      <c r="A4" s="68" t="s">
        <v>147</v>
      </c>
      <c r="B4" s="69" t="s">
        <v>1231</v>
      </c>
      <c r="C4" s="71"/>
    </row>
    <row r="5" spans="1:3" ht="52.5">
      <c r="A5" s="68" t="s">
        <v>148</v>
      </c>
      <c r="B5" s="69" t="s">
        <v>651</v>
      </c>
      <c r="C5" s="71" t="s">
        <v>231</v>
      </c>
    </row>
    <row r="6" spans="1:3" ht="38.25">
      <c r="A6" s="68" t="s">
        <v>149</v>
      </c>
      <c r="B6" s="69" t="s">
        <v>221</v>
      </c>
      <c r="C6" s="71" t="s">
        <v>231</v>
      </c>
    </row>
    <row r="7" spans="1:3" ht="38.25">
      <c r="A7" s="68" t="s">
        <v>150</v>
      </c>
      <c r="B7" s="69" t="s">
        <v>222</v>
      </c>
      <c r="C7" s="71" t="s">
        <v>231</v>
      </c>
    </row>
    <row r="8" spans="1:3" ht="52.5">
      <c r="A8" s="68" t="s">
        <v>331</v>
      </c>
      <c r="B8" s="69" t="s">
        <v>561</v>
      </c>
      <c r="C8" s="71" t="s">
        <v>649</v>
      </c>
    </row>
    <row r="9" spans="1:3" ht="52.5">
      <c r="A9" s="68" t="s">
        <v>332</v>
      </c>
      <c r="B9" s="69" t="s">
        <v>562</v>
      </c>
      <c r="C9" s="71" t="s">
        <v>649</v>
      </c>
    </row>
  </sheetData>
  <phoneticPr fontId="28" type="noConversion"/>
  <pageMargins left="0.7" right="0.7" top="0.75" bottom="0.75" header="0.3" footer="0.3"/>
  <pageSetup orientation="landscape"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2:B20"/>
  <sheetViews>
    <sheetView workbookViewId="0">
      <selection activeCell="B21" sqref="B21"/>
    </sheetView>
  </sheetViews>
  <sheetFormatPr defaultRowHeight="12.75"/>
  <cols>
    <col min="1" max="1" width="47.5703125" bestFit="1" customWidth="1"/>
  </cols>
  <sheetData>
    <row r="2" spans="1:2">
      <c r="A2" s="6" t="s">
        <v>323</v>
      </c>
      <c r="B2" t="s">
        <v>570</v>
      </c>
    </row>
    <row r="3" spans="1:2">
      <c r="A3" s="6" t="s">
        <v>322</v>
      </c>
      <c r="B3" s="6" t="s">
        <v>571</v>
      </c>
    </row>
    <row r="4" spans="1:2">
      <c r="A4" t="s">
        <v>315</v>
      </c>
      <c r="B4" t="s">
        <v>312</v>
      </c>
    </row>
    <row r="5" spans="1:2">
      <c r="A5" t="s">
        <v>314</v>
      </c>
      <c r="B5" s="6" t="s">
        <v>567</v>
      </c>
    </row>
    <row r="6" spans="1:2">
      <c r="A6" t="s">
        <v>313</v>
      </c>
      <c r="B6" t="s">
        <v>569</v>
      </c>
    </row>
    <row r="7" spans="1:2">
      <c r="A7" t="s">
        <v>316</v>
      </c>
      <c r="B7" t="s">
        <v>572</v>
      </c>
    </row>
    <row r="8" spans="1:2">
      <c r="A8" t="s">
        <v>317</v>
      </c>
      <c r="B8" t="s">
        <v>568</v>
      </c>
    </row>
    <row r="9" spans="1:2">
      <c r="A9" s="6" t="s">
        <v>209</v>
      </c>
      <c r="B9" s="6" t="s">
        <v>573</v>
      </c>
    </row>
    <row r="10" spans="1:2">
      <c r="A10" s="6" t="s">
        <v>321</v>
      </c>
      <c r="B10" s="6" t="s">
        <v>579</v>
      </c>
    </row>
    <row r="11" spans="1:2">
      <c r="A11" s="6" t="s">
        <v>320</v>
      </c>
      <c r="B11" s="6" t="s">
        <v>574</v>
      </c>
    </row>
    <row r="12" spans="1:2">
      <c r="A12" s="6" t="s">
        <v>326</v>
      </c>
      <c r="B12" s="6" t="s">
        <v>575</v>
      </c>
    </row>
    <row r="13" spans="1:2">
      <c r="A13" s="6" t="s">
        <v>324</v>
      </c>
      <c r="B13" s="6" t="s">
        <v>576</v>
      </c>
    </row>
    <row r="14" spans="1:2">
      <c r="A14" s="6" t="s">
        <v>325</v>
      </c>
      <c r="B14" s="6" t="s">
        <v>577</v>
      </c>
    </row>
    <row r="15" spans="1:2">
      <c r="A15" s="6" t="s">
        <v>347</v>
      </c>
      <c r="B15" s="6" t="s">
        <v>578</v>
      </c>
    </row>
    <row r="16" spans="1:2">
      <c r="A16" s="6" t="s">
        <v>348</v>
      </c>
      <c r="B16" s="6" t="s">
        <v>865</v>
      </c>
    </row>
    <row r="17" spans="1:2">
      <c r="A17" s="6" t="s">
        <v>489</v>
      </c>
      <c r="B17" t="s">
        <v>580</v>
      </c>
    </row>
    <row r="18" spans="1:2">
      <c r="A18" s="6" t="s">
        <v>490</v>
      </c>
      <c r="B18" t="s">
        <v>581</v>
      </c>
    </row>
    <row r="19" spans="1:2">
      <c r="A19" s="6" t="s">
        <v>491</v>
      </c>
      <c r="B19" t="s">
        <v>582</v>
      </c>
    </row>
    <row r="20" spans="1:2">
      <c r="A20" s="6" t="s">
        <v>864</v>
      </c>
      <c r="B20" s="6" t="s">
        <v>866</v>
      </c>
    </row>
  </sheetData>
  <pageMargins left="0.7" right="0.7" top="0.75" bottom="0.75" header="0.3" footer="0.3"/>
  <pageSetup orientation="landscape"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27"/>
  <sheetViews>
    <sheetView topLeftCell="A2" zoomScale="130" zoomScaleNormal="130" workbookViewId="0">
      <selection activeCell="B4" sqref="B4"/>
    </sheetView>
  </sheetViews>
  <sheetFormatPr defaultColWidth="9.140625" defaultRowHeight="12.75"/>
  <cols>
    <col min="1" max="1" width="21.5703125" style="45" bestFit="1" customWidth="1"/>
    <col min="2" max="2" width="109" style="45" customWidth="1"/>
    <col min="3" max="3" width="25.7109375" style="45" bestFit="1" customWidth="1"/>
    <col min="4" max="16384" width="9.140625" style="45"/>
  </cols>
  <sheetData>
    <row r="1" spans="1:4">
      <c r="A1" s="66" t="s">
        <v>176</v>
      </c>
      <c r="B1" s="67" t="s">
        <v>157</v>
      </c>
      <c r="C1" s="66" t="s">
        <v>206</v>
      </c>
    </row>
    <row r="2" spans="1:4" ht="89.25">
      <c r="A2" s="44" t="s">
        <v>254</v>
      </c>
      <c r="B2" s="44" t="s">
        <v>778</v>
      </c>
      <c r="C2" s="45" t="s">
        <v>231</v>
      </c>
    </row>
    <row r="3" spans="1:4" ht="76.5">
      <c r="A3" s="46" t="s">
        <v>255</v>
      </c>
      <c r="B3" s="44" t="s">
        <v>1442</v>
      </c>
      <c r="C3" s="45" t="s">
        <v>231</v>
      </c>
    </row>
    <row r="4" spans="1:4" ht="51">
      <c r="A4" s="44" t="s">
        <v>256</v>
      </c>
      <c r="B4" s="44" t="s">
        <v>1149</v>
      </c>
      <c r="C4" s="45" t="s">
        <v>231</v>
      </c>
    </row>
    <row r="5" spans="1:4">
      <c r="A5" s="46" t="s">
        <v>257</v>
      </c>
      <c r="B5" s="44" t="s">
        <v>488</v>
      </c>
      <c r="C5" s="47" t="s">
        <v>231</v>
      </c>
      <c r="D5" s="47"/>
    </row>
    <row r="6" spans="1:4" ht="38.25">
      <c r="A6" s="46" t="s">
        <v>258</v>
      </c>
      <c r="B6" s="44" t="s">
        <v>503</v>
      </c>
      <c r="C6" s="47" t="s">
        <v>231</v>
      </c>
      <c r="D6" s="47"/>
    </row>
    <row r="7" spans="1:4" ht="165.75">
      <c r="A7" s="44" t="s">
        <v>648</v>
      </c>
      <c r="B7" s="44" t="s">
        <v>1125</v>
      </c>
      <c r="C7" s="47" t="s">
        <v>231</v>
      </c>
      <c r="D7" s="47"/>
    </row>
    <row r="8" spans="1:4" ht="165.75">
      <c r="A8" s="46" t="s">
        <v>259</v>
      </c>
      <c r="B8" s="44" t="s">
        <v>1126</v>
      </c>
      <c r="C8" s="47" t="s">
        <v>231</v>
      </c>
      <c r="D8" s="47"/>
    </row>
    <row r="9" spans="1:4">
      <c r="A9" s="46" t="s">
        <v>260</v>
      </c>
      <c r="B9" s="44" t="s">
        <v>488</v>
      </c>
      <c r="C9" s="47" t="s">
        <v>231</v>
      </c>
      <c r="D9" s="47"/>
    </row>
    <row r="10" spans="1:4">
      <c r="A10" s="46"/>
      <c r="B10" s="47"/>
      <c r="C10" s="47"/>
      <c r="D10" s="47"/>
    </row>
    <row r="11" spans="1:4">
      <c r="A11" s="46"/>
      <c r="B11" s="47"/>
      <c r="C11" s="47"/>
      <c r="D11" s="47"/>
    </row>
    <row r="12" spans="1:4">
      <c r="A12" s="46"/>
      <c r="B12" s="47"/>
      <c r="C12" s="47"/>
      <c r="D12" s="47"/>
    </row>
    <row r="13" spans="1:4">
      <c r="A13" s="46"/>
      <c r="B13" s="47"/>
      <c r="C13" s="47"/>
      <c r="D13" s="47"/>
    </row>
    <row r="14" spans="1:4">
      <c r="A14" s="46"/>
      <c r="B14" s="47"/>
      <c r="C14" s="47"/>
      <c r="D14" s="47"/>
    </row>
    <row r="15" spans="1:4">
      <c r="A15" s="46"/>
      <c r="B15" s="47"/>
      <c r="C15" s="47"/>
      <c r="D15" s="47"/>
    </row>
    <row r="16" spans="1:4">
      <c r="A16" s="46"/>
      <c r="B16" s="47"/>
    </row>
    <row r="17" spans="1:2">
      <c r="A17" s="46"/>
      <c r="B17" s="47"/>
    </row>
    <row r="18" spans="1:2">
      <c r="A18" s="46"/>
      <c r="B18" s="47"/>
    </row>
    <row r="19" spans="1:2">
      <c r="A19" s="46"/>
      <c r="B19" s="47"/>
    </row>
    <row r="20" spans="1:2">
      <c r="A20" s="46"/>
      <c r="B20" s="47"/>
    </row>
    <row r="21" spans="1:2">
      <c r="A21" s="47"/>
      <c r="B21" s="47"/>
    </row>
    <row r="22" spans="1:2">
      <c r="A22" s="47"/>
      <c r="B22" s="47"/>
    </row>
    <row r="23" spans="1:2">
      <c r="A23" s="47"/>
      <c r="B23" s="47"/>
    </row>
    <row r="24" spans="1:2">
      <c r="A24" s="47"/>
      <c r="B24" s="47"/>
    </row>
    <row r="25" spans="1:2">
      <c r="A25" s="47"/>
      <c r="B25" s="47"/>
    </row>
    <row r="26" spans="1:2">
      <c r="A26" s="47"/>
      <c r="B26" s="47"/>
    </row>
    <row r="27" spans="1:2">
      <c r="A27" s="47"/>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D27"/>
  <sheetViews>
    <sheetView zoomScaleNormal="100" workbookViewId="0">
      <selection activeCell="B3" sqref="B3"/>
    </sheetView>
  </sheetViews>
  <sheetFormatPr defaultColWidth="9.140625" defaultRowHeight="12.75"/>
  <cols>
    <col min="1" max="1" width="21.5703125" style="45" bestFit="1" customWidth="1"/>
    <col min="2" max="2" width="109" style="45" customWidth="1"/>
    <col min="3" max="3" width="25.7109375" style="45" bestFit="1" customWidth="1"/>
    <col min="4" max="16384" width="9.140625" style="45"/>
  </cols>
  <sheetData>
    <row r="1" spans="1:4">
      <c r="A1" s="66" t="s">
        <v>176</v>
      </c>
      <c r="B1" s="67" t="s">
        <v>157</v>
      </c>
      <c r="C1" s="66" t="s">
        <v>206</v>
      </c>
    </row>
    <row r="2" spans="1:4" ht="102">
      <c r="A2" s="44" t="s">
        <v>254</v>
      </c>
      <c r="B2" s="44" t="s">
        <v>504</v>
      </c>
      <c r="C2" s="45" t="s">
        <v>231</v>
      </c>
    </row>
    <row r="3" spans="1:4" ht="76.5">
      <c r="A3" s="46" t="s">
        <v>255</v>
      </c>
      <c r="B3" s="44" t="s">
        <v>1441</v>
      </c>
      <c r="C3" s="45" t="s">
        <v>231</v>
      </c>
    </row>
    <row r="4" spans="1:4" ht="51">
      <c r="A4" s="44" t="s">
        <v>256</v>
      </c>
      <c r="B4" s="44" t="s">
        <v>1149</v>
      </c>
      <c r="C4" s="45" t="s">
        <v>231</v>
      </c>
    </row>
    <row r="5" spans="1:4" ht="51">
      <c r="A5" s="46" t="s">
        <v>257</v>
      </c>
      <c r="B5" s="44" t="s">
        <v>505</v>
      </c>
      <c r="C5" s="47" t="s">
        <v>231</v>
      </c>
      <c r="D5" s="47"/>
    </row>
    <row r="6" spans="1:4" ht="51">
      <c r="A6" s="46" t="s">
        <v>258</v>
      </c>
      <c r="B6" s="44" t="s">
        <v>506</v>
      </c>
      <c r="C6" s="47" t="s">
        <v>231</v>
      </c>
      <c r="D6" s="47"/>
    </row>
    <row r="7" spans="1:4" ht="178.5">
      <c r="A7" s="44" t="s">
        <v>648</v>
      </c>
      <c r="B7" s="44" t="s">
        <v>507</v>
      </c>
      <c r="C7" s="47" t="s">
        <v>231</v>
      </c>
      <c r="D7" s="47"/>
    </row>
    <row r="8" spans="1:4" ht="165.75">
      <c r="A8" s="46" t="s">
        <v>259</v>
      </c>
      <c r="B8" s="44" t="s">
        <v>508</v>
      </c>
      <c r="C8" s="47" t="s">
        <v>231</v>
      </c>
      <c r="D8" s="47"/>
    </row>
    <row r="9" spans="1:4" ht="201.75" customHeight="1">
      <c r="A9" s="46" t="s">
        <v>260</v>
      </c>
      <c r="B9" s="44" t="s">
        <v>509</v>
      </c>
      <c r="C9" s="47" t="s">
        <v>231</v>
      </c>
      <c r="D9" s="47"/>
    </row>
    <row r="10" spans="1:4">
      <c r="A10" s="46"/>
      <c r="B10" s="47"/>
      <c r="C10" s="47"/>
      <c r="D10" s="47"/>
    </row>
    <row r="11" spans="1:4">
      <c r="A11" s="46"/>
      <c r="B11" s="47"/>
      <c r="C11" s="47"/>
      <c r="D11" s="47"/>
    </row>
    <row r="12" spans="1:4">
      <c r="A12" s="46"/>
      <c r="B12" s="47"/>
      <c r="C12" s="47"/>
      <c r="D12" s="47"/>
    </row>
    <row r="13" spans="1:4">
      <c r="A13" s="46"/>
      <c r="B13" s="47"/>
      <c r="C13" s="47"/>
      <c r="D13" s="47"/>
    </row>
    <row r="14" spans="1:4">
      <c r="A14" s="46"/>
      <c r="B14" s="47"/>
      <c r="C14" s="47"/>
      <c r="D14" s="47"/>
    </row>
    <row r="15" spans="1:4">
      <c r="A15" s="46"/>
      <c r="B15" s="47"/>
      <c r="C15" s="47"/>
      <c r="D15" s="47"/>
    </row>
    <row r="16" spans="1:4">
      <c r="A16" s="46"/>
      <c r="B16" s="47"/>
    </row>
    <row r="17" spans="1:2">
      <c r="A17" s="46"/>
      <c r="B17" s="47"/>
    </row>
    <row r="18" spans="1:2">
      <c r="A18" s="46"/>
      <c r="B18" s="47"/>
    </row>
    <row r="19" spans="1:2">
      <c r="A19" s="46"/>
      <c r="B19" s="47"/>
    </row>
    <row r="20" spans="1:2">
      <c r="A20" s="46"/>
      <c r="B20" s="47"/>
    </row>
    <row r="21" spans="1:2">
      <c r="A21" s="47"/>
      <c r="B21" s="47"/>
    </row>
    <row r="22" spans="1:2">
      <c r="A22" s="47"/>
      <c r="B22" s="47"/>
    </row>
    <row r="23" spans="1:2">
      <c r="A23" s="47"/>
      <c r="B23" s="47"/>
    </row>
    <row r="24" spans="1:2">
      <c r="A24" s="47"/>
      <c r="B24" s="47"/>
    </row>
    <row r="25" spans="1:2">
      <c r="A25" s="47"/>
      <c r="B25" s="47"/>
    </row>
    <row r="26" spans="1:2">
      <c r="A26" s="47"/>
      <c r="B26" s="47"/>
    </row>
    <row r="27" spans="1:2">
      <c r="A27" s="47"/>
    </row>
  </sheetData>
  <phoneticPr fontId="30"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E15"/>
  <sheetViews>
    <sheetView topLeftCell="A7" zoomScaleNormal="60" workbookViewId="0">
      <selection activeCell="C10" sqref="C10"/>
    </sheetView>
  </sheetViews>
  <sheetFormatPr defaultRowHeight="12.75"/>
  <cols>
    <col min="1" max="1" width="20.28515625" customWidth="1"/>
    <col min="2" max="2" width="33.7109375" style="1" customWidth="1"/>
    <col min="3" max="3" width="59.7109375" style="1" customWidth="1"/>
    <col min="5" max="5" width="55.28515625" customWidth="1"/>
    <col min="6" max="6" width="28.85546875" customWidth="1"/>
  </cols>
  <sheetData>
    <row r="1" spans="1:5">
      <c r="A1" s="48" t="s">
        <v>176</v>
      </c>
      <c r="B1" s="49" t="s">
        <v>157</v>
      </c>
      <c r="C1" s="49" t="s">
        <v>206</v>
      </c>
      <c r="D1" s="6" t="s">
        <v>327</v>
      </c>
    </row>
    <row r="2" spans="1:5">
      <c r="A2" s="80" t="s">
        <v>553</v>
      </c>
      <c r="B2" s="81" t="s">
        <v>242</v>
      </c>
      <c r="C2" s="81" t="s">
        <v>241</v>
      </c>
    </row>
    <row r="3" spans="1:5" ht="267.75">
      <c r="A3" s="80" t="s">
        <v>234</v>
      </c>
      <c r="B3" s="81" t="s">
        <v>493</v>
      </c>
      <c r="C3" s="81" t="s">
        <v>243</v>
      </c>
    </row>
    <row r="4" spans="1:5" ht="153">
      <c r="A4" s="80" t="s">
        <v>235</v>
      </c>
      <c r="B4" s="81" t="s">
        <v>492</v>
      </c>
      <c r="C4" s="81" t="s">
        <v>244</v>
      </c>
    </row>
    <row r="5" spans="1:5" ht="89.25">
      <c r="A5" s="80" t="s">
        <v>236</v>
      </c>
      <c r="B5" s="26" t="s">
        <v>494</v>
      </c>
      <c r="C5" s="26" t="s">
        <v>67</v>
      </c>
    </row>
    <row r="6" spans="1:5" ht="89.25">
      <c r="A6" s="80" t="s">
        <v>237</v>
      </c>
      <c r="B6" s="26" t="s">
        <v>495</v>
      </c>
      <c r="C6" s="26" t="s">
        <v>67</v>
      </c>
    </row>
    <row r="7" spans="1:5" ht="63.75">
      <c r="A7" s="80" t="s">
        <v>238</v>
      </c>
      <c r="B7" s="81" t="s">
        <v>1234</v>
      </c>
      <c r="C7" s="26" t="s">
        <v>1233</v>
      </c>
      <c r="E7" s="38"/>
    </row>
    <row r="8" spans="1:5" ht="38.25">
      <c r="A8" s="80" t="s">
        <v>239</v>
      </c>
      <c r="B8" s="26" t="s">
        <v>554</v>
      </c>
      <c r="C8" s="26" t="s">
        <v>555</v>
      </c>
    </row>
    <row r="9" spans="1:5" ht="63.75">
      <c r="A9" s="26" t="s">
        <v>240</v>
      </c>
      <c r="B9" s="26" t="s">
        <v>554</v>
      </c>
      <c r="C9" s="26" t="s">
        <v>556</v>
      </c>
    </row>
    <row r="10" spans="1:5" ht="76.5">
      <c r="A10" s="3" t="s">
        <v>7</v>
      </c>
      <c r="B10" s="5" t="s">
        <v>557</v>
      </c>
      <c r="C10" s="56" t="s">
        <v>1752</v>
      </c>
    </row>
    <row r="11" spans="1:5" ht="51">
      <c r="A11" s="54" t="s">
        <v>8</v>
      </c>
      <c r="B11" s="56" t="s">
        <v>558</v>
      </c>
      <c r="C11" s="5" t="s">
        <v>11</v>
      </c>
      <c r="D11" t="s">
        <v>328</v>
      </c>
    </row>
    <row r="12" spans="1:5" ht="25.5">
      <c r="A12" s="5" t="s">
        <v>9</v>
      </c>
      <c r="B12" s="55" t="s">
        <v>1211</v>
      </c>
      <c r="C12" s="3"/>
    </row>
    <row r="13" spans="1:5" ht="25.5">
      <c r="A13" s="5" t="s">
        <v>10</v>
      </c>
      <c r="B13" s="5" t="s">
        <v>1212</v>
      </c>
      <c r="C13" s="5"/>
    </row>
    <row r="14" spans="1:5" ht="102">
      <c r="A14" s="55" t="s">
        <v>329</v>
      </c>
      <c r="B14" s="27" t="s">
        <v>559</v>
      </c>
      <c r="C14" s="29" t="s">
        <v>1236</v>
      </c>
    </row>
    <row r="15" spans="1:5" ht="51">
      <c r="A15" s="55" t="s">
        <v>330</v>
      </c>
      <c r="B15" s="55" t="s">
        <v>560</v>
      </c>
      <c r="C15" s="29"/>
    </row>
  </sheetData>
  <phoneticPr fontId="30"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D64"/>
  <sheetViews>
    <sheetView topLeftCell="A28" workbookViewId="0">
      <selection activeCell="B33" sqref="B33"/>
    </sheetView>
  </sheetViews>
  <sheetFormatPr defaultRowHeight="12.75"/>
  <cols>
    <col min="1" max="1" width="36.42578125" bestFit="1" customWidth="1"/>
    <col min="2" max="2" width="85.28515625" customWidth="1"/>
    <col min="3" max="3" width="30.7109375" style="1" customWidth="1"/>
  </cols>
  <sheetData>
    <row r="1" spans="1:4">
      <c r="A1" s="66" t="s">
        <v>470</v>
      </c>
      <c r="B1" s="67" t="s">
        <v>157</v>
      </c>
      <c r="C1" s="67" t="s">
        <v>206</v>
      </c>
    </row>
    <row r="2" spans="1:4">
      <c r="A2" t="s">
        <v>352</v>
      </c>
      <c r="B2" s="69" t="s">
        <v>223</v>
      </c>
      <c r="C2" s="70"/>
    </row>
    <row r="3" spans="1:4">
      <c r="A3" t="s">
        <v>353</v>
      </c>
      <c r="B3" s="69" t="s">
        <v>223</v>
      </c>
      <c r="C3" s="70"/>
    </row>
    <row r="4" spans="1:4" ht="76.5">
      <c r="A4" t="s">
        <v>354</v>
      </c>
      <c r="B4" s="69" t="s">
        <v>223</v>
      </c>
      <c r="C4" s="70" t="s">
        <v>1163</v>
      </c>
    </row>
    <row r="5" spans="1:4" ht="76.5">
      <c r="A5" t="s">
        <v>355</v>
      </c>
      <c r="B5" s="69" t="s">
        <v>223</v>
      </c>
      <c r="C5" s="70" t="s">
        <v>1163</v>
      </c>
    </row>
    <row r="6" spans="1:4" ht="76.5">
      <c r="A6" t="s">
        <v>356</v>
      </c>
      <c r="B6" s="69" t="s">
        <v>223</v>
      </c>
      <c r="C6" s="70" t="s">
        <v>1163</v>
      </c>
    </row>
    <row r="7" spans="1:4" ht="114.75">
      <c r="A7" t="s">
        <v>357</v>
      </c>
      <c r="B7" s="69" t="s">
        <v>223</v>
      </c>
      <c r="C7" s="70" t="s">
        <v>1155</v>
      </c>
    </row>
    <row r="8" spans="1:4" ht="114.75">
      <c r="A8" t="s">
        <v>358</v>
      </c>
      <c r="B8" s="69" t="s">
        <v>223</v>
      </c>
      <c r="C8" s="70" t="s">
        <v>1164</v>
      </c>
    </row>
    <row r="9" spans="1:4" ht="76.5">
      <c r="A9" t="s">
        <v>359</v>
      </c>
      <c r="B9" s="69" t="s">
        <v>1251</v>
      </c>
      <c r="C9" s="70" t="s">
        <v>1163</v>
      </c>
    </row>
    <row r="10" spans="1:4" ht="63.75">
      <c r="A10" s="69" t="s">
        <v>684</v>
      </c>
      <c r="B10" s="69" t="s">
        <v>654</v>
      </c>
      <c r="C10" s="70" t="s">
        <v>462</v>
      </c>
    </row>
    <row r="11" spans="1:4" ht="153">
      <c r="A11" s="68" t="s">
        <v>685</v>
      </c>
      <c r="B11" s="69" t="s">
        <v>466</v>
      </c>
      <c r="C11" s="70"/>
    </row>
    <row r="12" spans="1:4" ht="63.75">
      <c r="A12" s="68" t="s">
        <v>463</v>
      </c>
      <c r="B12" s="69" t="s">
        <v>795</v>
      </c>
      <c r="C12" s="70"/>
      <c r="D12" s="108"/>
    </row>
    <row r="13" spans="1:4" ht="89.25">
      <c r="A13" s="68" t="s">
        <v>464</v>
      </c>
      <c r="B13" s="69" t="s">
        <v>1257</v>
      </c>
      <c r="C13" s="70" t="s">
        <v>1255</v>
      </c>
    </row>
    <row r="14" spans="1:4" ht="89.25">
      <c r="A14" s="68" t="s">
        <v>465</v>
      </c>
      <c r="B14" s="69" t="s">
        <v>1258</v>
      </c>
      <c r="C14" s="70" t="s">
        <v>1255</v>
      </c>
    </row>
    <row r="15" spans="1:4" ht="38.25">
      <c r="A15" s="68" t="s">
        <v>1252</v>
      </c>
      <c r="B15" s="69" t="s">
        <v>1253</v>
      </c>
      <c r="C15" s="70" t="s">
        <v>1244</v>
      </c>
    </row>
    <row r="16" spans="1:4" ht="25.5">
      <c r="A16" t="s">
        <v>467</v>
      </c>
      <c r="B16" s="69" t="s">
        <v>1271</v>
      </c>
      <c r="C16" s="70"/>
    </row>
    <row r="17" spans="1:3" ht="229.5">
      <c r="A17" s="68" t="s">
        <v>468</v>
      </c>
      <c r="B17" s="69" t="s">
        <v>652</v>
      </c>
      <c r="C17" s="70" t="s">
        <v>653</v>
      </c>
    </row>
    <row r="18" spans="1:3" ht="76.5">
      <c r="A18" s="68" t="s">
        <v>114</v>
      </c>
      <c r="B18" s="69" t="s">
        <v>469</v>
      </c>
      <c r="C18" s="70"/>
    </row>
    <row r="20" spans="1:3">
      <c r="A20" s="66" t="s">
        <v>143</v>
      </c>
      <c r="B20" s="69"/>
      <c r="C20" s="70"/>
    </row>
    <row r="21" spans="1:3" ht="38.25">
      <c r="A21" s="68" t="s">
        <v>471</v>
      </c>
      <c r="B21" s="69" t="s">
        <v>472</v>
      </c>
      <c r="C21" s="70"/>
    </row>
    <row r="22" spans="1:3" ht="140.25">
      <c r="A22" s="69" t="s">
        <v>473</v>
      </c>
      <c r="B22" s="69" t="s">
        <v>1439</v>
      </c>
      <c r="C22" s="70" t="s">
        <v>1414</v>
      </c>
    </row>
    <row r="23" spans="1:3" ht="51">
      <c r="A23" s="69" t="s">
        <v>474</v>
      </c>
      <c r="B23" s="69" t="s">
        <v>1310</v>
      </c>
      <c r="C23" s="70" t="s">
        <v>486</v>
      </c>
    </row>
    <row r="24" spans="1:3" ht="204">
      <c r="A24" s="68" t="s">
        <v>475</v>
      </c>
      <c r="B24" s="69" t="s">
        <v>1411</v>
      </c>
      <c r="C24" s="70" t="s">
        <v>487</v>
      </c>
    </row>
    <row r="25" spans="1:3" ht="89.25">
      <c r="A25" s="68" t="s">
        <v>476</v>
      </c>
      <c r="B25" s="69" t="s">
        <v>1276</v>
      </c>
      <c r="C25" s="70" t="s">
        <v>1240</v>
      </c>
    </row>
    <row r="26" spans="1:3" ht="89.25">
      <c r="A26" s="68" t="s">
        <v>477</v>
      </c>
      <c r="B26" s="69" t="s">
        <v>1277</v>
      </c>
      <c r="C26" s="70" t="s">
        <v>1240</v>
      </c>
    </row>
    <row r="27" spans="1:3" ht="89.25">
      <c r="A27" s="68" t="s">
        <v>478</v>
      </c>
      <c r="B27" s="69" t="s">
        <v>1278</v>
      </c>
      <c r="C27" s="70" t="s">
        <v>1240</v>
      </c>
    </row>
    <row r="28" spans="1:3">
      <c r="A28" s="68" t="s">
        <v>479</v>
      </c>
      <c r="B28" s="69" t="s">
        <v>480</v>
      </c>
      <c r="C28" s="70"/>
    </row>
    <row r="29" spans="1:3" ht="63.75">
      <c r="A29" s="68" t="s">
        <v>481</v>
      </c>
      <c r="B29" s="69" t="s">
        <v>482</v>
      </c>
      <c r="C29" s="70" t="s">
        <v>1241</v>
      </c>
    </row>
    <row r="30" spans="1:3" ht="76.5">
      <c r="A30" s="68" t="s">
        <v>483</v>
      </c>
      <c r="B30" s="69" t="s">
        <v>1246</v>
      </c>
      <c r="C30" s="70" t="s">
        <v>1247</v>
      </c>
    </row>
    <row r="31" spans="1:3" ht="51">
      <c r="A31" s="68" t="s">
        <v>484</v>
      </c>
      <c r="B31" s="69" t="s">
        <v>1248</v>
      </c>
      <c r="C31" s="70" t="s">
        <v>1247</v>
      </c>
    </row>
    <row r="32" spans="1:3" ht="38.25">
      <c r="A32" s="68" t="s">
        <v>485</v>
      </c>
      <c r="B32" s="69" t="s">
        <v>1166</v>
      </c>
      <c r="C32" s="70"/>
    </row>
    <row r="33" spans="1:3" ht="25.5">
      <c r="A33" s="68" t="s">
        <v>1436</v>
      </c>
      <c r="B33" s="69" t="s">
        <v>1437</v>
      </c>
      <c r="C33" s="70"/>
    </row>
    <row r="34" spans="1:3">
      <c r="A34" s="68"/>
      <c r="B34" s="69"/>
      <c r="C34" s="70"/>
    </row>
    <row r="35" spans="1:3">
      <c r="A35" s="68"/>
      <c r="B35" s="69"/>
      <c r="C35" s="70"/>
    </row>
    <row r="36" spans="1:3">
      <c r="A36" s="68"/>
      <c r="B36" s="69"/>
      <c r="C36" s="70"/>
    </row>
    <row r="37" spans="1:3">
      <c r="A37" s="68"/>
      <c r="B37" s="69"/>
      <c r="C37" s="70"/>
    </row>
    <row r="38" spans="1:3">
      <c r="A38" s="68"/>
      <c r="B38" s="69"/>
      <c r="C38" s="70"/>
    </row>
    <row r="39" spans="1:3">
      <c r="A39" s="68"/>
      <c r="B39" s="69"/>
      <c r="C39" s="70"/>
    </row>
    <row r="40" spans="1:3">
      <c r="A40" s="68"/>
      <c r="B40" s="69"/>
      <c r="C40" s="70"/>
    </row>
    <row r="41" spans="1:3">
      <c r="A41" s="68"/>
      <c r="B41" s="69"/>
      <c r="C41" s="70"/>
    </row>
    <row r="42" spans="1:3">
      <c r="A42" s="68"/>
      <c r="B42" s="69"/>
      <c r="C42" s="70"/>
    </row>
    <row r="43" spans="1:3">
      <c r="A43" s="68"/>
      <c r="B43" s="69"/>
      <c r="C43" s="70"/>
    </row>
    <row r="44" spans="1:3">
      <c r="A44" s="68"/>
      <c r="B44" s="69"/>
      <c r="C44" s="70"/>
    </row>
    <row r="45" spans="1:3">
      <c r="A45" s="68"/>
      <c r="B45" s="69"/>
      <c r="C45" s="70"/>
    </row>
    <row r="46" spans="1:3">
      <c r="A46" s="68"/>
      <c r="B46" s="69"/>
      <c r="C46" s="70"/>
    </row>
    <row r="47" spans="1:3">
      <c r="A47" s="68"/>
      <c r="B47" s="69"/>
      <c r="C47" s="70"/>
    </row>
    <row r="48" spans="1:3">
      <c r="A48" s="68"/>
      <c r="B48" s="69"/>
      <c r="C48" s="70"/>
    </row>
    <row r="49" spans="1:3">
      <c r="A49" s="68"/>
      <c r="B49" s="69"/>
      <c r="C49" s="70"/>
    </row>
    <row r="50" spans="1:3">
      <c r="A50" s="68"/>
      <c r="B50" s="69"/>
      <c r="C50" s="70"/>
    </row>
    <row r="51" spans="1:3">
      <c r="A51" s="68"/>
      <c r="B51" s="69"/>
      <c r="C51" s="70"/>
    </row>
    <row r="52" spans="1:3">
      <c r="A52" s="68"/>
      <c r="B52" s="69"/>
      <c r="C52" s="70"/>
    </row>
    <row r="53" spans="1:3">
      <c r="A53" s="68"/>
      <c r="B53" s="69"/>
      <c r="C53" s="70"/>
    </row>
    <row r="54" spans="1:3">
      <c r="A54" s="68"/>
      <c r="B54" s="69"/>
      <c r="C54" s="70"/>
    </row>
    <row r="55" spans="1:3">
      <c r="A55" s="68"/>
      <c r="B55" s="69"/>
      <c r="C55" s="70"/>
    </row>
    <row r="56" spans="1:3">
      <c r="A56" s="68"/>
      <c r="B56" s="69"/>
      <c r="C56" s="70"/>
    </row>
    <row r="57" spans="1:3">
      <c r="A57" s="68"/>
      <c r="B57" s="69"/>
      <c r="C57" s="70"/>
    </row>
    <row r="58" spans="1:3">
      <c r="A58" s="68"/>
      <c r="B58" s="69"/>
      <c r="C58" s="70"/>
    </row>
    <row r="59" spans="1:3">
      <c r="A59" s="68"/>
      <c r="B59" s="69"/>
      <c r="C59" s="70"/>
    </row>
    <row r="60" spans="1:3">
      <c r="A60" s="68"/>
      <c r="B60" s="69"/>
      <c r="C60" s="70"/>
    </row>
    <row r="61" spans="1:3">
      <c r="A61" s="68"/>
      <c r="B61" s="69"/>
      <c r="C61" s="70"/>
    </row>
    <row r="62" spans="1:3">
      <c r="A62" s="68"/>
      <c r="B62" s="69"/>
      <c r="C62" s="70"/>
    </row>
    <row r="63" spans="1:3">
      <c r="A63" s="68"/>
      <c r="B63" s="69"/>
      <c r="C63" s="70"/>
    </row>
    <row r="64" spans="1:3">
      <c r="A64" s="68"/>
      <c r="B64" s="69"/>
      <c r="C64" s="70"/>
    </row>
  </sheetData>
  <pageMargins left="0.7" right="0.7" top="0.75" bottom="0.75" header="0.3" footer="0.3"/>
  <pageSetup orientation="landscape"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47"/>
  <sheetViews>
    <sheetView topLeftCell="A4" workbookViewId="0">
      <selection activeCell="B13" sqref="B13"/>
    </sheetView>
  </sheetViews>
  <sheetFormatPr defaultRowHeight="12.75"/>
  <cols>
    <col min="2" max="2" width="15.7109375" customWidth="1"/>
    <col min="5" max="6" width="11.140625" bestFit="1" customWidth="1"/>
  </cols>
  <sheetData>
    <row r="1" spans="1:5" ht="13.5" thickBot="1">
      <c r="A1" s="6" t="s">
        <v>818</v>
      </c>
    </row>
    <row r="2" spans="1:5" ht="13.5" thickBot="1">
      <c r="A2" s="97" t="s">
        <v>107</v>
      </c>
      <c r="B2" s="98" t="s">
        <v>4</v>
      </c>
      <c r="D2" s="2"/>
      <c r="E2" s="2"/>
    </row>
    <row r="3" spans="1:5" ht="13.5" thickBot="1">
      <c r="A3" s="99" t="s">
        <v>51</v>
      </c>
      <c r="B3" s="100">
        <v>30606304</v>
      </c>
      <c r="D3" s="169"/>
      <c r="E3" s="170"/>
    </row>
    <row r="4" spans="1:5" ht="13.5" thickBot="1">
      <c r="A4" s="99" t="s">
        <v>282</v>
      </c>
      <c r="B4" s="100">
        <v>77845216</v>
      </c>
      <c r="D4" s="169"/>
      <c r="E4" s="170"/>
    </row>
    <row r="5" spans="1:5" ht="13.5" thickBot="1">
      <c r="A5" s="99" t="s">
        <v>283</v>
      </c>
      <c r="B5" s="100">
        <v>100753632</v>
      </c>
      <c r="D5" s="2"/>
      <c r="E5" s="2"/>
    </row>
    <row r="6" spans="1:5" ht="13.5" thickBot="1">
      <c r="A6" s="99" t="s">
        <v>109</v>
      </c>
      <c r="B6" s="100">
        <v>53540576</v>
      </c>
      <c r="D6" s="169"/>
      <c r="E6" s="170"/>
    </row>
    <row r="7" spans="1:5" ht="13.5" thickBot="1">
      <c r="A7" s="99" t="s">
        <v>110</v>
      </c>
      <c r="B7" s="100">
        <v>91548896</v>
      </c>
      <c r="D7" s="169"/>
      <c r="E7" s="170"/>
    </row>
    <row r="8" spans="1:5" ht="13.5" thickBot="1">
      <c r="A8" s="99" t="s">
        <v>186</v>
      </c>
      <c r="B8" s="100">
        <v>112414688</v>
      </c>
      <c r="D8" s="169"/>
      <c r="E8" s="170"/>
    </row>
    <row r="9" spans="1:5" ht="13.5" thickBot="1">
      <c r="A9" s="99" t="s">
        <v>111</v>
      </c>
      <c r="B9" s="100">
        <v>127023328</v>
      </c>
      <c r="D9" s="169"/>
      <c r="E9" s="170"/>
    </row>
    <row r="10" spans="1:5" ht="13.5" thickBot="1">
      <c r="A10" s="99" t="s">
        <v>103</v>
      </c>
      <c r="B10" s="100">
        <v>149880032</v>
      </c>
      <c r="D10" s="169"/>
      <c r="E10" s="170"/>
    </row>
    <row r="11" spans="1:5" ht="13.5" thickBot="1">
      <c r="A11" s="99" t="s">
        <v>190</v>
      </c>
      <c r="B11" s="100">
        <v>149880032</v>
      </c>
      <c r="D11" s="169"/>
      <c r="E11" s="170"/>
    </row>
    <row r="12" spans="1:5" ht="13.5" thickBot="1">
      <c r="A12" s="99" t="s">
        <v>108</v>
      </c>
      <c r="B12" s="100">
        <v>24090592</v>
      </c>
      <c r="D12" s="169"/>
      <c r="E12" s="170"/>
    </row>
    <row r="13" spans="1:5" ht="13.5" thickBot="1">
      <c r="A13" s="99" t="s">
        <v>112</v>
      </c>
      <c r="B13" s="100">
        <v>335503520</v>
      </c>
      <c r="D13" s="2"/>
      <c r="E13" s="2"/>
    </row>
    <row r="14" spans="1:5" ht="13.5" thickBot="1">
      <c r="A14" s="99" t="s">
        <v>113</v>
      </c>
      <c r="B14" s="100">
        <v>447337216</v>
      </c>
      <c r="D14" s="169"/>
      <c r="E14" s="170"/>
    </row>
    <row r="15" spans="1:5" ht="13.5" thickBot="1">
      <c r="A15" s="99" t="s">
        <v>48</v>
      </c>
      <c r="B15" s="100">
        <v>161398880</v>
      </c>
      <c r="D15" s="169"/>
      <c r="E15" s="170"/>
    </row>
    <row r="16" spans="1:5" ht="13.5" thickBot="1">
      <c r="A16" s="99" t="s">
        <v>62</v>
      </c>
      <c r="B16" s="100">
        <v>96436960</v>
      </c>
      <c r="D16" s="2"/>
      <c r="E16" s="2"/>
    </row>
    <row r="17" spans="1:5" ht="13.5" thickBot="1">
      <c r="A17" s="99" t="s">
        <v>63</v>
      </c>
      <c r="B17" s="100">
        <v>195661248</v>
      </c>
      <c r="D17" s="169"/>
      <c r="E17" s="170"/>
    </row>
    <row r="18" spans="1:5" ht="13.5" thickBot="1">
      <c r="A18" s="99" t="s">
        <v>64</v>
      </c>
      <c r="B18" s="100">
        <v>294002816</v>
      </c>
      <c r="D18" s="169"/>
      <c r="E18" s="170"/>
    </row>
    <row r="19" spans="1:5" ht="13.5" thickBot="1">
      <c r="A19" s="99" t="s">
        <v>61</v>
      </c>
      <c r="B19" s="100">
        <v>385127680</v>
      </c>
      <c r="D19" s="169"/>
      <c r="E19" s="170"/>
    </row>
    <row r="20" spans="1:5" ht="13.5" thickBot="1">
      <c r="A20" s="99" t="s">
        <v>57</v>
      </c>
      <c r="B20" s="100">
        <v>111238240</v>
      </c>
      <c r="D20" s="169"/>
      <c r="E20" s="170"/>
    </row>
    <row r="21" spans="1:5" ht="13.5" thickBot="1">
      <c r="A21" s="99" t="s">
        <v>58</v>
      </c>
      <c r="B21" s="100">
        <v>137934560</v>
      </c>
      <c r="D21" s="169"/>
      <c r="E21" s="170"/>
    </row>
    <row r="22" spans="1:5" ht="13.5" thickBot="1">
      <c r="A22" s="99" t="s">
        <v>195</v>
      </c>
      <c r="B22" s="100">
        <v>162187488</v>
      </c>
      <c r="D22" s="169"/>
      <c r="E22" s="170"/>
    </row>
    <row r="23" spans="1:5" ht="13.5" thickBot="1">
      <c r="A23" s="99" t="s">
        <v>59</v>
      </c>
      <c r="B23" s="100">
        <v>229878496</v>
      </c>
      <c r="D23" s="169"/>
      <c r="E23" s="170"/>
    </row>
    <row r="24" spans="1:5" ht="13.5" thickBot="1">
      <c r="A24" s="99" t="s">
        <v>60</v>
      </c>
      <c r="B24" s="100">
        <v>229878496</v>
      </c>
      <c r="D24" s="169"/>
      <c r="E24" s="170"/>
    </row>
    <row r="25" spans="1:5" ht="13.5" thickBot="1">
      <c r="A25" s="99" t="s">
        <v>284</v>
      </c>
      <c r="B25" s="100">
        <v>282521312</v>
      </c>
      <c r="D25" s="169"/>
      <c r="E25" s="170"/>
    </row>
    <row r="26" spans="1:5" ht="13.5" thickBot="1">
      <c r="A26" s="168" t="s">
        <v>285</v>
      </c>
      <c r="B26" s="100">
        <v>16669920</v>
      </c>
      <c r="D26" s="169"/>
      <c r="E26" s="170"/>
    </row>
    <row r="27" spans="1:5" ht="13.5" thickBot="1">
      <c r="A27" s="99" t="s">
        <v>286</v>
      </c>
      <c r="B27" s="100">
        <v>32364512</v>
      </c>
      <c r="D27" s="169"/>
      <c r="E27" s="170"/>
    </row>
    <row r="28" spans="1:5" ht="13.5" thickBot="1">
      <c r="A28" s="99" t="s">
        <v>455</v>
      </c>
      <c r="B28" s="100">
        <v>47839328</v>
      </c>
      <c r="D28" s="169"/>
      <c r="E28" s="170"/>
    </row>
    <row r="29" spans="1:5" ht="13.5" thickBot="1">
      <c r="A29" s="99" t="s">
        <v>456</v>
      </c>
      <c r="B29" s="100">
        <v>106571232</v>
      </c>
      <c r="D29" s="169"/>
      <c r="E29" s="170"/>
    </row>
    <row r="30" spans="1:5" ht="13.5" thickBot="1">
      <c r="A30" s="99" t="s">
        <v>782</v>
      </c>
      <c r="B30" s="100">
        <v>139330784</v>
      </c>
      <c r="D30" s="169"/>
      <c r="E30" s="170"/>
    </row>
    <row r="31" spans="1:5" ht="13.5" thickBot="1">
      <c r="A31" s="99" t="s">
        <v>1193</v>
      </c>
      <c r="B31" s="100">
        <v>17536096</v>
      </c>
      <c r="D31" s="2"/>
      <c r="E31" s="2"/>
    </row>
    <row r="32" spans="1:5" ht="13.5" thickBot="1">
      <c r="A32" s="99" t="s">
        <v>867</v>
      </c>
      <c r="B32" s="100">
        <v>17536096</v>
      </c>
    </row>
    <row r="33" spans="1:2" ht="13.5" thickBot="1">
      <c r="A33" s="99" t="s">
        <v>868</v>
      </c>
      <c r="B33" s="100">
        <v>17536096</v>
      </c>
    </row>
    <row r="34" spans="1:2" ht="13.5" thickBot="1">
      <c r="A34" s="99" t="s">
        <v>869</v>
      </c>
      <c r="B34" s="100">
        <v>30606304</v>
      </c>
    </row>
    <row r="35" spans="1:2" ht="13.5" thickBot="1">
      <c r="A35" s="99" t="s">
        <v>826</v>
      </c>
      <c r="B35" s="100">
        <v>28085344</v>
      </c>
    </row>
    <row r="36" spans="1:2" ht="13.5" thickBot="1">
      <c r="A36" s="99" t="s">
        <v>1192</v>
      </c>
      <c r="B36" s="100">
        <v>106571232</v>
      </c>
    </row>
    <row r="37" spans="1:2" ht="13.5" thickBot="1">
      <c r="A37" s="99" t="s">
        <v>1462</v>
      </c>
      <c r="B37" s="100">
        <v>16669920</v>
      </c>
    </row>
    <row r="38" spans="1:2" ht="13.5" thickBot="1">
      <c r="A38" s="99" t="s">
        <v>1463</v>
      </c>
      <c r="B38" s="100">
        <v>28085344</v>
      </c>
    </row>
    <row r="39" spans="1:2" ht="13.5" thickBot="1">
      <c r="A39" s="99" t="s">
        <v>1464</v>
      </c>
      <c r="B39" s="100">
        <v>32364512</v>
      </c>
    </row>
    <row r="40" spans="1:2" ht="13.5" thickBot="1">
      <c r="A40" s="99" t="s">
        <v>1460</v>
      </c>
      <c r="B40" s="100">
        <v>9934432</v>
      </c>
    </row>
    <row r="41" spans="1:2" ht="13.5" thickBot="1">
      <c r="A41" s="99" t="s">
        <v>1461</v>
      </c>
      <c r="B41" s="100">
        <v>9934432</v>
      </c>
    </row>
    <row r="42" spans="1:2" ht="13.5" thickBot="1">
      <c r="A42" s="99" t="s">
        <v>1448</v>
      </c>
      <c r="B42" s="100">
        <v>4310752</v>
      </c>
    </row>
    <row r="43" spans="1:2" ht="13.5" thickBot="1">
      <c r="A43" s="99" t="s">
        <v>1449</v>
      </c>
      <c r="B43" s="100">
        <v>4310752</v>
      </c>
    </row>
    <row r="44" spans="1:2" ht="13.5" thickBot="1">
      <c r="A44" s="99" t="s">
        <v>1450</v>
      </c>
      <c r="B44" s="100">
        <v>9934432</v>
      </c>
    </row>
    <row r="45" spans="1:2" ht="13.5" thickBot="1">
      <c r="A45" s="99" t="s">
        <v>1451</v>
      </c>
      <c r="B45" s="100">
        <v>17536096</v>
      </c>
    </row>
    <row r="46" spans="1:2" ht="13.5" thickBot="1">
      <c r="A46" s="99" t="s">
        <v>1452</v>
      </c>
      <c r="B46" s="100">
        <v>29494496</v>
      </c>
    </row>
    <row r="47" spans="1:2" ht="13.5" thickBot="1">
      <c r="A47" s="99" t="s">
        <v>1453</v>
      </c>
      <c r="B47" s="100">
        <v>29494496</v>
      </c>
    </row>
  </sheetData>
  <pageMargins left="0.7" right="0.7" top="0.75" bottom="0.75" header="0.3" footer="0.3"/>
  <pageSetup orientation="landscape"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17"/>
  <sheetViews>
    <sheetView topLeftCell="A4" workbookViewId="0">
      <selection activeCell="B6" sqref="B6"/>
    </sheetView>
  </sheetViews>
  <sheetFormatPr defaultRowHeight="12.75"/>
  <cols>
    <col min="1" max="1" width="38.140625" customWidth="1"/>
    <col min="2" max="2" width="129" customWidth="1"/>
    <col min="3" max="3" width="40.42578125" customWidth="1"/>
  </cols>
  <sheetData>
    <row r="1" spans="1:3">
      <c r="A1" s="66" t="s">
        <v>176</v>
      </c>
      <c r="B1" s="67" t="s">
        <v>157</v>
      </c>
      <c r="C1" s="66" t="s">
        <v>206</v>
      </c>
    </row>
    <row r="2" spans="1:3" ht="63.75">
      <c r="A2" s="44" t="s">
        <v>833</v>
      </c>
      <c r="B2" s="44" t="s">
        <v>849</v>
      </c>
      <c r="C2" s="45" t="s">
        <v>848</v>
      </c>
    </row>
    <row r="3" spans="1:3" ht="51">
      <c r="A3" s="46" t="s">
        <v>834</v>
      </c>
      <c r="B3" s="44" t="s">
        <v>850</v>
      </c>
      <c r="C3" s="45" t="s">
        <v>231</v>
      </c>
    </row>
    <row r="4" spans="1:3" ht="51">
      <c r="A4" s="44" t="s">
        <v>835</v>
      </c>
      <c r="B4" s="44" t="s">
        <v>851</v>
      </c>
      <c r="C4" s="45" t="s">
        <v>231</v>
      </c>
    </row>
    <row r="5" spans="1:3" ht="89.25">
      <c r="A5" s="44" t="s">
        <v>836</v>
      </c>
      <c r="B5" s="44" t="s">
        <v>1220</v>
      </c>
      <c r="C5" s="47" t="s">
        <v>231</v>
      </c>
    </row>
    <row r="6" spans="1:3" ht="89.25">
      <c r="A6" s="46" t="s">
        <v>837</v>
      </c>
      <c r="B6" s="44" t="s">
        <v>1221</v>
      </c>
      <c r="C6" s="47" t="s">
        <v>231</v>
      </c>
    </row>
    <row r="7" spans="1:3" ht="76.5">
      <c r="A7" s="46" t="s">
        <v>838</v>
      </c>
      <c r="B7" s="44" t="s">
        <v>1219</v>
      </c>
      <c r="C7" s="47" t="s">
        <v>231</v>
      </c>
    </row>
    <row r="8" spans="1:3">
      <c r="A8" s="172" t="s">
        <v>839</v>
      </c>
      <c r="B8" s="173" t="s">
        <v>855</v>
      </c>
    </row>
    <row r="9" spans="1:3">
      <c r="A9" s="172" t="s">
        <v>840</v>
      </c>
      <c r="B9" s="173" t="s">
        <v>858</v>
      </c>
    </row>
    <row r="10" spans="1:3">
      <c r="A10" s="172" t="s">
        <v>841</v>
      </c>
      <c r="B10" s="173" t="s">
        <v>852</v>
      </c>
    </row>
    <row r="11" spans="1:3">
      <c r="A11" s="172" t="s">
        <v>842</v>
      </c>
      <c r="B11" s="173" t="s">
        <v>853</v>
      </c>
    </row>
    <row r="12" spans="1:3">
      <c r="A12" s="172" t="s">
        <v>843</v>
      </c>
      <c r="B12" s="173" t="s">
        <v>854</v>
      </c>
    </row>
    <row r="13" spans="1:3">
      <c r="A13" s="172" t="s">
        <v>844</v>
      </c>
      <c r="B13" s="173" t="s">
        <v>863</v>
      </c>
    </row>
    <row r="14" spans="1:3" ht="38.25">
      <c r="A14" s="172" t="s">
        <v>845</v>
      </c>
      <c r="B14" s="1" t="s">
        <v>861</v>
      </c>
    </row>
    <row r="15" spans="1:3" ht="38.25">
      <c r="A15" s="172" t="s">
        <v>846</v>
      </c>
      <c r="B15" s="1" t="s">
        <v>862</v>
      </c>
    </row>
    <row r="16" spans="1:3">
      <c r="A16" s="172" t="s">
        <v>847</v>
      </c>
      <c r="B16" t="s">
        <v>860</v>
      </c>
    </row>
    <row r="17" spans="1:1">
      <c r="A17" s="172"/>
    </row>
  </sheetData>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495"/>
  <sheetViews>
    <sheetView topLeftCell="A451" workbookViewId="0">
      <selection activeCell="A489" sqref="A489"/>
    </sheetView>
  </sheetViews>
  <sheetFormatPr defaultRowHeight="12.75"/>
  <cols>
    <col min="1" max="1" width="18.140625" bestFit="1" customWidth="1"/>
    <col min="40" max="40" width="8.85546875" style="9" customWidth="1"/>
  </cols>
  <sheetData>
    <row r="1" spans="1:40">
      <c r="A1" t="s">
        <v>360</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row>
    <row r="2" spans="1:40">
      <c r="A2" t="s">
        <v>361</v>
      </c>
      <c r="B2">
        <v>10</v>
      </c>
      <c r="C2">
        <v>11</v>
      </c>
      <c r="D2" t="s">
        <v>223</v>
      </c>
      <c r="E2" t="s">
        <v>223</v>
      </c>
      <c r="F2" t="s">
        <v>223</v>
      </c>
      <c r="G2" t="s">
        <v>223</v>
      </c>
      <c r="H2" t="s">
        <v>223</v>
      </c>
      <c r="I2" t="s">
        <v>223</v>
      </c>
      <c r="J2" t="s">
        <v>223</v>
      </c>
      <c r="K2" t="s">
        <v>223</v>
      </c>
      <c r="L2" t="s">
        <v>223</v>
      </c>
      <c r="M2" t="s">
        <v>223</v>
      </c>
      <c r="N2" t="s">
        <v>223</v>
      </c>
      <c r="O2" t="s">
        <v>223</v>
      </c>
      <c r="P2" t="s">
        <v>223</v>
      </c>
      <c r="Q2" t="s">
        <v>223</v>
      </c>
      <c r="R2" t="s">
        <v>223</v>
      </c>
      <c r="S2" t="s">
        <v>223</v>
      </c>
      <c r="T2" t="s">
        <v>223</v>
      </c>
      <c r="U2" t="s">
        <v>223</v>
      </c>
      <c r="V2" t="s">
        <v>223</v>
      </c>
      <c r="W2" t="s">
        <v>223</v>
      </c>
      <c r="X2" t="s">
        <v>223</v>
      </c>
      <c r="Y2" t="s">
        <v>223</v>
      </c>
      <c r="Z2" t="s">
        <v>223</v>
      </c>
      <c r="AA2" t="s">
        <v>223</v>
      </c>
      <c r="AB2" t="s">
        <v>223</v>
      </c>
      <c r="AC2" t="s">
        <v>223</v>
      </c>
      <c r="AD2" t="s">
        <v>223</v>
      </c>
      <c r="AE2" t="s">
        <v>223</v>
      </c>
      <c r="AF2" t="s">
        <v>223</v>
      </c>
      <c r="AG2" t="s">
        <v>223</v>
      </c>
      <c r="AH2" t="s">
        <v>223</v>
      </c>
      <c r="AI2" t="s">
        <v>223</v>
      </c>
      <c r="AJ2" t="s">
        <v>223</v>
      </c>
      <c r="AK2" t="s">
        <v>223</v>
      </c>
      <c r="AL2" t="s">
        <v>223</v>
      </c>
      <c r="AM2" t="s">
        <v>223</v>
      </c>
      <c r="AN2" s="9" t="s">
        <v>407</v>
      </c>
    </row>
    <row r="3" spans="1:40">
      <c r="A3" t="s">
        <v>361</v>
      </c>
      <c r="B3">
        <v>14</v>
      </c>
      <c r="C3">
        <v>15</v>
      </c>
      <c r="D3" t="s">
        <v>223</v>
      </c>
      <c r="E3" t="s">
        <v>223</v>
      </c>
      <c r="F3" t="s">
        <v>223</v>
      </c>
      <c r="G3" t="s">
        <v>223</v>
      </c>
      <c r="H3" t="s">
        <v>223</v>
      </c>
      <c r="I3" t="s">
        <v>223</v>
      </c>
      <c r="J3" t="s">
        <v>223</v>
      </c>
      <c r="K3" t="s">
        <v>223</v>
      </c>
      <c r="L3" t="s">
        <v>223</v>
      </c>
      <c r="M3" t="s">
        <v>223</v>
      </c>
      <c r="N3" t="s">
        <v>223</v>
      </c>
      <c r="O3" t="s">
        <v>223</v>
      </c>
      <c r="P3" t="s">
        <v>223</v>
      </c>
      <c r="Q3" t="s">
        <v>223</v>
      </c>
      <c r="R3" t="s">
        <v>223</v>
      </c>
      <c r="S3" t="s">
        <v>223</v>
      </c>
      <c r="T3" t="s">
        <v>223</v>
      </c>
      <c r="U3" t="s">
        <v>223</v>
      </c>
      <c r="V3" t="s">
        <v>223</v>
      </c>
      <c r="W3" t="s">
        <v>223</v>
      </c>
      <c r="X3" t="s">
        <v>223</v>
      </c>
      <c r="Y3" t="s">
        <v>223</v>
      </c>
      <c r="Z3" t="s">
        <v>223</v>
      </c>
      <c r="AA3" t="s">
        <v>223</v>
      </c>
      <c r="AB3" t="s">
        <v>223</v>
      </c>
      <c r="AC3" t="s">
        <v>223</v>
      </c>
      <c r="AD3" t="s">
        <v>223</v>
      </c>
      <c r="AE3" t="s">
        <v>223</v>
      </c>
      <c r="AF3" t="s">
        <v>223</v>
      </c>
      <c r="AG3" t="s">
        <v>223</v>
      </c>
      <c r="AH3" t="s">
        <v>223</v>
      </c>
      <c r="AI3" t="s">
        <v>223</v>
      </c>
      <c r="AJ3" t="s">
        <v>223</v>
      </c>
      <c r="AK3" t="s">
        <v>223</v>
      </c>
      <c r="AL3" t="s">
        <v>223</v>
      </c>
      <c r="AM3" t="s">
        <v>223</v>
      </c>
      <c r="AN3" s="9" t="s">
        <v>408</v>
      </c>
    </row>
    <row r="4" spans="1:40">
      <c r="A4" t="s">
        <v>361</v>
      </c>
      <c r="B4">
        <v>18</v>
      </c>
      <c r="C4">
        <v>19</v>
      </c>
      <c r="D4" t="s">
        <v>223</v>
      </c>
      <c r="E4" t="s">
        <v>223</v>
      </c>
      <c r="F4" t="s">
        <v>223</v>
      </c>
      <c r="G4" t="s">
        <v>223</v>
      </c>
      <c r="H4" t="s">
        <v>223</v>
      </c>
      <c r="I4" t="s">
        <v>223</v>
      </c>
      <c r="J4" t="s">
        <v>223</v>
      </c>
      <c r="K4" t="s">
        <v>223</v>
      </c>
      <c r="L4" t="s">
        <v>223</v>
      </c>
      <c r="M4" t="s">
        <v>223</v>
      </c>
      <c r="N4" t="s">
        <v>223</v>
      </c>
      <c r="O4" t="s">
        <v>223</v>
      </c>
      <c r="P4" t="s">
        <v>223</v>
      </c>
      <c r="Q4" t="s">
        <v>223</v>
      </c>
      <c r="R4" t="s">
        <v>223</v>
      </c>
      <c r="S4" t="s">
        <v>223</v>
      </c>
      <c r="T4" t="s">
        <v>223</v>
      </c>
      <c r="U4" t="s">
        <v>223</v>
      </c>
      <c r="V4" t="s">
        <v>223</v>
      </c>
      <c r="W4" t="s">
        <v>223</v>
      </c>
      <c r="X4" t="s">
        <v>223</v>
      </c>
      <c r="Y4" t="s">
        <v>223</v>
      </c>
      <c r="Z4" t="s">
        <v>223</v>
      </c>
      <c r="AA4" t="s">
        <v>223</v>
      </c>
      <c r="AB4" t="s">
        <v>223</v>
      </c>
      <c r="AC4" t="s">
        <v>223</v>
      </c>
      <c r="AD4" t="s">
        <v>223</v>
      </c>
      <c r="AE4" t="s">
        <v>223</v>
      </c>
      <c r="AF4" t="s">
        <v>223</v>
      </c>
      <c r="AG4" t="s">
        <v>223</v>
      </c>
      <c r="AH4" t="s">
        <v>223</v>
      </c>
      <c r="AI4" t="s">
        <v>223</v>
      </c>
      <c r="AJ4" t="s">
        <v>223</v>
      </c>
      <c r="AK4" t="s">
        <v>223</v>
      </c>
      <c r="AL4" t="s">
        <v>223</v>
      </c>
      <c r="AM4" t="s">
        <v>223</v>
      </c>
      <c r="AN4" s="9" t="s">
        <v>409</v>
      </c>
    </row>
    <row r="5" spans="1:40">
      <c r="A5" t="s">
        <v>361</v>
      </c>
      <c r="B5">
        <v>22</v>
      </c>
      <c r="C5">
        <v>23</v>
      </c>
      <c r="D5" t="s">
        <v>223</v>
      </c>
      <c r="E5" t="s">
        <v>223</v>
      </c>
      <c r="F5" t="s">
        <v>223</v>
      </c>
      <c r="G5" t="s">
        <v>223</v>
      </c>
      <c r="H5" t="s">
        <v>223</v>
      </c>
      <c r="I5" t="s">
        <v>223</v>
      </c>
      <c r="J5" t="s">
        <v>223</v>
      </c>
      <c r="K5" t="s">
        <v>223</v>
      </c>
      <c r="L5" t="s">
        <v>223</v>
      </c>
      <c r="M5" t="s">
        <v>223</v>
      </c>
      <c r="N5" t="s">
        <v>223</v>
      </c>
      <c r="O5" t="s">
        <v>223</v>
      </c>
      <c r="P5" t="s">
        <v>223</v>
      </c>
      <c r="Q5" t="s">
        <v>223</v>
      </c>
      <c r="R5" t="s">
        <v>223</v>
      </c>
      <c r="S5" t="s">
        <v>223</v>
      </c>
      <c r="T5" t="s">
        <v>223</v>
      </c>
      <c r="U5" t="s">
        <v>223</v>
      </c>
      <c r="V5" t="s">
        <v>223</v>
      </c>
      <c r="W5" t="s">
        <v>223</v>
      </c>
      <c r="X5" t="s">
        <v>223</v>
      </c>
      <c r="Y5" t="s">
        <v>223</v>
      </c>
      <c r="Z5" t="s">
        <v>223</v>
      </c>
      <c r="AA5" t="s">
        <v>223</v>
      </c>
      <c r="AB5" t="s">
        <v>223</v>
      </c>
      <c r="AC5" t="s">
        <v>223</v>
      </c>
      <c r="AD5" t="s">
        <v>223</v>
      </c>
      <c r="AE5" t="s">
        <v>223</v>
      </c>
      <c r="AF5" t="s">
        <v>223</v>
      </c>
      <c r="AG5" t="s">
        <v>223</v>
      </c>
      <c r="AH5" t="s">
        <v>223</v>
      </c>
      <c r="AI5" t="s">
        <v>223</v>
      </c>
      <c r="AJ5" t="s">
        <v>223</v>
      </c>
      <c r="AK5" t="s">
        <v>223</v>
      </c>
      <c r="AL5" t="s">
        <v>223</v>
      </c>
      <c r="AM5" t="s">
        <v>223</v>
      </c>
      <c r="AN5" s="9" t="s">
        <v>410</v>
      </c>
    </row>
    <row r="6" spans="1:40">
      <c r="A6" t="s">
        <v>361</v>
      </c>
      <c r="B6">
        <v>26</v>
      </c>
      <c r="C6">
        <v>27</v>
      </c>
      <c r="D6" t="s">
        <v>223</v>
      </c>
      <c r="E6" t="s">
        <v>223</v>
      </c>
      <c r="F6" t="s">
        <v>223</v>
      </c>
      <c r="G6" t="s">
        <v>223</v>
      </c>
      <c r="H6" t="s">
        <v>223</v>
      </c>
      <c r="I6" t="s">
        <v>223</v>
      </c>
      <c r="J6" t="s">
        <v>223</v>
      </c>
      <c r="K6" t="s">
        <v>223</v>
      </c>
      <c r="L6" t="s">
        <v>223</v>
      </c>
      <c r="M6" t="s">
        <v>223</v>
      </c>
      <c r="N6" t="s">
        <v>223</v>
      </c>
      <c r="O6" t="s">
        <v>223</v>
      </c>
      <c r="P6" t="s">
        <v>223</v>
      </c>
      <c r="Q6" t="s">
        <v>223</v>
      </c>
      <c r="R6" t="s">
        <v>223</v>
      </c>
      <c r="S6" t="s">
        <v>223</v>
      </c>
      <c r="T6" t="s">
        <v>223</v>
      </c>
      <c r="U6" t="s">
        <v>223</v>
      </c>
      <c r="V6" t="s">
        <v>223</v>
      </c>
      <c r="W6" t="s">
        <v>223</v>
      </c>
      <c r="X6" t="s">
        <v>223</v>
      </c>
      <c r="Y6" t="s">
        <v>223</v>
      </c>
      <c r="Z6" t="s">
        <v>223</v>
      </c>
      <c r="AA6" t="s">
        <v>223</v>
      </c>
      <c r="AB6" t="s">
        <v>223</v>
      </c>
      <c r="AC6" t="s">
        <v>223</v>
      </c>
      <c r="AD6" t="s">
        <v>223</v>
      </c>
      <c r="AE6" t="s">
        <v>223</v>
      </c>
      <c r="AF6" t="s">
        <v>223</v>
      </c>
      <c r="AG6" t="s">
        <v>223</v>
      </c>
      <c r="AH6" t="s">
        <v>223</v>
      </c>
      <c r="AI6" t="s">
        <v>223</v>
      </c>
      <c r="AJ6" t="s">
        <v>223</v>
      </c>
      <c r="AK6" t="s">
        <v>223</v>
      </c>
      <c r="AL6" t="s">
        <v>223</v>
      </c>
      <c r="AM6" t="s">
        <v>223</v>
      </c>
      <c r="AN6" s="9" t="s">
        <v>411</v>
      </c>
    </row>
    <row r="7" spans="1:40">
      <c r="A7" t="s">
        <v>361</v>
      </c>
      <c r="B7">
        <v>30</v>
      </c>
      <c r="C7">
        <v>31</v>
      </c>
      <c r="D7" t="s">
        <v>223</v>
      </c>
      <c r="E7" t="s">
        <v>223</v>
      </c>
      <c r="F7" t="s">
        <v>223</v>
      </c>
      <c r="G7" t="s">
        <v>223</v>
      </c>
      <c r="H7" t="s">
        <v>223</v>
      </c>
      <c r="I7" t="s">
        <v>223</v>
      </c>
      <c r="J7" t="s">
        <v>223</v>
      </c>
      <c r="K7" t="s">
        <v>223</v>
      </c>
      <c r="L7" t="s">
        <v>223</v>
      </c>
      <c r="M7" t="s">
        <v>223</v>
      </c>
      <c r="N7" t="s">
        <v>223</v>
      </c>
      <c r="O7" t="s">
        <v>223</v>
      </c>
      <c r="P7" t="s">
        <v>223</v>
      </c>
      <c r="Q7" t="s">
        <v>223</v>
      </c>
      <c r="R7" t="s">
        <v>223</v>
      </c>
      <c r="S7" t="s">
        <v>223</v>
      </c>
      <c r="T7" t="s">
        <v>223</v>
      </c>
      <c r="U7" t="s">
        <v>223</v>
      </c>
      <c r="V7" t="s">
        <v>223</v>
      </c>
      <c r="W7" t="s">
        <v>223</v>
      </c>
      <c r="X7" t="s">
        <v>223</v>
      </c>
      <c r="Y7" t="s">
        <v>223</v>
      </c>
      <c r="Z7" t="s">
        <v>223</v>
      </c>
      <c r="AA7" t="s">
        <v>223</v>
      </c>
      <c r="AB7" t="s">
        <v>223</v>
      </c>
      <c r="AC7" t="s">
        <v>223</v>
      </c>
      <c r="AD7" t="s">
        <v>223</v>
      </c>
      <c r="AE7" t="s">
        <v>223</v>
      </c>
      <c r="AF7" t="s">
        <v>223</v>
      </c>
      <c r="AG7" t="s">
        <v>223</v>
      </c>
      <c r="AH7" t="s">
        <v>223</v>
      </c>
      <c r="AI7" t="s">
        <v>223</v>
      </c>
      <c r="AJ7" t="s">
        <v>223</v>
      </c>
      <c r="AK7" t="s">
        <v>223</v>
      </c>
      <c r="AL7" t="s">
        <v>223</v>
      </c>
      <c r="AM7" t="s">
        <v>223</v>
      </c>
      <c r="AN7" s="9" t="s">
        <v>412</v>
      </c>
    </row>
    <row r="8" spans="1:40">
      <c r="A8" t="s">
        <v>361</v>
      </c>
      <c r="B8">
        <v>34</v>
      </c>
      <c r="C8">
        <v>35</v>
      </c>
      <c r="D8" t="s">
        <v>223</v>
      </c>
      <c r="E8" t="s">
        <v>223</v>
      </c>
      <c r="F8" t="s">
        <v>223</v>
      </c>
      <c r="G8" t="s">
        <v>223</v>
      </c>
      <c r="H8" t="s">
        <v>223</v>
      </c>
      <c r="I8" t="s">
        <v>223</v>
      </c>
      <c r="J8" t="s">
        <v>223</v>
      </c>
      <c r="K8" t="s">
        <v>223</v>
      </c>
      <c r="L8" t="s">
        <v>223</v>
      </c>
      <c r="M8" t="s">
        <v>223</v>
      </c>
      <c r="N8" t="s">
        <v>223</v>
      </c>
      <c r="O8" t="s">
        <v>223</v>
      </c>
      <c r="P8" t="s">
        <v>223</v>
      </c>
      <c r="Q8" t="s">
        <v>223</v>
      </c>
      <c r="R8" t="s">
        <v>223</v>
      </c>
      <c r="S8" t="s">
        <v>223</v>
      </c>
      <c r="T8" t="s">
        <v>223</v>
      </c>
      <c r="U8" t="s">
        <v>223</v>
      </c>
      <c r="V8" t="s">
        <v>223</v>
      </c>
      <c r="W8" t="s">
        <v>223</v>
      </c>
      <c r="X8" t="s">
        <v>223</v>
      </c>
      <c r="Y8" t="s">
        <v>223</v>
      </c>
      <c r="Z8" t="s">
        <v>223</v>
      </c>
      <c r="AA8" t="s">
        <v>223</v>
      </c>
      <c r="AB8" t="s">
        <v>223</v>
      </c>
      <c r="AC8" t="s">
        <v>223</v>
      </c>
      <c r="AD8" t="s">
        <v>223</v>
      </c>
      <c r="AE8" t="s">
        <v>223</v>
      </c>
      <c r="AF8" t="s">
        <v>223</v>
      </c>
      <c r="AG8" t="s">
        <v>223</v>
      </c>
      <c r="AH8" t="s">
        <v>223</v>
      </c>
      <c r="AI8" t="s">
        <v>223</v>
      </c>
      <c r="AJ8" t="s">
        <v>223</v>
      </c>
      <c r="AK8" t="s">
        <v>223</v>
      </c>
      <c r="AL8" t="s">
        <v>223</v>
      </c>
      <c r="AM8" t="s">
        <v>223</v>
      </c>
      <c r="AN8" s="9" t="s">
        <v>413</v>
      </c>
    </row>
    <row r="9" spans="1:40">
      <c r="A9" t="s">
        <v>361</v>
      </c>
      <c r="B9">
        <v>38</v>
      </c>
      <c r="C9">
        <v>39</v>
      </c>
      <c r="D9" t="s">
        <v>223</v>
      </c>
      <c r="E9" t="s">
        <v>223</v>
      </c>
      <c r="F9" t="s">
        <v>223</v>
      </c>
      <c r="G9" t="s">
        <v>223</v>
      </c>
      <c r="H9" t="s">
        <v>223</v>
      </c>
      <c r="I9" t="s">
        <v>223</v>
      </c>
      <c r="J9" t="s">
        <v>223</v>
      </c>
      <c r="K9" t="s">
        <v>223</v>
      </c>
      <c r="L9" t="s">
        <v>223</v>
      </c>
      <c r="M9" t="s">
        <v>223</v>
      </c>
      <c r="N9" t="s">
        <v>223</v>
      </c>
      <c r="O9" t="s">
        <v>223</v>
      </c>
      <c r="P9" t="s">
        <v>223</v>
      </c>
      <c r="Q9" t="s">
        <v>223</v>
      </c>
      <c r="R9" t="s">
        <v>223</v>
      </c>
      <c r="S9" t="s">
        <v>223</v>
      </c>
      <c r="T9" t="s">
        <v>223</v>
      </c>
      <c r="U9" t="s">
        <v>223</v>
      </c>
      <c r="V9" t="s">
        <v>223</v>
      </c>
      <c r="W9" t="s">
        <v>223</v>
      </c>
      <c r="X9" t="s">
        <v>223</v>
      </c>
      <c r="Y9" t="s">
        <v>223</v>
      </c>
      <c r="Z9" t="s">
        <v>223</v>
      </c>
      <c r="AA9" t="s">
        <v>223</v>
      </c>
      <c r="AB9" t="s">
        <v>223</v>
      </c>
      <c r="AC9" t="s">
        <v>223</v>
      </c>
      <c r="AD9" t="s">
        <v>223</v>
      </c>
      <c r="AE9" t="s">
        <v>223</v>
      </c>
      <c r="AF9" t="s">
        <v>223</v>
      </c>
      <c r="AG9" t="s">
        <v>223</v>
      </c>
      <c r="AH9" t="s">
        <v>223</v>
      </c>
      <c r="AI9" t="s">
        <v>223</v>
      </c>
      <c r="AJ9" t="s">
        <v>223</v>
      </c>
      <c r="AK9" t="s">
        <v>223</v>
      </c>
      <c r="AL9" t="s">
        <v>223</v>
      </c>
      <c r="AM9" t="s">
        <v>223</v>
      </c>
      <c r="AN9" s="9" t="s">
        <v>414</v>
      </c>
    </row>
    <row r="10" spans="1:40">
      <c r="A10" t="s">
        <v>361</v>
      </c>
      <c r="B10">
        <v>42</v>
      </c>
      <c r="C10">
        <v>43</v>
      </c>
      <c r="D10" t="s">
        <v>223</v>
      </c>
      <c r="E10" t="s">
        <v>223</v>
      </c>
      <c r="F10" t="s">
        <v>223</v>
      </c>
      <c r="G10" t="s">
        <v>223</v>
      </c>
      <c r="H10" t="s">
        <v>223</v>
      </c>
      <c r="I10" t="s">
        <v>223</v>
      </c>
      <c r="J10" t="s">
        <v>223</v>
      </c>
      <c r="K10" t="s">
        <v>223</v>
      </c>
      <c r="L10" t="s">
        <v>223</v>
      </c>
      <c r="M10" t="s">
        <v>223</v>
      </c>
      <c r="N10" t="s">
        <v>223</v>
      </c>
      <c r="O10" t="s">
        <v>223</v>
      </c>
      <c r="P10" t="s">
        <v>223</v>
      </c>
      <c r="Q10" t="s">
        <v>223</v>
      </c>
      <c r="R10" t="s">
        <v>223</v>
      </c>
      <c r="S10" t="s">
        <v>223</v>
      </c>
      <c r="T10" t="s">
        <v>223</v>
      </c>
      <c r="U10" t="s">
        <v>223</v>
      </c>
      <c r="V10" t="s">
        <v>223</v>
      </c>
      <c r="W10" t="s">
        <v>223</v>
      </c>
      <c r="X10" t="s">
        <v>223</v>
      </c>
      <c r="Y10" t="s">
        <v>223</v>
      </c>
      <c r="Z10" t="s">
        <v>223</v>
      </c>
      <c r="AA10" t="s">
        <v>223</v>
      </c>
      <c r="AB10" t="s">
        <v>223</v>
      </c>
      <c r="AC10" t="s">
        <v>223</v>
      </c>
      <c r="AD10" t="s">
        <v>223</v>
      </c>
      <c r="AE10" t="s">
        <v>223</v>
      </c>
      <c r="AF10" t="s">
        <v>223</v>
      </c>
      <c r="AG10" t="s">
        <v>223</v>
      </c>
      <c r="AH10" t="s">
        <v>223</v>
      </c>
      <c r="AI10" t="s">
        <v>223</v>
      </c>
      <c r="AJ10" t="s">
        <v>223</v>
      </c>
      <c r="AK10" t="s">
        <v>223</v>
      </c>
      <c r="AL10" t="s">
        <v>223</v>
      </c>
      <c r="AM10" t="s">
        <v>223</v>
      </c>
      <c r="AN10" s="9" t="s">
        <v>415</v>
      </c>
    </row>
    <row r="11" spans="1:40">
      <c r="A11" t="s">
        <v>361</v>
      </c>
      <c r="B11">
        <v>46</v>
      </c>
      <c r="C11">
        <v>47</v>
      </c>
      <c r="D11" t="s">
        <v>223</v>
      </c>
      <c r="E11" t="s">
        <v>223</v>
      </c>
      <c r="F11" t="s">
        <v>223</v>
      </c>
      <c r="G11" t="s">
        <v>223</v>
      </c>
      <c r="H11" t="s">
        <v>223</v>
      </c>
      <c r="I11" t="s">
        <v>223</v>
      </c>
      <c r="J11" t="s">
        <v>223</v>
      </c>
      <c r="K11" t="s">
        <v>223</v>
      </c>
      <c r="L11" t="s">
        <v>223</v>
      </c>
      <c r="M11" t="s">
        <v>223</v>
      </c>
      <c r="N11" t="s">
        <v>223</v>
      </c>
      <c r="O11" t="s">
        <v>223</v>
      </c>
      <c r="P11" t="s">
        <v>223</v>
      </c>
      <c r="Q11" t="s">
        <v>223</v>
      </c>
      <c r="R11" t="s">
        <v>223</v>
      </c>
      <c r="S11" t="s">
        <v>223</v>
      </c>
      <c r="T11" t="s">
        <v>223</v>
      </c>
      <c r="U11" t="s">
        <v>223</v>
      </c>
      <c r="V11" t="s">
        <v>223</v>
      </c>
      <c r="W11" t="s">
        <v>223</v>
      </c>
      <c r="X11" t="s">
        <v>223</v>
      </c>
      <c r="Y11" t="s">
        <v>223</v>
      </c>
      <c r="Z11" t="s">
        <v>223</v>
      </c>
      <c r="AA11" t="s">
        <v>223</v>
      </c>
      <c r="AB11" t="s">
        <v>223</v>
      </c>
      <c r="AC11" t="s">
        <v>223</v>
      </c>
      <c r="AD11" t="s">
        <v>223</v>
      </c>
      <c r="AE11" t="s">
        <v>223</v>
      </c>
      <c r="AF11" t="s">
        <v>223</v>
      </c>
      <c r="AG11" t="s">
        <v>223</v>
      </c>
      <c r="AH11" t="s">
        <v>223</v>
      </c>
      <c r="AI11" t="s">
        <v>223</v>
      </c>
      <c r="AJ11" t="s">
        <v>223</v>
      </c>
      <c r="AK11" t="s">
        <v>223</v>
      </c>
      <c r="AL11" t="s">
        <v>223</v>
      </c>
      <c r="AM11" t="s">
        <v>223</v>
      </c>
      <c r="AN11" s="9" t="s">
        <v>416</v>
      </c>
    </row>
    <row r="12" spans="1:40">
      <c r="A12" t="s">
        <v>361</v>
      </c>
      <c r="B12">
        <v>50</v>
      </c>
      <c r="C12">
        <v>51</v>
      </c>
      <c r="D12" t="s">
        <v>223</v>
      </c>
      <c r="E12" t="s">
        <v>223</v>
      </c>
      <c r="F12" t="s">
        <v>223</v>
      </c>
      <c r="G12" t="s">
        <v>223</v>
      </c>
      <c r="H12" t="s">
        <v>223</v>
      </c>
      <c r="I12" t="s">
        <v>223</v>
      </c>
      <c r="J12" t="s">
        <v>223</v>
      </c>
      <c r="K12" t="s">
        <v>223</v>
      </c>
      <c r="L12" t="s">
        <v>223</v>
      </c>
      <c r="M12" t="s">
        <v>223</v>
      </c>
      <c r="N12" t="s">
        <v>223</v>
      </c>
      <c r="O12" t="s">
        <v>223</v>
      </c>
      <c r="P12" t="s">
        <v>223</v>
      </c>
      <c r="Q12" t="s">
        <v>223</v>
      </c>
      <c r="R12" t="s">
        <v>223</v>
      </c>
      <c r="S12" t="s">
        <v>223</v>
      </c>
      <c r="T12" t="s">
        <v>223</v>
      </c>
      <c r="U12" t="s">
        <v>223</v>
      </c>
      <c r="V12" t="s">
        <v>223</v>
      </c>
      <c r="W12" t="s">
        <v>223</v>
      </c>
      <c r="X12" t="s">
        <v>223</v>
      </c>
      <c r="Y12" t="s">
        <v>223</v>
      </c>
      <c r="Z12" t="s">
        <v>223</v>
      </c>
      <c r="AA12" t="s">
        <v>223</v>
      </c>
      <c r="AB12" t="s">
        <v>223</v>
      </c>
      <c r="AC12" t="s">
        <v>223</v>
      </c>
      <c r="AD12" t="s">
        <v>223</v>
      </c>
      <c r="AE12" t="s">
        <v>223</v>
      </c>
      <c r="AF12" t="s">
        <v>223</v>
      </c>
      <c r="AG12" t="s">
        <v>223</v>
      </c>
      <c r="AH12" t="s">
        <v>223</v>
      </c>
      <c r="AI12" t="s">
        <v>223</v>
      </c>
      <c r="AJ12" t="s">
        <v>223</v>
      </c>
      <c r="AK12" t="s">
        <v>223</v>
      </c>
      <c r="AL12" t="s">
        <v>223</v>
      </c>
      <c r="AM12" t="s">
        <v>223</v>
      </c>
      <c r="AN12" s="9" t="s">
        <v>417</v>
      </c>
    </row>
    <row r="13" spans="1:40">
      <c r="A13" t="s">
        <v>362</v>
      </c>
      <c r="B13">
        <v>12</v>
      </c>
      <c r="C13">
        <v>13</v>
      </c>
      <c r="D13" t="s">
        <v>223</v>
      </c>
      <c r="E13" t="s">
        <v>223</v>
      </c>
      <c r="F13" t="s">
        <v>223</v>
      </c>
      <c r="G13" t="s">
        <v>223</v>
      </c>
      <c r="H13" t="s">
        <v>223</v>
      </c>
      <c r="I13" t="s">
        <v>223</v>
      </c>
      <c r="J13" t="s">
        <v>223</v>
      </c>
      <c r="K13" t="s">
        <v>223</v>
      </c>
      <c r="L13" t="s">
        <v>223</v>
      </c>
      <c r="M13" t="s">
        <v>223</v>
      </c>
      <c r="N13" t="s">
        <v>223</v>
      </c>
      <c r="O13" t="s">
        <v>223</v>
      </c>
      <c r="P13" t="s">
        <v>223</v>
      </c>
      <c r="Q13" t="s">
        <v>223</v>
      </c>
      <c r="R13" t="s">
        <v>223</v>
      </c>
      <c r="S13" t="s">
        <v>223</v>
      </c>
      <c r="T13" t="s">
        <v>223</v>
      </c>
      <c r="U13" t="s">
        <v>223</v>
      </c>
      <c r="V13" t="s">
        <v>223</v>
      </c>
      <c r="W13" t="s">
        <v>223</v>
      </c>
      <c r="X13" t="s">
        <v>223</v>
      </c>
      <c r="Y13" t="s">
        <v>223</v>
      </c>
      <c r="Z13" t="s">
        <v>223</v>
      </c>
      <c r="AA13" t="s">
        <v>223</v>
      </c>
      <c r="AB13" t="s">
        <v>223</v>
      </c>
      <c r="AC13" t="s">
        <v>223</v>
      </c>
      <c r="AD13" t="s">
        <v>223</v>
      </c>
      <c r="AE13" t="s">
        <v>223</v>
      </c>
      <c r="AF13" t="s">
        <v>223</v>
      </c>
      <c r="AG13" t="s">
        <v>223</v>
      </c>
      <c r="AH13" t="s">
        <v>223</v>
      </c>
      <c r="AI13" t="s">
        <v>223</v>
      </c>
      <c r="AJ13" t="s">
        <v>223</v>
      </c>
      <c r="AK13" t="s">
        <v>223</v>
      </c>
      <c r="AL13" t="s">
        <v>223</v>
      </c>
      <c r="AM13" t="s">
        <v>223</v>
      </c>
      <c r="AN13" s="9" t="s">
        <v>418</v>
      </c>
    </row>
    <row r="14" spans="1:40">
      <c r="A14" t="s">
        <v>362</v>
      </c>
      <c r="B14">
        <v>16</v>
      </c>
      <c r="C14">
        <v>17</v>
      </c>
      <c r="D14" t="s">
        <v>223</v>
      </c>
      <c r="E14" t="s">
        <v>223</v>
      </c>
      <c r="F14" t="s">
        <v>223</v>
      </c>
      <c r="G14" t="s">
        <v>223</v>
      </c>
      <c r="H14" t="s">
        <v>223</v>
      </c>
      <c r="I14" t="s">
        <v>223</v>
      </c>
      <c r="J14" t="s">
        <v>223</v>
      </c>
      <c r="K14" t="s">
        <v>223</v>
      </c>
      <c r="L14" t="s">
        <v>223</v>
      </c>
      <c r="M14" t="s">
        <v>223</v>
      </c>
      <c r="N14" t="s">
        <v>223</v>
      </c>
      <c r="O14" t="s">
        <v>223</v>
      </c>
      <c r="P14" t="s">
        <v>223</v>
      </c>
      <c r="Q14" t="s">
        <v>223</v>
      </c>
      <c r="R14" t="s">
        <v>223</v>
      </c>
      <c r="S14" t="s">
        <v>223</v>
      </c>
      <c r="T14" t="s">
        <v>223</v>
      </c>
      <c r="U14" t="s">
        <v>223</v>
      </c>
      <c r="V14" t="s">
        <v>223</v>
      </c>
      <c r="W14" t="s">
        <v>223</v>
      </c>
      <c r="X14" t="s">
        <v>223</v>
      </c>
      <c r="Y14" t="s">
        <v>223</v>
      </c>
      <c r="Z14" t="s">
        <v>223</v>
      </c>
      <c r="AA14" t="s">
        <v>223</v>
      </c>
      <c r="AB14" t="s">
        <v>223</v>
      </c>
      <c r="AC14" t="s">
        <v>223</v>
      </c>
      <c r="AD14" t="s">
        <v>223</v>
      </c>
      <c r="AE14" t="s">
        <v>223</v>
      </c>
      <c r="AF14" t="s">
        <v>223</v>
      </c>
      <c r="AG14" t="s">
        <v>223</v>
      </c>
      <c r="AH14" t="s">
        <v>223</v>
      </c>
      <c r="AI14" t="s">
        <v>223</v>
      </c>
      <c r="AJ14" t="s">
        <v>223</v>
      </c>
      <c r="AK14" t="s">
        <v>223</v>
      </c>
      <c r="AL14" t="s">
        <v>223</v>
      </c>
      <c r="AM14" t="s">
        <v>223</v>
      </c>
      <c r="AN14" s="9" t="s">
        <v>419</v>
      </c>
    </row>
    <row r="15" spans="1:40">
      <c r="A15" t="s">
        <v>362</v>
      </c>
      <c r="B15">
        <v>20</v>
      </c>
      <c r="C15">
        <v>21</v>
      </c>
      <c r="D15" t="s">
        <v>223</v>
      </c>
      <c r="E15" t="s">
        <v>223</v>
      </c>
      <c r="F15" t="s">
        <v>223</v>
      </c>
      <c r="G15" t="s">
        <v>223</v>
      </c>
      <c r="H15" t="s">
        <v>223</v>
      </c>
      <c r="I15" t="s">
        <v>223</v>
      </c>
      <c r="J15" t="s">
        <v>223</v>
      </c>
      <c r="K15" t="s">
        <v>223</v>
      </c>
      <c r="L15" t="s">
        <v>223</v>
      </c>
      <c r="M15" t="s">
        <v>223</v>
      </c>
      <c r="N15" t="s">
        <v>223</v>
      </c>
      <c r="O15" t="s">
        <v>223</v>
      </c>
      <c r="P15" t="s">
        <v>223</v>
      </c>
      <c r="Q15" t="s">
        <v>223</v>
      </c>
      <c r="R15" t="s">
        <v>223</v>
      </c>
      <c r="S15" t="s">
        <v>223</v>
      </c>
      <c r="T15" t="s">
        <v>223</v>
      </c>
      <c r="U15" t="s">
        <v>223</v>
      </c>
      <c r="V15" t="s">
        <v>223</v>
      </c>
      <c r="W15" t="s">
        <v>223</v>
      </c>
      <c r="X15" t="s">
        <v>223</v>
      </c>
      <c r="Y15" t="s">
        <v>223</v>
      </c>
      <c r="Z15" t="s">
        <v>223</v>
      </c>
      <c r="AA15" t="s">
        <v>223</v>
      </c>
      <c r="AB15" t="s">
        <v>223</v>
      </c>
      <c r="AC15" t="s">
        <v>223</v>
      </c>
      <c r="AD15" t="s">
        <v>223</v>
      </c>
      <c r="AE15" t="s">
        <v>223</v>
      </c>
      <c r="AF15" t="s">
        <v>223</v>
      </c>
      <c r="AG15" t="s">
        <v>223</v>
      </c>
      <c r="AH15" t="s">
        <v>223</v>
      </c>
      <c r="AI15" t="s">
        <v>223</v>
      </c>
      <c r="AJ15" t="s">
        <v>223</v>
      </c>
      <c r="AK15" t="s">
        <v>223</v>
      </c>
      <c r="AL15" t="s">
        <v>223</v>
      </c>
      <c r="AM15" t="s">
        <v>223</v>
      </c>
      <c r="AN15" s="9" t="s">
        <v>420</v>
      </c>
    </row>
    <row r="16" spans="1:40">
      <c r="A16" t="s">
        <v>362</v>
      </c>
      <c r="B16">
        <v>24</v>
      </c>
      <c r="C16">
        <v>25</v>
      </c>
      <c r="D16" t="s">
        <v>223</v>
      </c>
      <c r="E16" t="s">
        <v>223</v>
      </c>
      <c r="F16" t="s">
        <v>223</v>
      </c>
      <c r="G16" t="s">
        <v>223</v>
      </c>
      <c r="H16" t="s">
        <v>223</v>
      </c>
      <c r="I16" t="s">
        <v>223</v>
      </c>
      <c r="J16" t="s">
        <v>223</v>
      </c>
      <c r="K16" t="s">
        <v>223</v>
      </c>
      <c r="L16" t="s">
        <v>223</v>
      </c>
      <c r="M16" t="s">
        <v>223</v>
      </c>
      <c r="N16" t="s">
        <v>223</v>
      </c>
      <c r="O16" t="s">
        <v>223</v>
      </c>
      <c r="P16" t="s">
        <v>223</v>
      </c>
      <c r="Q16" t="s">
        <v>223</v>
      </c>
      <c r="R16" t="s">
        <v>223</v>
      </c>
      <c r="S16" t="s">
        <v>223</v>
      </c>
      <c r="T16" t="s">
        <v>223</v>
      </c>
      <c r="U16" t="s">
        <v>223</v>
      </c>
      <c r="V16" t="s">
        <v>223</v>
      </c>
      <c r="W16" t="s">
        <v>223</v>
      </c>
      <c r="X16" t="s">
        <v>223</v>
      </c>
      <c r="Y16" t="s">
        <v>223</v>
      </c>
      <c r="Z16" t="s">
        <v>223</v>
      </c>
      <c r="AA16" t="s">
        <v>223</v>
      </c>
      <c r="AB16" t="s">
        <v>223</v>
      </c>
      <c r="AC16" t="s">
        <v>223</v>
      </c>
      <c r="AD16" t="s">
        <v>223</v>
      </c>
      <c r="AE16" t="s">
        <v>223</v>
      </c>
      <c r="AF16" t="s">
        <v>223</v>
      </c>
      <c r="AG16" t="s">
        <v>223</v>
      </c>
      <c r="AH16" t="s">
        <v>223</v>
      </c>
      <c r="AI16" t="s">
        <v>223</v>
      </c>
      <c r="AJ16" t="s">
        <v>223</v>
      </c>
      <c r="AK16" t="s">
        <v>223</v>
      </c>
      <c r="AL16" t="s">
        <v>223</v>
      </c>
      <c r="AM16" t="s">
        <v>223</v>
      </c>
      <c r="AN16" s="9" t="s">
        <v>421</v>
      </c>
    </row>
    <row r="17" spans="1:40">
      <c r="A17" t="s">
        <v>362</v>
      </c>
      <c r="B17">
        <v>28</v>
      </c>
      <c r="C17">
        <v>29</v>
      </c>
      <c r="D17" t="s">
        <v>223</v>
      </c>
      <c r="E17" t="s">
        <v>223</v>
      </c>
      <c r="F17" t="s">
        <v>223</v>
      </c>
      <c r="G17" t="s">
        <v>223</v>
      </c>
      <c r="H17" t="s">
        <v>223</v>
      </c>
      <c r="I17" t="s">
        <v>223</v>
      </c>
      <c r="J17" t="s">
        <v>223</v>
      </c>
      <c r="K17" t="s">
        <v>223</v>
      </c>
      <c r="L17" t="s">
        <v>223</v>
      </c>
      <c r="M17" t="s">
        <v>223</v>
      </c>
      <c r="N17" t="s">
        <v>223</v>
      </c>
      <c r="O17" t="s">
        <v>223</v>
      </c>
      <c r="P17" t="s">
        <v>223</v>
      </c>
      <c r="Q17" t="s">
        <v>223</v>
      </c>
      <c r="R17" t="s">
        <v>223</v>
      </c>
      <c r="S17" t="s">
        <v>223</v>
      </c>
      <c r="T17" t="s">
        <v>223</v>
      </c>
      <c r="U17" t="s">
        <v>223</v>
      </c>
      <c r="V17" t="s">
        <v>223</v>
      </c>
      <c r="W17" t="s">
        <v>223</v>
      </c>
      <c r="X17" t="s">
        <v>223</v>
      </c>
      <c r="Y17" t="s">
        <v>223</v>
      </c>
      <c r="Z17" t="s">
        <v>223</v>
      </c>
      <c r="AA17" t="s">
        <v>223</v>
      </c>
      <c r="AB17" t="s">
        <v>223</v>
      </c>
      <c r="AC17" t="s">
        <v>223</v>
      </c>
      <c r="AD17" t="s">
        <v>223</v>
      </c>
      <c r="AE17" t="s">
        <v>223</v>
      </c>
      <c r="AF17" t="s">
        <v>223</v>
      </c>
      <c r="AG17" t="s">
        <v>223</v>
      </c>
      <c r="AH17" t="s">
        <v>223</v>
      </c>
      <c r="AI17" t="s">
        <v>223</v>
      </c>
      <c r="AJ17" t="s">
        <v>223</v>
      </c>
      <c r="AK17" t="s">
        <v>223</v>
      </c>
      <c r="AL17" t="s">
        <v>223</v>
      </c>
      <c r="AM17" t="s">
        <v>223</v>
      </c>
      <c r="AN17" s="9" t="s">
        <v>422</v>
      </c>
    </row>
    <row r="18" spans="1:40">
      <c r="A18" t="s">
        <v>362</v>
      </c>
      <c r="B18">
        <v>32</v>
      </c>
      <c r="C18">
        <v>33</v>
      </c>
      <c r="D18" t="s">
        <v>223</v>
      </c>
      <c r="E18" t="s">
        <v>223</v>
      </c>
      <c r="F18" t="s">
        <v>223</v>
      </c>
      <c r="G18" t="s">
        <v>223</v>
      </c>
      <c r="H18" t="s">
        <v>223</v>
      </c>
      <c r="I18" t="s">
        <v>223</v>
      </c>
      <c r="J18" t="s">
        <v>223</v>
      </c>
      <c r="K18" t="s">
        <v>223</v>
      </c>
      <c r="L18" t="s">
        <v>223</v>
      </c>
      <c r="M18" t="s">
        <v>223</v>
      </c>
      <c r="N18" t="s">
        <v>223</v>
      </c>
      <c r="O18" t="s">
        <v>223</v>
      </c>
      <c r="P18" t="s">
        <v>223</v>
      </c>
      <c r="Q18" t="s">
        <v>223</v>
      </c>
      <c r="R18" t="s">
        <v>223</v>
      </c>
      <c r="S18" t="s">
        <v>223</v>
      </c>
      <c r="T18" t="s">
        <v>223</v>
      </c>
      <c r="U18" t="s">
        <v>223</v>
      </c>
      <c r="V18" t="s">
        <v>223</v>
      </c>
      <c r="W18" t="s">
        <v>223</v>
      </c>
      <c r="X18" t="s">
        <v>223</v>
      </c>
      <c r="Y18" t="s">
        <v>223</v>
      </c>
      <c r="Z18" t="s">
        <v>223</v>
      </c>
      <c r="AA18" t="s">
        <v>223</v>
      </c>
      <c r="AB18" t="s">
        <v>223</v>
      </c>
      <c r="AC18" t="s">
        <v>223</v>
      </c>
      <c r="AD18" t="s">
        <v>223</v>
      </c>
      <c r="AE18" t="s">
        <v>223</v>
      </c>
      <c r="AF18" t="s">
        <v>223</v>
      </c>
      <c r="AG18" t="s">
        <v>223</v>
      </c>
      <c r="AH18" t="s">
        <v>223</v>
      </c>
      <c r="AI18" t="s">
        <v>223</v>
      </c>
      <c r="AJ18" t="s">
        <v>223</v>
      </c>
      <c r="AK18" t="s">
        <v>223</v>
      </c>
      <c r="AL18" t="s">
        <v>223</v>
      </c>
      <c r="AM18" t="s">
        <v>223</v>
      </c>
      <c r="AN18" s="9" t="s">
        <v>423</v>
      </c>
    </row>
    <row r="19" spans="1:40">
      <c r="A19" t="s">
        <v>362</v>
      </c>
      <c r="B19">
        <v>36</v>
      </c>
      <c r="C19">
        <v>37</v>
      </c>
      <c r="D19" t="s">
        <v>223</v>
      </c>
      <c r="E19" t="s">
        <v>223</v>
      </c>
      <c r="F19" t="s">
        <v>223</v>
      </c>
      <c r="G19" t="s">
        <v>223</v>
      </c>
      <c r="H19" t="s">
        <v>223</v>
      </c>
      <c r="I19" t="s">
        <v>223</v>
      </c>
      <c r="J19" t="s">
        <v>223</v>
      </c>
      <c r="K19" t="s">
        <v>223</v>
      </c>
      <c r="L19" t="s">
        <v>223</v>
      </c>
      <c r="M19" t="s">
        <v>223</v>
      </c>
      <c r="N19" t="s">
        <v>223</v>
      </c>
      <c r="O19" t="s">
        <v>223</v>
      </c>
      <c r="P19" t="s">
        <v>223</v>
      </c>
      <c r="Q19" t="s">
        <v>223</v>
      </c>
      <c r="R19" t="s">
        <v>223</v>
      </c>
      <c r="S19" t="s">
        <v>223</v>
      </c>
      <c r="T19" t="s">
        <v>223</v>
      </c>
      <c r="U19" t="s">
        <v>223</v>
      </c>
      <c r="V19" t="s">
        <v>223</v>
      </c>
      <c r="W19" t="s">
        <v>223</v>
      </c>
      <c r="X19" t="s">
        <v>223</v>
      </c>
      <c r="Y19" t="s">
        <v>223</v>
      </c>
      <c r="Z19" t="s">
        <v>223</v>
      </c>
      <c r="AA19" t="s">
        <v>223</v>
      </c>
      <c r="AB19" t="s">
        <v>223</v>
      </c>
      <c r="AC19" t="s">
        <v>223</v>
      </c>
      <c r="AD19" t="s">
        <v>223</v>
      </c>
      <c r="AE19" t="s">
        <v>223</v>
      </c>
      <c r="AF19" t="s">
        <v>223</v>
      </c>
      <c r="AG19" t="s">
        <v>223</v>
      </c>
      <c r="AH19" t="s">
        <v>223</v>
      </c>
      <c r="AI19" t="s">
        <v>223</v>
      </c>
      <c r="AJ19" t="s">
        <v>223</v>
      </c>
      <c r="AK19" t="s">
        <v>223</v>
      </c>
      <c r="AL19" t="s">
        <v>223</v>
      </c>
      <c r="AM19" t="s">
        <v>223</v>
      </c>
      <c r="AN19" s="9" t="s">
        <v>424</v>
      </c>
    </row>
    <row r="20" spans="1:40">
      <c r="A20" t="s">
        <v>362</v>
      </c>
      <c r="B20">
        <v>40</v>
      </c>
      <c r="C20">
        <v>41</v>
      </c>
      <c r="D20" t="s">
        <v>223</v>
      </c>
      <c r="E20" t="s">
        <v>223</v>
      </c>
      <c r="F20" t="s">
        <v>223</v>
      </c>
      <c r="G20" t="s">
        <v>223</v>
      </c>
      <c r="H20" t="s">
        <v>223</v>
      </c>
      <c r="I20" t="s">
        <v>223</v>
      </c>
      <c r="J20" t="s">
        <v>223</v>
      </c>
      <c r="K20" t="s">
        <v>223</v>
      </c>
      <c r="L20" t="s">
        <v>223</v>
      </c>
      <c r="M20" t="s">
        <v>223</v>
      </c>
      <c r="N20" t="s">
        <v>223</v>
      </c>
      <c r="O20" t="s">
        <v>223</v>
      </c>
      <c r="P20" t="s">
        <v>223</v>
      </c>
      <c r="Q20" t="s">
        <v>223</v>
      </c>
      <c r="R20" t="s">
        <v>223</v>
      </c>
      <c r="S20" t="s">
        <v>223</v>
      </c>
      <c r="T20" t="s">
        <v>223</v>
      </c>
      <c r="U20" t="s">
        <v>223</v>
      </c>
      <c r="V20" t="s">
        <v>223</v>
      </c>
      <c r="W20" t="s">
        <v>223</v>
      </c>
      <c r="X20" t="s">
        <v>223</v>
      </c>
      <c r="Y20" t="s">
        <v>223</v>
      </c>
      <c r="Z20" t="s">
        <v>223</v>
      </c>
      <c r="AA20" t="s">
        <v>223</v>
      </c>
      <c r="AB20" t="s">
        <v>223</v>
      </c>
      <c r="AC20" t="s">
        <v>223</v>
      </c>
      <c r="AD20" t="s">
        <v>223</v>
      </c>
      <c r="AE20" t="s">
        <v>223</v>
      </c>
      <c r="AF20" t="s">
        <v>223</v>
      </c>
      <c r="AG20" t="s">
        <v>223</v>
      </c>
      <c r="AH20" t="s">
        <v>223</v>
      </c>
      <c r="AI20" t="s">
        <v>223</v>
      </c>
      <c r="AJ20" t="s">
        <v>223</v>
      </c>
      <c r="AK20" t="s">
        <v>223</v>
      </c>
      <c r="AL20" t="s">
        <v>223</v>
      </c>
      <c r="AM20" t="s">
        <v>223</v>
      </c>
      <c r="AN20" s="9" t="s">
        <v>425</v>
      </c>
    </row>
    <row r="21" spans="1:40">
      <c r="A21" t="s">
        <v>362</v>
      </c>
      <c r="B21">
        <v>44</v>
      </c>
      <c r="C21">
        <v>45</v>
      </c>
      <c r="D21" t="s">
        <v>223</v>
      </c>
      <c r="E21" t="s">
        <v>223</v>
      </c>
      <c r="F21" t="s">
        <v>223</v>
      </c>
      <c r="G21" t="s">
        <v>223</v>
      </c>
      <c r="H21" t="s">
        <v>223</v>
      </c>
      <c r="I21" t="s">
        <v>223</v>
      </c>
      <c r="J21" t="s">
        <v>223</v>
      </c>
      <c r="K21" t="s">
        <v>223</v>
      </c>
      <c r="L21" t="s">
        <v>223</v>
      </c>
      <c r="M21" t="s">
        <v>223</v>
      </c>
      <c r="N21" t="s">
        <v>223</v>
      </c>
      <c r="O21" t="s">
        <v>223</v>
      </c>
      <c r="P21" t="s">
        <v>223</v>
      </c>
      <c r="Q21" t="s">
        <v>223</v>
      </c>
      <c r="R21" t="s">
        <v>223</v>
      </c>
      <c r="S21" t="s">
        <v>223</v>
      </c>
      <c r="T21" t="s">
        <v>223</v>
      </c>
      <c r="U21" t="s">
        <v>223</v>
      </c>
      <c r="V21" t="s">
        <v>223</v>
      </c>
      <c r="W21" t="s">
        <v>223</v>
      </c>
      <c r="X21" t="s">
        <v>223</v>
      </c>
      <c r="Y21" t="s">
        <v>223</v>
      </c>
      <c r="Z21" t="s">
        <v>223</v>
      </c>
      <c r="AA21" t="s">
        <v>223</v>
      </c>
      <c r="AB21" t="s">
        <v>223</v>
      </c>
      <c r="AC21" t="s">
        <v>223</v>
      </c>
      <c r="AD21" t="s">
        <v>223</v>
      </c>
      <c r="AE21" t="s">
        <v>223</v>
      </c>
      <c r="AF21" t="s">
        <v>223</v>
      </c>
      <c r="AG21" t="s">
        <v>223</v>
      </c>
      <c r="AH21" t="s">
        <v>223</v>
      </c>
      <c r="AI21" t="s">
        <v>223</v>
      </c>
      <c r="AJ21" t="s">
        <v>223</v>
      </c>
      <c r="AK21" t="s">
        <v>223</v>
      </c>
      <c r="AL21" t="s">
        <v>223</v>
      </c>
      <c r="AM21" t="s">
        <v>223</v>
      </c>
      <c r="AN21" s="9" t="s">
        <v>426</v>
      </c>
    </row>
    <row r="22" spans="1:40">
      <c r="A22" t="s">
        <v>362</v>
      </c>
      <c r="B22">
        <v>48</v>
      </c>
      <c r="C22">
        <v>49</v>
      </c>
      <c r="D22" t="s">
        <v>223</v>
      </c>
      <c r="E22" t="s">
        <v>223</v>
      </c>
      <c r="F22" t="s">
        <v>223</v>
      </c>
      <c r="G22" t="s">
        <v>223</v>
      </c>
      <c r="H22" t="s">
        <v>223</v>
      </c>
      <c r="I22" t="s">
        <v>223</v>
      </c>
      <c r="J22" t="s">
        <v>223</v>
      </c>
      <c r="K22" t="s">
        <v>223</v>
      </c>
      <c r="L22" t="s">
        <v>223</v>
      </c>
      <c r="M22" t="s">
        <v>223</v>
      </c>
      <c r="N22" t="s">
        <v>223</v>
      </c>
      <c r="O22" t="s">
        <v>223</v>
      </c>
      <c r="P22" t="s">
        <v>223</v>
      </c>
      <c r="Q22" t="s">
        <v>223</v>
      </c>
      <c r="R22" t="s">
        <v>223</v>
      </c>
      <c r="S22" t="s">
        <v>223</v>
      </c>
      <c r="T22" t="s">
        <v>223</v>
      </c>
      <c r="U22" t="s">
        <v>223</v>
      </c>
      <c r="V22" t="s">
        <v>223</v>
      </c>
      <c r="W22" t="s">
        <v>223</v>
      </c>
      <c r="X22" t="s">
        <v>223</v>
      </c>
      <c r="Y22" t="s">
        <v>223</v>
      </c>
      <c r="Z22" t="s">
        <v>223</v>
      </c>
      <c r="AA22" t="s">
        <v>223</v>
      </c>
      <c r="AB22" t="s">
        <v>223</v>
      </c>
      <c r="AC22" t="s">
        <v>223</v>
      </c>
      <c r="AD22" t="s">
        <v>223</v>
      </c>
      <c r="AE22" t="s">
        <v>223</v>
      </c>
      <c r="AF22" t="s">
        <v>223</v>
      </c>
      <c r="AG22" t="s">
        <v>223</v>
      </c>
      <c r="AH22" t="s">
        <v>223</v>
      </c>
      <c r="AI22" t="s">
        <v>223</v>
      </c>
      <c r="AJ22" t="s">
        <v>223</v>
      </c>
      <c r="AK22" t="s">
        <v>223</v>
      </c>
      <c r="AL22" t="s">
        <v>223</v>
      </c>
      <c r="AM22" t="s">
        <v>223</v>
      </c>
      <c r="AN22" s="9" t="s">
        <v>427</v>
      </c>
    </row>
    <row r="23" spans="1:40">
      <c r="A23" t="s">
        <v>362</v>
      </c>
      <c r="B23">
        <v>52</v>
      </c>
      <c r="C23">
        <v>53</v>
      </c>
      <c r="D23" t="s">
        <v>223</v>
      </c>
      <c r="E23" t="s">
        <v>223</v>
      </c>
      <c r="F23" t="s">
        <v>223</v>
      </c>
      <c r="G23" t="s">
        <v>223</v>
      </c>
      <c r="H23" t="s">
        <v>223</v>
      </c>
      <c r="I23" t="s">
        <v>223</v>
      </c>
      <c r="J23" t="s">
        <v>223</v>
      </c>
      <c r="K23" t="s">
        <v>223</v>
      </c>
      <c r="L23" t="s">
        <v>223</v>
      </c>
      <c r="M23" t="s">
        <v>223</v>
      </c>
      <c r="N23" t="s">
        <v>223</v>
      </c>
      <c r="O23" t="s">
        <v>223</v>
      </c>
      <c r="P23" t="s">
        <v>223</v>
      </c>
      <c r="Q23" t="s">
        <v>223</v>
      </c>
      <c r="R23" t="s">
        <v>223</v>
      </c>
      <c r="S23" t="s">
        <v>223</v>
      </c>
      <c r="T23" t="s">
        <v>223</v>
      </c>
      <c r="U23" t="s">
        <v>223</v>
      </c>
      <c r="V23" t="s">
        <v>223</v>
      </c>
      <c r="W23" t="s">
        <v>223</v>
      </c>
      <c r="X23" t="s">
        <v>223</v>
      </c>
      <c r="Y23" t="s">
        <v>223</v>
      </c>
      <c r="Z23" t="s">
        <v>223</v>
      </c>
      <c r="AA23" t="s">
        <v>223</v>
      </c>
      <c r="AB23" t="s">
        <v>223</v>
      </c>
      <c r="AC23" t="s">
        <v>223</v>
      </c>
      <c r="AD23" t="s">
        <v>223</v>
      </c>
      <c r="AE23" t="s">
        <v>223</v>
      </c>
      <c r="AF23" t="s">
        <v>223</v>
      </c>
      <c r="AG23" t="s">
        <v>223</v>
      </c>
      <c r="AH23" t="s">
        <v>223</v>
      </c>
      <c r="AI23" t="s">
        <v>223</v>
      </c>
      <c r="AJ23" t="s">
        <v>223</v>
      </c>
      <c r="AK23" t="s">
        <v>223</v>
      </c>
      <c r="AL23" t="s">
        <v>223</v>
      </c>
      <c r="AM23" t="s">
        <v>223</v>
      </c>
      <c r="AN23" s="9" t="s">
        <v>428</v>
      </c>
    </row>
    <row r="24" spans="1:40">
      <c r="A24" t="s">
        <v>363</v>
      </c>
      <c r="B24">
        <v>16</v>
      </c>
      <c r="C24">
        <v>21</v>
      </c>
      <c r="D24">
        <v>17</v>
      </c>
      <c r="E24">
        <v>18</v>
      </c>
      <c r="F24">
        <v>19</v>
      </c>
      <c r="G24">
        <v>20</v>
      </c>
      <c r="H24" t="s">
        <v>223</v>
      </c>
      <c r="I24" t="s">
        <v>223</v>
      </c>
      <c r="J24" t="s">
        <v>223</v>
      </c>
      <c r="K24" t="s">
        <v>223</v>
      </c>
      <c r="L24" t="s">
        <v>223</v>
      </c>
      <c r="M24" t="s">
        <v>223</v>
      </c>
      <c r="N24" t="s">
        <v>223</v>
      </c>
      <c r="O24" t="s">
        <v>223</v>
      </c>
      <c r="P24" t="s">
        <v>223</v>
      </c>
      <c r="Q24" t="s">
        <v>223</v>
      </c>
      <c r="R24" t="s">
        <v>223</v>
      </c>
      <c r="S24" t="s">
        <v>223</v>
      </c>
      <c r="T24" t="s">
        <v>223</v>
      </c>
      <c r="U24" t="s">
        <v>223</v>
      </c>
      <c r="V24" t="s">
        <v>223</v>
      </c>
      <c r="W24" t="s">
        <v>223</v>
      </c>
      <c r="X24" t="s">
        <v>223</v>
      </c>
      <c r="Y24" t="s">
        <v>223</v>
      </c>
      <c r="Z24" t="s">
        <v>223</v>
      </c>
      <c r="AA24" t="s">
        <v>223</v>
      </c>
      <c r="AB24" t="s">
        <v>223</v>
      </c>
      <c r="AC24" t="s">
        <v>223</v>
      </c>
      <c r="AD24" t="s">
        <v>223</v>
      </c>
      <c r="AE24" t="s">
        <v>223</v>
      </c>
      <c r="AF24" t="s">
        <v>223</v>
      </c>
      <c r="AG24" t="s">
        <v>223</v>
      </c>
      <c r="AH24" t="s">
        <v>223</v>
      </c>
      <c r="AI24" t="s">
        <v>223</v>
      </c>
      <c r="AJ24" t="s">
        <v>223</v>
      </c>
      <c r="AK24" t="s">
        <v>223</v>
      </c>
      <c r="AL24" t="s">
        <v>223</v>
      </c>
      <c r="AM24" t="s">
        <v>223</v>
      </c>
      <c r="AN24" s="9" t="s">
        <v>429</v>
      </c>
    </row>
    <row r="25" spans="1:40">
      <c r="A25" t="s">
        <v>363</v>
      </c>
      <c r="B25">
        <v>28</v>
      </c>
      <c r="C25">
        <v>33</v>
      </c>
      <c r="D25">
        <v>29</v>
      </c>
      <c r="E25">
        <v>30</v>
      </c>
      <c r="F25">
        <v>31</v>
      </c>
      <c r="G25">
        <v>32</v>
      </c>
      <c r="H25" t="s">
        <v>223</v>
      </c>
      <c r="I25" t="s">
        <v>223</v>
      </c>
      <c r="J25" t="s">
        <v>223</v>
      </c>
      <c r="K25" t="s">
        <v>223</v>
      </c>
      <c r="L25" t="s">
        <v>223</v>
      </c>
      <c r="M25" t="s">
        <v>223</v>
      </c>
      <c r="N25" t="s">
        <v>223</v>
      </c>
      <c r="O25" t="s">
        <v>223</v>
      </c>
      <c r="P25" t="s">
        <v>223</v>
      </c>
      <c r="Q25" t="s">
        <v>223</v>
      </c>
      <c r="R25" t="s">
        <v>223</v>
      </c>
      <c r="S25" t="s">
        <v>223</v>
      </c>
      <c r="T25" t="s">
        <v>223</v>
      </c>
      <c r="U25" t="s">
        <v>223</v>
      </c>
      <c r="V25" t="s">
        <v>223</v>
      </c>
      <c r="W25" t="s">
        <v>223</v>
      </c>
      <c r="X25" t="s">
        <v>223</v>
      </c>
      <c r="Y25" t="s">
        <v>223</v>
      </c>
      <c r="Z25" t="s">
        <v>223</v>
      </c>
      <c r="AA25" t="s">
        <v>223</v>
      </c>
      <c r="AB25" t="s">
        <v>223</v>
      </c>
      <c r="AC25" t="s">
        <v>223</v>
      </c>
      <c r="AD25" t="s">
        <v>223</v>
      </c>
      <c r="AE25" t="s">
        <v>223</v>
      </c>
      <c r="AF25" t="s">
        <v>223</v>
      </c>
      <c r="AG25" t="s">
        <v>223</v>
      </c>
      <c r="AH25" t="s">
        <v>223</v>
      </c>
      <c r="AI25" t="s">
        <v>223</v>
      </c>
      <c r="AJ25" t="s">
        <v>223</v>
      </c>
      <c r="AK25" t="s">
        <v>223</v>
      </c>
      <c r="AL25" t="s">
        <v>223</v>
      </c>
      <c r="AM25" t="s">
        <v>223</v>
      </c>
      <c r="AN25" s="9" t="s">
        <v>430</v>
      </c>
    </row>
    <row r="26" spans="1:40">
      <c r="A26" t="s">
        <v>363</v>
      </c>
      <c r="B26">
        <v>40</v>
      </c>
      <c r="C26">
        <v>45</v>
      </c>
      <c r="D26">
        <v>41</v>
      </c>
      <c r="E26">
        <v>42</v>
      </c>
      <c r="F26">
        <v>43</v>
      </c>
      <c r="G26">
        <v>44</v>
      </c>
      <c r="H26" t="s">
        <v>223</v>
      </c>
      <c r="I26" t="s">
        <v>223</v>
      </c>
      <c r="J26" t="s">
        <v>223</v>
      </c>
      <c r="K26" t="s">
        <v>223</v>
      </c>
      <c r="L26" t="s">
        <v>223</v>
      </c>
      <c r="M26" t="s">
        <v>223</v>
      </c>
      <c r="N26" t="s">
        <v>223</v>
      </c>
      <c r="O26" t="s">
        <v>223</v>
      </c>
      <c r="P26" t="s">
        <v>223</v>
      </c>
      <c r="Q26" t="s">
        <v>223</v>
      </c>
      <c r="R26" t="s">
        <v>223</v>
      </c>
      <c r="S26" t="s">
        <v>223</v>
      </c>
      <c r="T26" t="s">
        <v>223</v>
      </c>
      <c r="U26" t="s">
        <v>223</v>
      </c>
      <c r="V26" t="s">
        <v>223</v>
      </c>
      <c r="W26" t="s">
        <v>223</v>
      </c>
      <c r="X26" t="s">
        <v>223</v>
      </c>
      <c r="Y26" t="s">
        <v>223</v>
      </c>
      <c r="Z26" t="s">
        <v>223</v>
      </c>
      <c r="AA26" t="s">
        <v>223</v>
      </c>
      <c r="AB26" t="s">
        <v>223</v>
      </c>
      <c r="AC26" t="s">
        <v>223</v>
      </c>
      <c r="AD26" t="s">
        <v>223</v>
      </c>
      <c r="AE26" t="s">
        <v>223</v>
      </c>
      <c r="AF26" t="s">
        <v>223</v>
      </c>
      <c r="AG26" t="s">
        <v>223</v>
      </c>
      <c r="AH26" t="s">
        <v>223</v>
      </c>
      <c r="AI26" t="s">
        <v>223</v>
      </c>
      <c r="AJ26" t="s">
        <v>223</v>
      </c>
      <c r="AK26" t="s">
        <v>223</v>
      </c>
      <c r="AL26" t="s">
        <v>223</v>
      </c>
      <c r="AM26" t="s">
        <v>223</v>
      </c>
      <c r="AN26" s="9" t="s">
        <v>431</v>
      </c>
    </row>
    <row r="27" spans="1:40">
      <c r="A27" t="s">
        <v>364</v>
      </c>
      <c r="B27">
        <v>10</v>
      </c>
      <c r="C27">
        <v>11</v>
      </c>
      <c r="D27">
        <v>12</v>
      </c>
      <c r="E27">
        <v>13</v>
      </c>
      <c r="F27">
        <v>14</v>
      </c>
      <c r="G27">
        <v>15</v>
      </c>
      <c r="H27" t="s">
        <v>223</v>
      </c>
      <c r="I27" t="s">
        <v>223</v>
      </c>
      <c r="J27" t="s">
        <v>223</v>
      </c>
      <c r="K27" t="s">
        <v>223</v>
      </c>
      <c r="L27" t="s">
        <v>223</v>
      </c>
      <c r="M27" t="s">
        <v>223</v>
      </c>
      <c r="N27" t="s">
        <v>223</v>
      </c>
      <c r="O27" t="s">
        <v>223</v>
      </c>
      <c r="P27" t="s">
        <v>223</v>
      </c>
      <c r="Q27" t="s">
        <v>223</v>
      </c>
      <c r="R27" t="s">
        <v>223</v>
      </c>
      <c r="S27" t="s">
        <v>223</v>
      </c>
      <c r="T27" t="s">
        <v>223</v>
      </c>
      <c r="U27" t="s">
        <v>223</v>
      </c>
      <c r="V27" t="s">
        <v>223</v>
      </c>
      <c r="W27" t="s">
        <v>223</v>
      </c>
      <c r="X27" t="s">
        <v>223</v>
      </c>
      <c r="Y27" t="s">
        <v>223</v>
      </c>
      <c r="Z27" t="s">
        <v>223</v>
      </c>
      <c r="AA27" t="s">
        <v>223</v>
      </c>
      <c r="AB27" t="s">
        <v>223</v>
      </c>
      <c r="AC27" t="s">
        <v>223</v>
      </c>
      <c r="AD27" t="s">
        <v>223</v>
      </c>
      <c r="AE27" t="s">
        <v>223</v>
      </c>
      <c r="AF27" t="s">
        <v>223</v>
      </c>
      <c r="AG27" t="s">
        <v>223</v>
      </c>
      <c r="AH27" t="s">
        <v>223</v>
      </c>
      <c r="AI27" t="s">
        <v>223</v>
      </c>
      <c r="AJ27" t="s">
        <v>223</v>
      </c>
      <c r="AK27" t="s">
        <v>223</v>
      </c>
      <c r="AL27" t="s">
        <v>223</v>
      </c>
      <c r="AM27" t="s">
        <v>223</v>
      </c>
      <c r="AN27" s="9" t="s">
        <v>432</v>
      </c>
    </row>
    <row r="28" spans="1:40">
      <c r="A28" t="s">
        <v>364</v>
      </c>
      <c r="B28">
        <v>22</v>
      </c>
      <c r="C28">
        <v>23</v>
      </c>
      <c r="D28">
        <v>24</v>
      </c>
      <c r="E28">
        <v>25</v>
      </c>
      <c r="F28">
        <v>26</v>
      </c>
      <c r="G28">
        <v>27</v>
      </c>
      <c r="H28" t="s">
        <v>223</v>
      </c>
      <c r="I28" t="s">
        <v>223</v>
      </c>
      <c r="J28" t="s">
        <v>223</v>
      </c>
      <c r="K28" t="s">
        <v>223</v>
      </c>
      <c r="L28" t="s">
        <v>223</v>
      </c>
      <c r="M28" t="s">
        <v>223</v>
      </c>
      <c r="N28" t="s">
        <v>223</v>
      </c>
      <c r="O28" t="s">
        <v>223</v>
      </c>
      <c r="P28" t="s">
        <v>223</v>
      </c>
      <c r="Q28" t="s">
        <v>223</v>
      </c>
      <c r="R28" t="s">
        <v>223</v>
      </c>
      <c r="S28" t="s">
        <v>223</v>
      </c>
      <c r="T28" t="s">
        <v>223</v>
      </c>
      <c r="U28" t="s">
        <v>223</v>
      </c>
      <c r="V28" t="s">
        <v>223</v>
      </c>
      <c r="W28" t="s">
        <v>223</v>
      </c>
      <c r="X28" t="s">
        <v>223</v>
      </c>
      <c r="Y28" t="s">
        <v>223</v>
      </c>
      <c r="Z28" t="s">
        <v>223</v>
      </c>
      <c r="AA28" t="s">
        <v>223</v>
      </c>
      <c r="AB28" t="s">
        <v>223</v>
      </c>
      <c r="AC28" t="s">
        <v>223</v>
      </c>
      <c r="AD28" t="s">
        <v>223</v>
      </c>
      <c r="AE28" t="s">
        <v>223</v>
      </c>
      <c r="AF28" t="s">
        <v>223</v>
      </c>
      <c r="AG28" t="s">
        <v>223</v>
      </c>
      <c r="AH28" t="s">
        <v>223</v>
      </c>
      <c r="AI28" t="s">
        <v>223</v>
      </c>
      <c r="AJ28" t="s">
        <v>223</v>
      </c>
      <c r="AK28" t="s">
        <v>223</v>
      </c>
      <c r="AL28" t="s">
        <v>223</v>
      </c>
      <c r="AM28" t="s">
        <v>223</v>
      </c>
      <c r="AN28" s="9" t="s">
        <v>433</v>
      </c>
    </row>
    <row r="29" spans="1:40">
      <c r="A29" t="s">
        <v>364</v>
      </c>
      <c r="B29">
        <v>34</v>
      </c>
      <c r="C29">
        <v>35</v>
      </c>
      <c r="D29">
        <v>36</v>
      </c>
      <c r="E29">
        <v>37</v>
      </c>
      <c r="F29">
        <v>38</v>
      </c>
      <c r="G29">
        <v>39</v>
      </c>
      <c r="H29" t="s">
        <v>223</v>
      </c>
      <c r="I29" t="s">
        <v>223</v>
      </c>
      <c r="J29" t="s">
        <v>223</v>
      </c>
      <c r="K29" t="s">
        <v>223</v>
      </c>
      <c r="L29" t="s">
        <v>223</v>
      </c>
      <c r="M29" t="s">
        <v>223</v>
      </c>
      <c r="N29" t="s">
        <v>223</v>
      </c>
      <c r="O29" t="s">
        <v>223</v>
      </c>
      <c r="P29" t="s">
        <v>223</v>
      </c>
      <c r="Q29" t="s">
        <v>223</v>
      </c>
      <c r="R29" t="s">
        <v>223</v>
      </c>
      <c r="S29" t="s">
        <v>223</v>
      </c>
      <c r="T29" t="s">
        <v>223</v>
      </c>
      <c r="U29" t="s">
        <v>223</v>
      </c>
      <c r="V29" t="s">
        <v>223</v>
      </c>
      <c r="W29" t="s">
        <v>223</v>
      </c>
      <c r="X29" t="s">
        <v>223</v>
      </c>
      <c r="Y29" t="s">
        <v>223</v>
      </c>
      <c r="Z29" t="s">
        <v>223</v>
      </c>
      <c r="AA29" t="s">
        <v>223</v>
      </c>
      <c r="AB29" t="s">
        <v>223</v>
      </c>
      <c r="AC29" t="s">
        <v>223</v>
      </c>
      <c r="AD29" t="s">
        <v>223</v>
      </c>
      <c r="AE29" t="s">
        <v>223</v>
      </c>
      <c r="AF29" t="s">
        <v>223</v>
      </c>
      <c r="AG29" t="s">
        <v>223</v>
      </c>
      <c r="AH29" t="s">
        <v>223</v>
      </c>
      <c r="AI29" t="s">
        <v>223</v>
      </c>
      <c r="AJ29" t="s">
        <v>223</v>
      </c>
      <c r="AK29" t="s">
        <v>223</v>
      </c>
      <c r="AL29" t="s">
        <v>223</v>
      </c>
      <c r="AM29" t="s">
        <v>223</v>
      </c>
      <c r="AN29" s="9" t="s">
        <v>434</v>
      </c>
    </row>
    <row r="30" spans="1:40">
      <c r="A30" t="s">
        <v>364</v>
      </c>
      <c r="B30">
        <v>46</v>
      </c>
      <c r="C30">
        <v>47</v>
      </c>
      <c r="D30">
        <v>48</v>
      </c>
      <c r="E30">
        <v>49</v>
      </c>
      <c r="F30">
        <v>50</v>
      </c>
      <c r="G30">
        <v>51</v>
      </c>
      <c r="H30" t="s">
        <v>223</v>
      </c>
      <c r="I30" t="s">
        <v>223</v>
      </c>
      <c r="J30" t="s">
        <v>223</v>
      </c>
      <c r="K30" t="s">
        <v>223</v>
      </c>
      <c r="L30" t="s">
        <v>223</v>
      </c>
      <c r="M30" t="s">
        <v>223</v>
      </c>
      <c r="N30" t="s">
        <v>223</v>
      </c>
      <c r="O30" t="s">
        <v>223</v>
      </c>
      <c r="P30" t="s">
        <v>223</v>
      </c>
      <c r="Q30" t="s">
        <v>223</v>
      </c>
      <c r="R30" t="s">
        <v>223</v>
      </c>
      <c r="S30" t="s">
        <v>223</v>
      </c>
      <c r="T30" t="s">
        <v>223</v>
      </c>
      <c r="U30" t="s">
        <v>223</v>
      </c>
      <c r="V30" t="s">
        <v>223</v>
      </c>
      <c r="W30" t="s">
        <v>223</v>
      </c>
      <c r="X30" t="s">
        <v>223</v>
      </c>
      <c r="Y30" t="s">
        <v>223</v>
      </c>
      <c r="Z30" t="s">
        <v>223</v>
      </c>
      <c r="AA30" t="s">
        <v>223</v>
      </c>
      <c r="AB30" t="s">
        <v>223</v>
      </c>
      <c r="AC30" t="s">
        <v>223</v>
      </c>
      <c r="AD30" t="s">
        <v>223</v>
      </c>
      <c r="AE30" t="s">
        <v>223</v>
      </c>
      <c r="AF30" t="s">
        <v>223</v>
      </c>
      <c r="AG30" t="s">
        <v>223</v>
      </c>
      <c r="AH30" t="s">
        <v>223</v>
      </c>
      <c r="AI30" t="s">
        <v>223</v>
      </c>
      <c r="AJ30" t="s">
        <v>223</v>
      </c>
      <c r="AK30" t="s">
        <v>223</v>
      </c>
      <c r="AL30" t="s">
        <v>223</v>
      </c>
      <c r="AM30" t="s">
        <v>223</v>
      </c>
      <c r="AN30" s="9" t="s">
        <v>435</v>
      </c>
    </row>
    <row r="31" spans="1:40">
      <c r="A31" t="s">
        <v>365</v>
      </c>
      <c r="B31">
        <v>10</v>
      </c>
      <c r="C31">
        <v>11</v>
      </c>
      <c r="D31" t="s">
        <v>223</v>
      </c>
      <c r="E31" t="s">
        <v>223</v>
      </c>
      <c r="F31" t="s">
        <v>223</v>
      </c>
      <c r="G31" t="s">
        <v>223</v>
      </c>
      <c r="H31" t="s">
        <v>223</v>
      </c>
      <c r="I31" t="s">
        <v>223</v>
      </c>
      <c r="J31" t="s">
        <v>223</v>
      </c>
      <c r="K31" t="s">
        <v>223</v>
      </c>
      <c r="L31" t="s">
        <v>223</v>
      </c>
      <c r="M31" t="s">
        <v>223</v>
      </c>
      <c r="N31" t="s">
        <v>223</v>
      </c>
      <c r="O31" t="s">
        <v>223</v>
      </c>
      <c r="P31" t="s">
        <v>223</v>
      </c>
      <c r="Q31" t="s">
        <v>223</v>
      </c>
      <c r="R31" t="s">
        <v>223</v>
      </c>
      <c r="S31" t="s">
        <v>223</v>
      </c>
      <c r="T31" t="s">
        <v>223</v>
      </c>
      <c r="U31" t="s">
        <v>223</v>
      </c>
      <c r="V31" t="s">
        <v>223</v>
      </c>
      <c r="W31" t="s">
        <v>223</v>
      </c>
      <c r="X31" t="s">
        <v>223</v>
      </c>
      <c r="Y31" t="s">
        <v>223</v>
      </c>
      <c r="Z31" t="s">
        <v>223</v>
      </c>
      <c r="AA31" t="s">
        <v>223</v>
      </c>
      <c r="AB31" t="s">
        <v>223</v>
      </c>
      <c r="AC31" t="s">
        <v>223</v>
      </c>
      <c r="AD31" t="s">
        <v>223</v>
      </c>
      <c r="AE31" t="s">
        <v>223</v>
      </c>
      <c r="AF31" t="s">
        <v>223</v>
      </c>
      <c r="AG31" t="s">
        <v>223</v>
      </c>
      <c r="AH31" t="s">
        <v>223</v>
      </c>
      <c r="AI31" t="s">
        <v>223</v>
      </c>
      <c r="AJ31" t="s">
        <v>223</v>
      </c>
      <c r="AK31" t="s">
        <v>223</v>
      </c>
      <c r="AL31" t="s">
        <v>223</v>
      </c>
      <c r="AM31" t="s">
        <v>223</v>
      </c>
      <c r="AN31" s="9" t="s">
        <v>407</v>
      </c>
    </row>
    <row r="32" spans="1:40">
      <c r="A32" t="s">
        <v>365</v>
      </c>
      <c r="B32">
        <v>14</v>
      </c>
      <c r="C32">
        <v>15</v>
      </c>
      <c r="D32" t="s">
        <v>223</v>
      </c>
      <c r="E32" t="s">
        <v>223</v>
      </c>
      <c r="F32" t="s">
        <v>223</v>
      </c>
      <c r="G32" t="s">
        <v>223</v>
      </c>
      <c r="H32" t="s">
        <v>223</v>
      </c>
      <c r="I32" t="s">
        <v>223</v>
      </c>
      <c r="J32" t="s">
        <v>223</v>
      </c>
      <c r="K32" t="s">
        <v>223</v>
      </c>
      <c r="L32" t="s">
        <v>223</v>
      </c>
      <c r="M32" t="s">
        <v>223</v>
      </c>
      <c r="N32" t="s">
        <v>223</v>
      </c>
      <c r="O32" t="s">
        <v>223</v>
      </c>
      <c r="P32" t="s">
        <v>223</v>
      </c>
      <c r="Q32" t="s">
        <v>223</v>
      </c>
      <c r="R32" t="s">
        <v>223</v>
      </c>
      <c r="S32" t="s">
        <v>223</v>
      </c>
      <c r="T32" t="s">
        <v>223</v>
      </c>
      <c r="U32" t="s">
        <v>223</v>
      </c>
      <c r="V32" t="s">
        <v>223</v>
      </c>
      <c r="W32" t="s">
        <v>223</v>
      </c>
      <c r="X32" t="s">
        <v>223</v>
      </c>
      <c r="Y32" t="s">
        <v>223</v>
      </c>
      <c r="Z32" t="s">
        <v>223</v>
      </c>
      <c r="AA32" t="s">
        <v>223</v>
      </c>
      <c r="AB32" t="s">
        <v>223</v>
      </c>
      <c r="AC32" t="s">
        <v>223</v>
      </c>
      <c r="AD32" t="s">
        <v>223</v>
      </c>
      <c r="AE32" t="s">
        <v>223</v>
      </c>
      <c r="AF32" t="s">
        <v>223</v>
      </c>
      <c r="AG32" t="s">
        <v>223</v>
      </c>
      <c r="AH32" t="s">
        <v>223</v>
      </c>
      <c r="AI32" t="s">
        <v>223</v>
      </c>
      <c r="AJ32" t="s">
        <v>223</v>
      </c>
      <c r="AK32" t="s">
        <v>223</v>
      </c>
      <c r="AL32" t="s">
        <v>223</v>
      </c>
      <c r="AM32" t="s">
        <v>223</v>
      </c>
      <c r="AN32" s="9" t="s">
        <v>408</v>
      </c>
    </row>
    <row r="33" spans="1:40">
      <c r="A33" t="s">
        <v>365</v>
      </c>
      <c r="B33">
        <v>18</v>
      </c>
      <c r="C33">
        <v>19</v>
      </c>
      <c r="D33" t="s">
        <v>223</v>
      </c>
      <c r="E33" t="s">
        <v>223</v>
      </c>
      <c r="F33" t="s">
        <v>223</v>
      </c>
      <c r="G33" t="s">
        <v>223</v>
      </c>
      <c r="H33" t="s">
        <v>223</v>
      </c>
      <c r="I33" t="s">
        <v>223</v>
      </c>
      <c r="J33" t="s">
        <v>223</v>
      </c>
      <c r="K33" t="s">
        <v>223</v>
      </c>
      <c r="L33" t="s">
        <v>223</v>
      </c>
      <c r="M33" t="s">
        <v>223</v>
      </c>
      <c r="N33" t="s">
        <v>223</v>
      </c>
      <c r="O33" t="s">
        <v>223</v>
      </c>
      <c r="P33" t="s">
        <v>223</v>
      </c>
      <c r="Q33" t="s">
        <v>223</v>
      </c>
      <c r="R33" t="s">
        <v>223</v>
      </c>
      <c r="S33" t="s">
        <v>223</v>
      </c>
      <c r="T33" t="s">
        <v>223</v>
      </c>
      <c r="U33" t="s">
        <v>223</v>
      </c>
      <c r="V33" t="s">
        <v>223</v>
      </c>
      <c r="W33" t="s">
        <v>223</v>
      </c>
      <c r="X33" t="s">
        <v>223</v>
      </c>
      <c r="Y33" t="s">
        <v>223</v>
      </c>
      <c r="Z33" t="s">
        <v>223</v>
      </c>
      <c r="AA33" t="s">
        <v>223</v>
      </c>
      <c r="AB33" t="s">
        <v>223</v>
      </c>
      <c r="AC33" t="s">
        <v>223</v>
      </c>
      <c r="AD33" t="s">
        <v>223</v>
      </c>
      <c r="AE33" t="s">
        <v>223</v>
      </c>
      <c r="AF33" t="s">
        <v>223</v>
      </c>
      <c r="AG33" t="s">
        <v>223</v>
      </c>
      <c r="AH33" t="s">
        <v>223</v>
      </c>
      <c r="AI33" t="s">
        <v>223</v>
      </c>
      <c r="AJ33" t="s">
        <v>223</v>
      </c>
      <c r="AK33" t="s">
        <v>223</v>
      </c>
      <c r="AL33" t="s">
        <v>223</v>
      </c>
      <c r="AM33" t="s">
        <v>223</v>
      </c>
      <c r="AN33" s="9" t="s">
        <v>409</v>
      </c>
    </row>
    <row r="34" spans="1:40">
      <c r="A34" t="s">
        <v>365</v>
      </c>
      <c r="B34">
        <v>22</v>
      </c>
      <c r="C34">
        <v>23</v>
      </c>
      <c r="D34" t="s">
        <v>223</v>
      </c>
      <c r="E34" t="s">
        <v>223</v>
      </c>
      <c r="F34" t="s">
        <v>223</v>
      </c>
      <c r="G34" t="s">
        <v>223</v>
      </c>
      <c r="H34" t="s">
        <v>223</v>
      </c>
      <c r="I34" t="s">
        <v>223</v>
      </c>
      <c r="J34" t="s">
        <v>223</v>
      </c>
      <c r="K34" t="s">
        <v>223</v>
      </c>
      <c r="L34" t="s">
        <v>223</v>
      </c>
      <c r="M34" t="s">
        <v>223</v>
      </c>
      <c r="N34" t="s">
        <v>223</v>
      </c>
      <c r="O34" t="s">
        <v>223</v>
      </c>
      <c r="P34" t="s">
        <v>223</v>
      </c>
      <c r="Q34" t="s">
        <v>223</v>
      </c>
      <c r="R34" t="s">
        <v>223</v>
      </c>
      <c r="S34" t="s">
        <v>223</v>
      </c>
      <c r="T34" t="s">
        <v>223</v>
      </c>
      <c r="U34" t="s">
        <v>223</v>
      </c>
      <c r="V34" t="s">
        <v>223</v>
      </c>
      <c r="W34" t="s">
        <v>223</v>
      </c>
      <c r="X34" t="s">
        <v>223</v>
      </c>
      <c r="Y34" t="s">
        <v>223</v>
      </c>
      <c r="Z34" t="s">
        <v>223</v>
      </c>
      <c r="AA34" t="s">
        <v>223</v>
      </c>
      <c r="AB34" t="s">
        <v>223</v>
      </c>
      <c r="AC34" t="s">
        <v>223</v>
      </c>
      <c r="AD34" t="s">
        <v>223</v>
      </c>
      <c r="AE34" t="s">
        <v>223</v>
      </c>
      <c r="AF34" t="s">
        <v>223</v>
      </c>
      <c r="AG34" t="s">
        <v>223</v>
      </c>
      <c r="AH34" t="s">
        <v>223</v>
      </c>
      <c r="AI34" t="s">
        <v>223</v>
      </c>
      <c r="AJ34" t="s">
        <v>223</v>
      </c>
      <c r="AK34" t="s">
        <v>223</v>
      </c>
      <c r="AL34" t="s">
        <v>223</v>
      </c>
      <c r="AM34" t="s">
        <v>223</v>
      </c>
      <c r="AN34" s="9" t="s">
        <v>410</v>
      </c>
    </row>
    <row r="35" spans="1:40">
      <c r="A35" t="s">
        <v>365</v>
      </c>
      <c r="B35">
        <v>26</v>
      </c>
      <c r="C35">
        <v>27</v>
      </c>
      <c r="D35" t="s">
        <v>223</v>
      </c>
      <c r="E35" t="s">
        <v>223</v>
      </c>
      <c r="F35" t="s">
        <v>223</v>
      </c>
      <c r="G35" t="s">
        <v>223</v>
      </c>
      <c r="H35" t="s">
        <v>223</v>
      </c>
      <c r="I35" t="s">
        <v>223</v>
      </c>
      <c r="J35" t="s">
        <v>223</v>
      </c>
      <c r="K35" t="s">
        <v>223</v>
      </c>
      <c r="L35" t="s">
        <v>223</v>
      </c>
      <c r="M35" t="s">
        <v>223</v>
      </c>
      <c r="N35" t="s">
        <v>223</v>
      </c>
      <c r="O35" t="s">
        <v>223</v>
      </c>
      <c r="P35" t="s">
        <v>223</v>
      </c>
      <c r="Q35" t="s">
        <v>223</v>
      </c>
      <c r="R35" t="s">
        <v>223</v>
      </c>
      <c r="S35" t="s">
        <v>223</v>
      </c>
      <c r="T35" t="s">
        <v>223</v>
      </c>
      <c r="U35" t="s">
        <v>223</v>
      </c>
      <c r="V35" t="s">
        <v>223</v>
      </c>
      <c r="W35" t="s">
        <v>223</v>
      </c>
      <c r="X35" t="s">
        <v>223</v>
      </c>
      <c r="Y35" t="s">
        <v>223</v>
      </c>
      <c r="Z35" t="s">
        <v>223</v>
      </c>
      <c r="AA35" t="s">
        <v>223</v>
      </c>
      <c r="AB35" t="s">
        <v>223</v>
      </c>
      <c r="AC35" t="s">
        <v>223</v>
      </c>
      <c r="AD35" t="s">
        <v>223</v>
      </c>
      <c r="AE35" t="s">
        <v>223</v>
      </c>
      <c r="AF35" t="s">
        <v>223</v>
      </c>
      <c r="AG35" t="s">
        <v>223</v>
      </c>
      <c r="AH35" t="s">
        <v>223</v>
      </c>
      <c r="AI35" t="s">
        <v>223</v>
      </c>
      <c r="AJ35" t="s">
        <v>223</v>
      </c>
      <c r="AK35" t="s">
        <v>223</v>
      </c>
      <c r="AL35" t="s">
        <v>223</v>
      </c>
      <c r="AM35" t="s">
        <v>223</v>
      </c>
      <c r="AN35" s="9" t="s">
        <v>411</v>
      </c>
    </row>
    <row r="36" spans="1:40">
      <c r="A36" t="s">
        <v>365</v>
      </c>
      <c r="B36">
        <v>30</v>
      </c>
      <c r="C36">
        <v>31</v>
      </c>
      <c r="D36" t="s">
        <v>223</v>
      </c>
      <c r="E36" t="s">
        <v>223</v>
      </c>
      <c r="F36" t="s">
        <v>223</v>
      </c>
      <c r="G36" t="s">
        <v>223</v>
      </c>
      <c r="H36" t="s">
        <v>223</v>
      </c>
      <c r="I36" t="s">
        <v>223</v>
      </c>
      <c r="J36" t="s">
        <v>223</v>
      </c>
      <c r="K36" t="s">
        <v>223</v>
      </c>
      <c r="L36" t="s">
        <v>223</v>
      </c>
      <c r="M36" t="s">
        <v>223</v>
      </c>
      <c r="N36" t="s">
        <v>223</v>
      </c>
      <c r="O36" t="s">
        <v>223</v>
      </c>
      <c r="P36" t="s">
        <v>223</v>
      </c>
      <c r="Q36" t="s">
        <v>223</v>
      </c>
      <c r="R36" t="s">
        <v>223</v>
      </c>
      <c r="S36" t="s">
        <v>223</v>
      </c>
      <c r="T36" t="s">
        <v>223</v>
      </c>
      <c r="U36" t="s">
        <v>223</v>
      </c>
      <c r="V36" t="s">
        <v>223</v>
      </c>
      <c r="W36" t="s">
        <v>223</v>
      </c>
      <c r="X36" t="s">
        <v>223</v>
      </c>
      <c r="Y36" t="s">
        <v>223</v>
      </c>
      <c r="Z36" t="s">
        <v>223</v>
      </c>
      <c r="AA36" t="s">
        <v>223</v>
      </c>
      <c r="AB36" t="s">
        <v>223</v>
      </c>
      <c r="AC36" t="s">
        <v>223</v>
      </c>
      <c r="AD36" t="s">
        <v>223</v>
      </c>
      <c r="AE36" t="s">
        <v>223</v>
      </c>
      <c r="AF36" t="s">
        <v>223</v>
      </c>
      <c r="AG36" t="s">
        <v>223</v>
      </c>
      <c r="AH36" t="s">
        <v>223</v>
      </c>
      <c r="AI36" t="s">
        <v>223</v>
      </c>
      <c r="AJ36" t="s">
        <v>223</v>
      </c>
      <c r="AK36" t="s">
        <v>223</v>
      </c>
      <c r="AL36" t="s">
        <v>223</v>
      </c>
      <c r="AM36" t="s">
        <v>223</v>
      </c>
      <c r="AN36" s="9" t="s">
        <v>412</v>
      </c>
    </row>
    <row r="37" spans="1:40">
      <c r="A37" t="s">
        <v>365</v>
      </c>
      <c r="B37">
        <v>34</v>
      </c>
      <c r="C37">
        <v>35</v>
      </c>
      <c r="D37" t="s">
        <v>223</v>
      </c>
      <c r="E37" t="s">
        <v>223</v>
      </c>
      <c r="F37" t="s">
        <v>223</v>
      </c>
      <c r="G37" t="s">
        <v>223</v>
      </c>
      <c r="H37" t="s">
        <v>223</v>
      </c>
      <c r="I37" t="s">
        <v>223</v>
      </c>
      <c r="J37" t="s">
        <v>223</v>
      </c>
      <c r="K37" t="s">
        <v>223</v>
      </c>
      <c r="L37" t="s">
        <v>223</v>
      </c>
      <c r="M37" t="s">
        <v>223</v>
      </c>
      <c r="N37" t="s">
        <v>223</v>
      </c>
      <c r="O37" t="s">
        <v>223</v>
      </c>
      <c r="P37" t="s">
        <v>223</v>
      </c>
      <c r="Q37" t="s">
        <v>223</v>
      </c>
      <c r="R37" t="s">
        <v>223</v>
      </c>
      <c r="S37" t="s">
        <v>223</v>
      </c>
      <c r="T37" t="s">
        <v>223</v>
      </c>
      <c r="U37" t="s">
        <v>223</v>
      </c>
      <c r="V37" t="s">
        <v>223</v>
      </c>
      <c r="W37" t="s">
        <v>223</v>
      </c>
      <c r="X37" t="s">
        <v>223</v>
      </c>
      <c r="Y37" t="s">
        <v>223</v>
      </c>
      <c r="Z37" t="s">
        <v>223</v>
      </c>
      <c r="AA37" t="s">
        <v>223</v>
      </c>
      <c r="AB37" t="s">
        <v>223</v>
      </c>
      <c r="AC37" t="s">
        <v>223</v>
      </c>
      <c r="AD37" t="s">
        <v>223</v>
      </c>
      <c r="AE37" t="s">
        <v>223</v>
      </c>
      <c r="AF37" t="s">
        <v>223</v>
      </c>
      <c r="AG37" t="s">
        <v>223</v>
      </c>
      <c r="AH37" t="s">
        <v>223</v>
      </c>
      <c r="AI37" t="s">
        <v>223</v>
      </c>
      <c r="AJ37" t="s">
        <v>223</v>
      </c>
      <c r="AK37" t="s">
        <v>223</v>
      </c>
      <c r="AL37" t="s">
        <v>223</v>
      </c>
      <c r="AM37" t="s">
        <v>223</v>
      </c>
      <c r="AN37" s="9" t="s">
        <v>413</v>
      </c>
    </row>
    <row r="38" spans="1:40">
      <c r="A38" t="s">
        <v>365</v>
      </c>
      <c r="B38">
        <v>38</v>
      </c>
      <c r="C38">
        <v>39</v>
      </c>
      <c r="D38" t="s">
        <v>223</v>
      </c>
      <c r="E38" t="s">
        <v>223</v>
      </c>
      <c r="F38" t="s">
        <v>223</v>
      </c>
      <c r="G38" t="s">
        <v>223</v>
      </c>
      <c r="H38" t="s">
        <v>223</v>
      </c>
      <c r="I38" t="s">
        <v>223</v>
      </c>
      <c r="J38" t="s">
        <v>223</v>
      </c>
      <c r="K38" t="s">
        <v>223</v>
      </c>
      <c r="L38" t="s">
        <v>223</v>
      </c>
      <c r="M38" t="s">
        <v>223</v>
      </c>
      <c r="N38" t="s">
        <v>223</v>
      </c>
      <c r="O38" t="s">
        <v>223</v>
      </c>
      <c r="P38" t="s">
        <v>223</v>
      </c>
      <c r="Q38" t="s">
        <v>223</v>
      </c>
      <c r="R38" t="s">
        <v>223</v>
      </c>
      <c r="S38" t="s">
        <v>223</v>
      </c>
      <c r="T38" t="s">
        <v>223</v>
      </c>
      <c r="U38" t="s">
        <v>223</v>
      </c>
      <c r="V38" t="s">
        <v>223</v>
      </c>
      <c r="W38" t="s">
        <v>223</v>
      </c>
      <c r="X38" t="s">
        <v>223</v>
      </c>
      <c r="Y38" t="s">
        <v>223</v>
      </c>
      <c r="Z38" t="s">
        <v>223</v>
      </c>
      <c r="AA38" t="s">
        <v>223</v>
      </c>
      <c r="AB38" t="s">
        <v>223</v>
      </c>
      <c r="AC38" t="s">
        <v>223</v>
      </c>
      <c r="AD38" t="s">
        <v>223</v>
      </c>
      <c r="AE38" t="s">
        <v>223</v>
      </c>
      <c r="AF38" t="s">
        <v>223</v>
      </c>
      <c r="AG38" t="s">
        <v>223</v>
      </c>
      <c r="AH38" t="s">
        <v>223</v>
      </c>
      <c r="AI38" t="s">
        <v>223</v>
      </c>
      <c r="AJ38" t="s">
        <v>223</v>
      </c>
      <c r="AK38" t="s">
        <v>223</v>
      </c>
      <c r="AL38" t="s">
        <v>223</v>
      </c>
      <c r="AM38" t="s">
        <v>223</v>
      </c>
      <c r="AN38" s="9" t="s">
        <v>414</v>
      </c>
    </row>
    <row r="39" spans="1:40">
      <c r="A39" t="s">
        <v>365</v>
      </c>
      <c r="B39">
        <v>42</v>
      </c>
      <c r="C39">
        <v>43</v>
      </c>
      <c r="D39" t="s">
        <v>223</v>
      </c>
      <c r="E39" t="s">
        <v>223</v>
      </c>
      <c r="F39" t="s">
        <v>223</v>
      </c>
      <c r="G39" t="s">
        <v>223</v>
      </c>
      <c r="H39" t="s">
        <v>223</v>
      </c>
      <c r="I39" t="s">
        <v>223</v>
      </c>
      <c r="J39" t="s">
        <v>223</v>
      </c>
      <c r="K39" t="s">
        <v>223</v>
      </c>
      <c r="L39" t="s">
        <v>223</v>
      </c>
      <c r="M39" t="s">
        <v>223</v>
      </c>
      <c r="N39" t="s">
        <v>223</v>
      </c>
      <c r="O39" t="s">
        <v>223</v>
      </c>
      <c r="P39" t="s">
        <v>223</v>
      </c>
      <c r="Q39" t="s">
        <v>223</v>
      </c>
      <c r="R39" t="s">
        <v>223</v>
      </c>
      <c r="S39" t="s">
        <v>223</v>
      </c>
      <c r="T39" t="s">
        <v>223</v>
      </c>
      <c r="U39" t="s">
        <v>223</v>
      </c>
      <c r="V39" t="s">
        <v>223</v>
      </c>
      <c r="W39" t="s">
        <v>223</v>
      </c>
      <c r="X39" t="s">
        <v>223</v>
      </c>
      <c r="Y39" t="s">
        <v>223</v>
      </c>
      <c r="Z39" t="s">
        <v>223</v>
      </c>
      <c r="AA39" t="s">
        <v>223</v>
      </c>
      <c r="AB39" t="s">
        <v>223</v>
      </c>
      <c r="AC39" t="s">
        <v>223</v>
      </c>
      <c r="AD39" t="s">
        <v>223</v>
      </c>
      <c r="AE39" t="s">
        <v>223</v>
      </c>
      <c r="AF39" t="s">
        <v>223</v>
      </c>
      <c r="AG39" t="s">
        <v>223</v>
      </c>
      <c r="AH39" t="s">
        <v>223</v>
      </c>
      <c r="AI39" t="s">
        <v>223</v>
      </c>
      <c r="AJ39" t="s">
        <v>223</v>
      </c>
      <c r="AK39" t="s">
        <v>223</v>
      </c>
      <c r="AL39" t="s">
        <v>223</v>
      </c>
      <c r="AM39" t="s">
        <v>223</v>
      </c>
      <c r="AN39" s="9" t="s">
        <v>415</v>
      </c>
    </row>
    <row r="40" spans="1:40">
      <c r="A40" t="s">
        <v>365</v>
      </c>
      <c r="B40">
        <v>46</v>
      </c>
      <c r="C40">
        <v>47</v>
      </c>
      <c r="D40" t="s">
        <v>223</v>
      </c>
      <c r="E40" t="s">
        <v>223</v>
      </c>
      <c r="F40" t="s">
        <v>223</v>
      </c>
      <c r="G40" t="s">
        <v>223</v>
      </c>
      <c r="H40" t="s">
        <v>223</v>
      </c>
      <c r="I40" t="s">
        <v>223</v>
      </c>
      <c r="J40" t="s">
        <v>223</v>
      </c>
      <c r="K40" t="s">
        <v>223</v>
      </c>
      <c r="L40" t="s">
        <v>223</v>
      </c>
      <c r="M40" t="s">
        <v>223</v>
      </c>
      <c r="N40" t="s">
        <v>223</v>
      </c>
      <c r="O40" t="s">
        <v>223</v>
      </c>
      <c r="P40" t="s">
        <v>223</v>
      </c>
      <c r="Q40" t="s">
        <v>223</v>
      </c>
      <c r="R40" t="s">
        <v>223</v>
      </c>
      <c r="S40" t="s">
        <v>223</v>
      </c>
      <c r="T40" t="s">
        <v>223</v>
      </c>
      <c r="U40" t="s">
        <v>223</v>
      </c>
      <c r="V40" t="s">
        <v>223</v>
      </c>
      <c r="W40" t="s">
        <v>223</v>
      </c>
      <c r="X40" t="s">
        <v>223</v>
      </c>
      <c r="Y40" t="s">
        <v>223</v>
      </c>
      <c r="Z40" t="s">
        <v>223</v>
      </c>
      <c r="AA40" t="s">
        <v>223</v>
      </c>
      <c r="AB40" t="s">
        <v>223</v>
      </c>
      <c r="AC40" t="s">
        <v>223</v>
      </c>
      <c r="AD40" t="s">
        <v>223</v>
      </c>
      <c r="AE40" t="s">
        <v>223</v>
      </c>
      <c r="AF40" t="s">
        <v>223</v>
      </c>
      <c r="AG40" t="s">
        <v>223</v>
      </c>
      <c r="AH40" t="s">
        <v>223</v>
      </c>
      <c r="AI40" t="s">
        <v>223</v>
      </c>
      <c r="AJ40" t="s">
        <v>223</v>
      </c>
      <c r="AK40" t="s">
        <v>223</v>
      </c>
      <c r="AL40" t="s">
        <v>223</v>
      </c>
      <c r="AM40" t="s">
        <v>223</v>
      </c>
      <c r="AN40" s="9" t="s">
        <v>416</v>
      </c>
    </row>
    <row r="41" spans="1:40">
      <c r="A41" t="s">
        <v>365</v>
      </c>
      <c r="B41">
        <v>50</v>
      </c>
      <c r="C41">
        <v>51</v>
      </c>
      <c r="D41" t="s">
        <v>223</v>
      </c>
      <c r="E41" t="s">
        <v>223</v>
      </c>
      <c r="F41" t="s">
        <v>223</v>
      </c>
      <c r="G41" t="s">
        <v>223</v>
      </c>
      <c r="H41" t="s">
        <v>223</v>
      </c>
      <c r="I41" t="s">
        <v>223</v>
      </c>
      <c r="J41" t="s">
        <v>223</v>
      </c>
      <c r="K41" t="s">
        <v>223</v>
      </c>
      <c r="L41" t="s">
        <v>223</v>
      </c>
      <c r="M41" t="s">
        <v>223</v>
      </c>
      <c r="N41" t="s">
        <v>223</v>
      </c>
      <c r="O41" t="s">
        <v>223</v>
      </c>
      <c r="P41" t="s">
        <v>223</v>
      </c>
      <c r="Q41" t="s">
        <v>223</v>
      </c>
      <c r="R41" t="s">
        <v>223</v>
      </c>
      <c r="S41" t="s">
        <v>223</v>
      </c>
      <c r="T41" t="s">
        <v>223</v>
      </c>
      <c r="U41" t="s">
        <v>223</v>
      </c>
      <c r="V41" t="s">
        <v>223</v>
      </c>
      <c r="W41" t="s">
        <v>223</v>
      </c>
      <c r="X41" t="s">
        <v>223</v>
      </c>
      <c r="Y41" t="s">
        <v>223</v>
      </c>
      <c r="Z41" t="s">
        <v>223</v>
      </c>
      <c r="AA41" t="s">
        <v>223</v>
      </c>
      <c r="AB41" t="s">
        <v>223</v>
      </c>
      <c r="AC41" t="s">
        <v>223</v>
      </c>
      <c r="AD41" t="s">
        <v>223</v>
      </c>
      <c r="AE41" t="s">
        <v>223</v>
      </c>
      <c r="AF41" t="s">
        <v>223</v>
      </c>
      <c r="AG41" t="s">
        <v>223</v>
      </c>
      <c r="AH41" t="s">
        <v>223</v>
      </c>
      <c r="AI41" t="s">
        <v>223</v>
      </c>
      <c r="AJ41" t="s">
        <v>223</v>
      </c>
      <c r="AK41" t="s">
        <v>223</v>
      </c>
      <c r="AL41" t="s">
        <v>223</v>
      </c>
      <c r="AM41" t="s">
        <v>223</v>
      </c>
      <c r="AN41" s="9" t="s">
        <v>417</v>
      </c>
    </row>
    <row r="42" spans="1:40">
      <c r="A42" t="s">
        <v>366</v>
      </c>
      <c r="B42">
        <v>0</v>
      </c>
      <c r="C42" t="s">
        <v>223</v>
      </c>
      <c r="D42" t="s">
        <v>223</v>
      </c>
      <c r="E42" t="s">
        <v>223</v>
      </c>
      <c r="F42" t="s">
        <v>223</v>
      </c>
      <c r="G42" t="s">
        <v>223</v>
      </c>
      <c r="H42" t="s">
        <v>223</v>
      </c>
      <c r="I42" t="s">
        <v>223</v>
      </c>
      <c r="J42" t="s">
        <v>223</v>
      </c>
      <c r="K42" t="s">
        <v>223</v>
      </c>
      <c r="L42" t="s">
        <v>223</v>
      </c>
      <c r="M42" t="s">
        <v>223</v>
      </c>
      <c r="N42" t="s">
        <v>223</v>
      </c>
      <c r="O42" t="s">
        <v>223</v>
      </c>
      <c r="P42" t="s">
        <v>223</v>
      </c>
      <c r="Q42" t="s">
        <v>223</v>
      </c>
      <c r="R42" t="s">
        <v>223</v>
      </c>
      <c r="S42" t="s">
        <v>223</v>
      </c>
      <c r="T42" t="s">
        <v>223</v>
      </c>
      <c r="U42" t="s">
        <v>223</v>
      </c>
      <c r="V42" t="s">
        <v>223</v>
      </c>
      <c r="W42" t="s">
        <v>223</v>
      </c>
      <c r="X42" t="s">
        <v>223</v>
      </c>
      <c r="Y42" t="s">
        <v>223</v>
      </c>
      <c r="Z42" t="s">
        <v>223</v>
      </c>
      <c r="AA42" t="s">
        <v>223</v>
      </c>
      <c r="AB42" t="s">
        <v>223</v>
      </c>
      <c r="AC42" t="s">
        <v>223</v>
      </c>
      <c r="AD42" t="s">
        <v>223</v>
      </c>
      <c r="AE42" t="s">
        <v>223</v>
      </c>
      <c r="AF42" t="s">
        <v>223</v>
      </c>
      <c r="AG42" t="s">
        <v>223</v>
      </c>
      <c r="AH42" t="s">
        <v>223</v>
      </c>
      <c r="AI42" t="s">
        <v>223</v>
      </c>
      <c r="AJ42" t="s">
        <v>223</v>
      </c>
      <c r="AK42" t="s">
        <v>223</v>
      </c>
      <c r="AL42" t="s">
        <v>223</v>
      </c>
      <c r="AM42" t="s">
        <v>223</v>
      </c>
      <c r="AN42" s="9">
        <v>0</v>
      </c>
    </row>
    <row r="43" spans="1:40">
      <c r="A43" t="s">
        <v>366</v>
      </c>
      <c r="B43">
        <v>1</v>
      </c>
      <c r="C43" t="s">
        <v>223</v>
      </c>
      <c r="D43" t="s">
        <v>223</v>
      </c>
      <c r="E43" t="s">
        <v>223</v>
      </c>
      <c r="F43" t="s">
        <v>223</v>
      </c>
      <c r="G43" t="s">
        <v>223</v>
      </c>
      <c r="H43" t="s">
        <v>223</v>
      </c>
      <c r="I43" t="s">
        <v>223</v>
      </c>
      <c r="J43" t="s">
        <v>223</v>
      </c>
      <c r="K43" t="s">
        <v>223</v>
      </c>
      <c r="L43" t="s">
        <v>223</v>
      </c>
      <c r="M43" t="s">
        <v>223</v>
      </c>
      <c r="N43" t="s">
        <v>223</v>
      </c>
      <c r="O43" t="s">
        <v>223</v>
      </c>
      <c r="P43" t="s">
        <v>223</v>
      </c>
      <c r="Q43" t="s">
        <v>223</v>
      </c>
      <c r="R43" t="s">
        <v>223</v>
      </c>
      <c r="S43" t="s">
        <v>223</v>
      </c>
      <c r="T43" t="s">
        <v>223</v>
      </c>
      <c r="U43" t="s">
        <v>223</v>
      </c>
      <c r="V43" t="s">
        <v>223</v>
      </c>
      <c r="W43" t="s">
        <v>223</v>
      </c>
      <c r="X43" t="s">
        <v>223</v>
      </c>
      <c r="Y43" t="s">
        <v>223</v>
      </c>
      <c r="Z43" t="s">
        <v>223</v>
      </c>
      <c r="AA43" t="s">
        <v>223</v>
      </c>
      <c r="AB43" t="s">
        <v>223</v>
      </c>
      <c r="AC43" t="s">
        <v>223</v>
      </c>
      <c r="AD43" t="s">
        <v>223</v>
      </c>
      <c r="AE43" t="s">
        <v>223</v>
      </c>
      <c r="AF43" t="s">
        <v>223</v>
      </c>
      <c r="AG43" t="s">
        <v>223</v>
      </c>
      <c r="AH43" t="s">
        <v>223</v>
      </c>
      <c r="AI43" t="s">
        <v>223</v>
      </c>
      <c r="AJ43" t="s">
        <v>223</v>
      </c>
      <c r="AK43" t="s">
        <v>223</v>
      </c>
      <c r="AL43" t="s">
        <v>223</v>
      </c>
      <c r="AM43" t="s">
        <v>223</v>
      </c>
      <c r="AN43" s="9">
        <v>1</v>
      </c>
    </row>
    <row r="44" spans="1:40">
      <c r="A44" t="s">
        <v>366</v>
      </c>
      <c r="B44">
        <v>2</v>
      </c>
      <c r="C44" t="s">
        <v>223</v>
      </c>
      <c r="D44" t="s">
        <v>223</v>
      </c>
      <c r="E44" t="s">
        <v>223</v>
      </c>
      <c r="F44" t="s">
        <v>223</v>
      </c>
      <c r="G44" t="s">
        <v>223</v>
      </c>
      <c r="H44" t="s">
        <v>223</v>
      </c>
      <c r="I44" t="s">
        <v>223</v>
      </c>
      <c r="J44" t="s">
        <v>223</v>
      </c>
      <c r="K44" t="s">
        <v>223</v>
      </c>
      <c r="L44" t="s">
        <v>223</v>
      </c>
      <c r="M44" t="s">
        <v>223</v>
      </c>
      <c r="N44" t="s">
        <v>223</v>
      </c>
      <c r="O44" t="s">
        <v>223</v>
      </c>
      <c r="P44" t="s">
        <v>223</v>
      </c>
      <c r="Q44" t="s">
        <v>223</v>
      </c>
      <c r="R44" t="s">
        <v>223</v>
      </c>
      <c r="S44" t="s">
        <v>223</v>
      </c>
      <c r="T44" t="s">
        <v>223</v>
      </c>
      <c r="U44" t="s">
        <v>223</v>
      </c>
      <c r="V44" t="s">
        <v>223</v>
      </c>
      <c r="W44" t="s">
        <v>223</v>
      </c>
      <c r="X44" t="s">
        <v>223</v>
      </c>
      <c r="Y44" t="s">
        <v>223</v>
      </c>
      <c r="Z44" t="s">
        <v>223</v>
      </c>
      <c r="AA44" t="s">
        <v>223</v>
      </c>
      <c r="AB44" t="s">
        <v>223</v>
      </c>
      <c r="AC44" t="s">
        <v>223</v>
      </c>
      <c r="AD44" t="s">
        <v>223</v>
      </c>
      <c r="AE44" t="s">
        <v>223</v>
      </c>
      <c r="AF44" t="s">
        <v>223</v>
      </c>
      <c r="AG44" t="s">
        <v>223</v>
      </c>
      <c r="AH44" t="s">
        <v>223</v>
      </c>
      <c r="AI44" t="s">
        <v>223</v>
      </c>
      <c r="AJ44" t="s">
        <v>223</v>
      </c>
      <c r="AK44" t="s">
        <v>223</v>
      </c>
      <c r="AL44" t="s">
        <v>223</v>
      </c>
      <c r="AM44" t="s">
        <v>223</v>
      </c>
      <c r="AN44" s="9">
        <v>2</v>
      </c>
    </row>
    <row r="45" spans="1:40">
      <c r="A45" t="s">
        <v>366</v>
      </c>
      <c r="B45">
        <v>3</v>
      </c>
      <c r="C45" t="s">
        <v>223</v>
      </c>
      <c r="D45" t="s">
        <v>223</v>
      </c>
      <c r="E45" t="s">
        <v>223</v>
      </c>
      <c r="F45" t="s">
        <v>223</v>
      </c>
      <c r="G45" t="s">
        <v>223</v>
      </c>
      <c r="H45" t="s">
        <v>223</v>
      </c>
      <c r="I45" t="s">
        <v>223</v>
      </c>
      <c r="J45" t="s">
        <v>223</v>
      </c>
      <c r="K45" t="s">
        <v>223</v>
      </c>
      <c r="L45" t="s">
        <v>223</v>
      </c>
      <c r="M45" t="s">
        <v>223</v>
      </c>
      <c r="N45" t="s">
        <v>223</v>
      </c>
      <c r="O45" t="s">
        <v>223</v>
      </c>
      <c r="P45" t="s">
        <v>223</v>
      </c>
      <c r="Q45" t="s">
        <v>223</v>
      </c>
      <c r="R45" t="s">
        <v>223</v>
      </c>
      <c r="S45" t="s">
        <v>223</v>
      </c>
      <c r="T45" t="s">
        <v>223</v>
      </c>
      <c r="U45" t="s">
        <v>223</v>
      </c>
      <c r="V45" t="s">
        <v>223</v>
      </c>
      <c r="W45" t="s">
        <v>223</v>
      </c>
      <c r="X45" t="s">
        <v>223</v>
      </c>
      <c r="Y45" t="s">
        <v>223</v>
      </c>
      <c r="Z45" t="s">
        <v>223</v>
      </c>
      <c r="AA45" t="s">
        <v>223</v>
      </c>
      <c r="AB45" t="s">
        <v>223</v>
      </c>
      <c r="AC45" t="s">
        <v>223</v>
      </c>
      <c r="AD45" t="s">
        <v>223</v>
      </c>
      <c r="AE45" t="s">
        <v>223</v>
      </c>
      <c r="AF45" t="s">
        <v>223</v>
      </c>
      <c r="AG45" t="s">
        <v>223</v>
      </c>
      <c r="AH45" t="s">
        <v>223</v>
      </c>
      <c r="AI45" t="s">
        <v>223</v>
      </c>
      <c r="AJ45" t="s">
        <v>223</v>
      </c>
      <c r="AK45" t="s">
        <v>223</v>
      </c>
      <c r="AL45" t="s">
        <v>223</v>
      </c>
      <c r="AM45" t="s">
        <v>223</v>
      </c>
      <c r="AN45" s="9">
        <v>3</v>
      </c>
    </row>
    <row r="46" spans="1:40">
      <c r="A46" t="s">
        <v>366</v>
      </c>
      <c r="B46">
        <v>4</v>
      </c>
      <c r="C46" t="s">
        <v>223</v>
      </c>
      <c r="D46" t="s">
        <v>223</v>
      </c>
      <c r="E46" t="s">
        <v>223</v>
      </c>
      <c r="F46" t="s">
        <v>223</v>
      </c>
      <c r="G46" t="s">
        <v>223</v>
      </c>
      <c r="H46" t="s">
        <v>223</v>
      </c>
      <c r="I46" t="s">
        <v>223</v>
      </c>
      <c r="J46" t="s">
        <v>223</v>
      </c>
      <c r="K46" t="s">
        <v>223</v>
      </c>
      <c r="L46" t="s">
        <v>223</v>
      </c>
      <c r="M46" t="s">
        <v>223</v>
      </c>
      <c r="N46" t="s">
        <v>223</v>
      </c>
      <c r="O46" t="s">
        <v>223</v>
      </c>
      <c r="P46" t="s">
        <v>223</v>
      </c>
      <c r="Q46" t="s">
        <v>223</v>
      </c>
      <c r="R46" t="s">
        <v>223</v>
      </c>
      <c r="S46" t="s">
        <v>223</v>
      </c>
      <c r="T46" t="s">
        <v>223</v>
      </c>
      <c r="U46" t="s">
        <v>223</v>
      </c>
      <c r="V46" t="s">
        <v>223</v>
      </c>
      <c r="W46" t="s">
        <v>223</v>
      </c>
      <c r="X46" t="s">
        <v>223</v>
      </c>
      <c r="Y46" t="s">
        <v>223</v>
      </c>
      <c r="Z46" t="s">
        <v>223</v>
      </c>
      <c r="AA46" t="s">
        <v>223</v>
      </c>
      <c r="AB46" t="s">
        <v>223</v>
      </c>
      <c r="AC46" t="s">
        <v>223</v>
      </c>
      <c r="AD46" t="s">
        <v>223</v>
      </c>
      <c r="AE46" t="s">
        <v>223</v>
      </c>
      <c r="AF46" t="s">
        <v>223</v>
      </c>
      <c r="AG46" t="s">
        <v>223</v>
      </c>
      <c r="AH46" t="s">
        <v>223</v>
      </c>
      <c r="AI46" t="s">
        <v>223</v>
      </c>
      <c r="AJ46" t="s">
        <v>223</v>
      </c>
      <c r="AK46" t="s">
        <v>223</v>
      </c>
      <c r="AL46" t="s">
        <v>223</v>
      </c>
      <c r="AM46" t="s">
        <v>223</v>
      </c>
      <c r="AN46" s="9">
        <v>4</v>
      </c>
    </row>
    <row r="47" spans="1:40">
      <c r="A47" t="s">
        <v>366</v>
      </c>
      <c r="B47">
        <v>5</v>
      </c>
      <c r="C47" t="s">
        <v>223</v>
      </c>
      <c r="D47" t="s">
        <v>223</v>
      </c>
      <c r="E47" t="s">
        <v>223</v>
      </c>
      <c r="F47" t="s">
        <v>223</v>
      </c>
      <c r="G47" t="s">
        <v>223</v>
      </c>
      <c r="H47" t="s">
        <v>223</v>
      </c>
      <c r="I47" t="s">
        <v>223</v>
      </c>
      <c r="J47" t="s">
        <v>223</v>
      </c>
      <c r="K47" t="s">
        <v>223</v>
      </c>
      <c r="L47" t="s">
        <v>223</v>
      </c>
      <c r="M47" t="s">
        <v>223</v>
      </c>
      <c r="N47" t="s">
        <v>223</v>
      </c>
      <c r="O47" t="s">
        <v>223</v>
      </c>
      <c r="P47" t="s">
        <v>223</v>
      </c>
      <c r="Q47" t="s">
        <v>223</v>
      </c>
      <c r="R47" t="s">
        <v>223</v>
      </c>
      <c r="S47" t="s">
        <v>223</v>
      </c>
      <c r="T47" t="s">
        <v>223</v>
      </c>
      <c r="U47" t="s">
        <v>223</v>
      </c>
      <c r="V47" t="s">
        <v>223</v>
      </c>
      <c r="W47" t="s">
        <v>223</v>
      </c>
      <c r="X47" t="s">
        <v>223</v>
      </c>
      <c r="Y47" t="s">
        <v>223</v>
      </c>
      <c r="Z47" t="s">
        <v>223</v>
      </c>
      <c r="AA47" t="s">
        <v>223</v>
      </c>
      <c r="AB47" t="s">
        <v>223</v>
      </c>
      <c r="AC47" t="s">
        <v>223</v>
      </c>
      <c r="AD47" t="s">
        <v>223</v>
      </c>
      <c r="AE47" t="s">
        <v>223</v>
      </c>
      <c r="AF47" t="s">
        <v>223</v>
      </c>
      <c r="AG47" t="s">
        <v>223</v>
      </c>
      <c r="AH47" t="s">
        <v>223</v>
      </c>
      <c r="AI47" t="s">
        <v>223</v>
      </c>
      <c r="AJ47" t="s">
        <v>223</v>
      </c>
      <c r="AK47" t="s">
        <v>223</v>
      </c>
      <c r="AL47" t="s">
        <v>223</v>
      </c>
      <c r="AM47" t="s">
        <v>223</v>
      </c>
      <c r="AN47" s="9">
        <v>5</v>
      </c>
    </row>
    <row r="48" spans="1:40">
      <c r="A48" t="s">
        <v>366</v>
      </c>
      <c r="B48">
        <v>6</v>
      </c>
      <c r="C48" t="s">
        <v>223</v>
      </c>
      <c r="D48" t="s">
        <v>223</v>
      </c>
      <c r="E48" t="s">
        <v>223</v>
      </c>
      <c r="F48" t="s">
        <v>223</v>
      </c>
      <c r="G48" t="s">
        <v>223</v>
      </c>
      <c r="H48" t="s">
        <v>223</v>
      </c>
      <c r="I48" t="s">
        <v>223</v>
      </c>
      <c r="J48" t="s">
        <v>223</v>
      </c>
      <c r="K48" t="s">
        <v>223</v>
      </c>
      <c r="L48" t="s">
        <v>223</v>
      </c>
      <c r="M48" t="s">
        <v>223</v>
      </c>
      <c r="N48" t="s">
        <v>223</v>
      </c>
      <c r="O48" t="s">
        <v>223</v>
      </c>
      <c r="P48" t="s">
        <v>223</v>
      </c>
      <c r="Q48" t="s">
        <v>223</v>
      </c>
      <c r="R48" t="s">
        <v>223</v>
      </c>
      <c r="S48" t="s">
        <v>223</v>
      </c>
      <c r="T48" t="s">
        <v>223</v>
      </c>
      <c r="U48" t="s">
        <v>223</v>
      </c>
      <c r="V48" t="s">
        <v>223</v>
      </c>
      <c r="W48" t="s">
        <v>223</v>
      </c>
      <c r="X48" t="s">
        <v>223</v>
      </c>
      <c r="Y48" t="s">
        <v>223</v>
      </c>
      <c r="Z48" t="s">
        <v>223</v>
      </c>
      <c r="AA48" t="s">
        <v>223</v>
      </c>
      <c r="AB48" t="s">
        <v>223</v>
      </c>
      <c r="AC48" t="s">
        <v>223</v>
      </c>
      <c r="AD48" t="s">
        <v>223</v>
      </c>
      <c r="AE48" t="s">
        <v>223</v>
      </c>
      <c r="AF48" t="s">
        <v>223</v>
      </c>
      <c r="AG48" t="s">
        <v>223</v>
      </c>
      <c r="AH48" t="s">
        <v>223</v>
      </c>
      <c r="AI48" t="s">
        <v>223</v>
      </c>
      <c r="AJ48" t="s">
        <v>223</v>
      </c>
      <c r="AK48" t="s">
        <v>223</v>
      </c>
      <c r="AL48" t="s">
        <v>223</v>
      </c>
      <c r="AM48" t="s">
        <v>223</v>
      </c>
      <c r="AN48" s="9">
        <v>6</v>
      </c>
    </row>
    <row r="49" spans="1:40">
      <c r="A49" t="s">
        <v>366</v>
      </c>
      <c r="B49">
        <v>7</v>
      </c>
      <c r="C49" t="s">
        <v>223</v>
      </c>
      <c r="D49" t="s">
        <v>223</v>
      </c>
      <c r="E49" t="s">
        <v>223</v>
      </c>
      <c r="F49" t="s">
        <v>223</v>
      </c>
      <c r="G49" t="s">
        <v>223</v>
      </c>
      <c r="H49" t="s">
        <v>223</v>
      </c>
      <c r="I49" t="s">
        <v>223</v>
      </c>
      <c r="J49" t="s">
        <v>223</v>
      </c>
      <c r="K49" t="s">
        <v>223</v>
      </c>
      <c r="L49" t="s">
        <v>223</v>
      </c>
      <c r="M49" t="s">
        <v>223</v>
      </c>
      <c r="N49" t="s">
        <v>223</v>
      </c>
      <c r="O49" t="s">
        <v>223</v>
      </c>
      <c r="P49" t="s">
        <v>223</v>
      </c>
      <c r="Q49" t="s">
        <v>223</v>
      </c>
      <c r="R49" t="s">
        <v>223</v>
      </c>
      <c r="S49" t="s">
        <v>223</v>
      </c>
      <c r="T49" t="s">
        <v>223</v>
      </c>
      <c r="U49" t="s">
        <v>223</v>
      </c>
      <c r="V49" t="s">
        <v>223</v>
      </c>
      <c r="W49" t="s">
        <v>223</v>
      </c>
      <c r="X49" t="s">
        <v>223</v>
      </c>
      <c r="Y49" t="s">
        <v>223</v>
      </c>
      <c r="Z49" t="s">
        <v>223</v>
      </c>
      <c r="AA49" t="s">
        <v>223</v>
      </c>
      <c r="AB49" t="s">
        <v>223</v>
      </c>
      <c r="AC49" t="s">
        <v>223</v>
      </c>
      <c r="AD49" t="s">
        <v>223</v>
      </c>
      <c r="AE49" t="s">
        <v>223</v>
      </c>
      <c r="AF49" t="s">
        <v>223</v>
      </c>
      <c r="AG49" t="s">
        <v>223</v>
      </c>
      <c r="AH49" t="s">
        <v>223</v>
      </c>
      <c r="AI49" t="s">
        <v>223</v>
      </c>
      <c r="AJ49" t="s">
        <v>223</v>
      </c>
      <c r="AK49" t="s">
        <v>223</v>
      </c>
      <c r="AL49" t="s">
        <v>223</v>
      </c>
      <c r="AM49" t="s">
        <v>223</v>
      </c>
      <c r="AN49" s="9">
        <v>7</v>
      </c>
    </row>
    <row r="50" spans="1:40">
      <c r="A50" t="s">
        <v>366</v>
      </c>
      <c r="B50">
        <v>8</v>
      </c>
      <c r="C50" t="s">
        <v>223</v>
      </c>
      <c r="D50" t="s">
        <v>223</v>
      </c>
      <c r="E50" t="s">
        <v>223</v>
      </c>
      <c r="F50" t="s">
        <v>223</v>
      </c>
      <c r="G50" t="s">
        <v>223</v>
      </c>
      <c r="H50" t="s">
        <v>223</v>
      </c>
      <c r="I50" t="s">
        <v>223</v>
      </c>
      <c r="J50" t="s">
        <v>223</v>
      </c>
      <c r="K50" t="s">
        <v>223</v>
      </c>
      <c r="L50" t="s">
        <v>223</v>
      </c>
      <c r="M50" t="s">
        <v>223</v>
      </c>
      <c r="N50" t="s">
        <v>223</v>
      </c>
      <c r="O50" t="s">
        <v>223</v>
      </c>
      <c r="P50" t="s">
        <v>223</v>
      </c>
      <c r="Q50" t="s">
        <v>223</v>
      </c>
      <c r="R50" t="s">
        <v>223</v>
      </c>
      <c r="S50" t="s">
        <v>223</v>
      </c>
      <c r="T50" t="s">
        <v>223</v>
      </c>
      <c r="U50" t="s">
        <v>223</v>
      </c>
      <c r="V50" t="s">
        <v>223</v>
      </c>
      <c r="W50" t="s">
        <v>223</v>
      </c>
      <c r="X50" t="s">
        <v>223</v>
      </c>
      <c r="Y50" t="s">
        <v>223</v>
      </c>
      <c r="Z50" t="s">
        <v>223</v>
      </c>
      <c r="AA50" t="s">
        <v>223</v>
      </c>
      <c r="AB50" t="s">
        <v>223</v>
      </c>
      <c r="AC50" t="s">
        <v>223</v>
      </c>
      <c r="AD50" t="s">
        <v>223</v>
      </c>
      <c r="AE50" t="s">
        <v>223</v>
      </c>
      <c r="AF50" t="s">
        <v>223</v>
      </c>
      <c r="AG50" t="s">
        <v>223</v>
      </c>
      <c r="AH50" t="s">
        <v>223</v>
      </c>
      <c r="AI50" t="s">
        <v>223</v>
      </c>
      <c r="AJ50" t="s">
        <v>223</v>
      </c>
      <c r="AK50" t="s">
        <v>223</v>
      </c>
      <c r="AL50" t="s">
        <v>223</v>
      </c>
      <c r="AM50" t="s">
        <v>223</v>
      </c>
      <c r="AN50" s="9">
        <v>8</v>
      </c>
    </row>
    <row r="51" spans="1:40">
      <c r="A51" t="s">
        <v>366</v>
      </c>
      <c r="B51">
        <v>9</v>
      </c>
      <c r="C51" t="s">
        <v>223</v>
      </c>
      <c r="D51" t="s">
        <v>223</v>
      </c>
      <c r="E51" t="s">
        <v>223</v>
      </c>
      <c r="F51" t="s">
        <v>223</v>
      </c>
      <c r="G51" t="s">
        <v>223</v>
      </c>
      <c r="H51" t="s">
        <v>223</v>
      </c>
      <c r="I51" t="s">
        <v>223</v>
      </c>
      <c r="J51" t="s">
        <v>223</v>
      </c>
      <c r="K51" t="s">
        <v>223</v>
      </c>
      <c r="L51" t="s">
        <v>223</v>
      </c>
      <c r="M51" t="s">
        <v>223</v>
      </c>
      <c r="N51" t="s">
        <v>223</v>
      </c>
      <c r="O51" t="s">
        <v>223</v>
      </c>
      <c r="P51" t="s">
        <v>223</v>
      </c>
      <c r="Q51" t="s">
        <v>223</v>
      </c>
      <c r="R51" t="s">
        <v>223</v>
      </c>
      <c r="S51" t="s">
        <v>223</v>
      </c>
      <c r="T51" t="s">
        <v>223</v>
      </c>
      <c r="U51" t="s">
        <v>223</v>
      </c>
      <c r="V51" t="s">
        <v>223</v>
      </c>
      <c r="W51" t="s">
        <v>223</v>
      </c>
      <c r="X51" t="s">
        <v>223</v>
      </c>
      <c r="Y51" t="s">
        <v>223</v>
      </c>
      <c r="Z51" t="s">
        <v>223</v>
      </c>
      <c r="AA51" t="s">
        <v>223</v>
      </c>
      <c r="AB51" t="s">
        <v>223</v>
      </c>
      <c r="AC51" t="s">
        <v>223</v>
      </c>
      <c r="AD51" t="s">
        <v>223</v>
      </c>
      <c r="AE51" t="s">
        <v>223</v>
      </c>
      <c r="AF51" t="s">
        <v>223</v>
      </c>
      <c r="AG51" t="s">
        <v>223</v>
      </c>
      <c r="AH51" t="s">
        <v>223</v>
      </c>
      <c r="AI51" t="s">
        <v>223</v>
      </c>
      <c r="AJ51" t="s">
        <v>223</v>
      </c>
      <c r="AK51" t="s">
        <v>223</v>
      </c>
      <c r="AL51" t="s">
        <v>223</v>
      </c>
      <c r="AM51" t="s">
        <v>223</v>
      </c>
      <c r="AN51" s="9">
        <v>9</v>
      </c>
    </row>
    <row r="52" spans="1:40">
      <c r="A52" t="s">
        <v>366</v>
      </c>
      <c r="B52">
        <v>10</v>
      </c>
      <c r="C52" t="s">
        <v>223</v>
      </c>
      <c r="D52" t="s">
        <v>223</v>
      </c>
      <c r="E52" t="s">
        <v>223</v>
      </c>
      <c r="F52" t="s">
        <v>223</v>
      </c>
      <c r="G52" t="s">
        <v>223</v>
      </c>
      <c r="H52" t="s">
        <v>223</v>
      </c>
      <c r="I52" t="s">
        <v>223</v>
      </c>
      <c r="J52" t="s">
        <v>223</v>
      </c>
      <c r="K52" t="s">
        <v>223</v>
      </c>
      <c r="L52" t="s">
        <v>223</v>
      </c>
      <c r="M52" t="s">
        <v>223</v>
      </c>
      <c r="N52" t="s">
        <v>223</v>
      </c>
      <c r="O52" t="s">
        <v>223</v>
      </c>
      <c r="P52" t="s">
        <v>223</v>
      </c>
      <c r="Q52" t="s">
        <v>223</v>
      </c>
      <c r="R52" t="s">
        <v>223</v>
      </c>
      <c r="S52" t="s">
        <v>223</v>
      </c>
      <c r="T52" t="s">
        <v>223</v>
      </c>
      <c r="U52" t="s">
        <v>223</v>
      </c>
      <c r="V52" t="s">
        <v>223</v>
      </c>
      <c r="W52" t="s">
        <v>223</v>
      </c>
      <c r="X52" t="s">
        <v>223</v>
      </c>
      <c r="Y52" t="s">
        <v>223</v>
      </c>
      <c r="Z52" t="s">
        <v>223</v>
      </c>
      <c r="AA52" t="s">
        <v>223</v>
      </c>
      <c r="AB52" t="s">
        <v>223</v>
      </c>
      <c r="AC52" t="s">
        <v>223</v>
      </c>
      <c r="AD52" t="s">
        <v>223</v>
      </c>
      <c r="AE52" t="s">
        <v>223</v>
      </c>
      <c r="AF52" t="s">
        <v>223</v>
      </c>
      <c r="AG52" t="s">
        <v>223</v>
      </c>
      <c r="AH52" t="s">
        <v>223</v>
      </c>
      <c r="AI52" t="s">
        <v>223</v>
      </c>
      <c r="AJ52" t="s">
        <v>223</v>
      </c>
      <c r="AK52" t="s">
        <v>223</v>
      </c>
      <c r="AL52" t="s">
        <v>223</v>
      </c>
      <c r="AM52" t="s">
        <v>223</v>
      </c>
      <c r="AN52" s="9">
        <v>10</v>
      </c>
    </row>
    <row r="53" spans="1:40">
      <c r="A53" t="s">
        <v>366</v>
      </c>
      <c r="B53">
        <v>11</v>
      </c>
      <c r="C53" t="s">
        <v>223</v>
      </c>
      <c r="D53" t="s">
        <v>223</v>
      </c>
      <c r="E53" t="s">
        <v>223</v>
      </c>
      <c r="F53" t="s">
        <v>223</v>
      </c>
      <c r="G53" t="s">
        <v>223</v>
      </c>
      <c r="H53" t="s">
        <v>223</v>
      </c>
      <c r="I53" t="s">
        <v>223</v>
      </c>
      <c r="J53" t="s">
        <v>223</v>
      </c>
      <c r="K53" t="s">
        <v>223</v>
      </c>
      <c r="L53" t="s">
        <v>223</v>
      </c>
      <c r="M53" t="s">
        <v>223</v>
      </c>
      <c r="N53" t="s">
        <v>223</v>
      </c>
      <c r="O53" t="s">
        <v>223</v>
      </c>
      <c r="P53" t="s">
        <v>223</v>
      </c>
      <c r="Q53" t="s">
        <v>223</v>
      </c>
      <c r="R53" t="s">
        <v>223</v>
      </c>
      <c r="S53" t="s">
        <v>223</v>
      </c>
      <c r="T53" t="s">
        <v>223</v>
      </c>
      <c r="U53" t="s">
        <v>223</v>
      </c>
      <c r="V53" t="s">
        <v>223</v>
      </c>
      <c r="W53" t="s">
        <v>223</v>
      </c>
      <c r="X53" t="s">
        <v>223</v>
      </c>
      <c r="Y53" t="s">
        <v>223</v>
      </c>
      <c r="Z53" t="s">
        <v>223</v>
      </c>
      <c r="AA53" t="s">
        <v>223</v>
      </c>
      <c r="AB53" t="s">
        <v>223</v>
      </c>
      <c r="AC53" t="s">
        <v>223</v>
      </c>
      <c r="AD53" t="s">
        <v>223</v>
      </c>
      <c r="AE53" t="s">
        <v>223</v>
      </c>
      <c r="AF53" t="s">
        <v>223</v>
      </c>
      <c r="AG53" t="s">
        <v>223</v>
      </c>
      <c r="AH53" t="s">
        <v>223</v>
      </c>
      <c r="AI53" t="s">
        <v>223</v>
      </c>
      <c r="AJ53" t="s">
        <v>223</v>
      </c>
      <c r="AK53" t="s">
        <v>223</v>
      </c>
      <c r="AL53" t="s">
        <v>223</v>
      </c>
      <c r="AM53" t="s">
        <v>223</v>
      </c>
      <c r="AN53" s="9">
        <v>11</v>
      </c>
    </row>
    <row r="54" spans="1:40">
      <c r="A54" t="s">
        <v>366</v>
      </c>
      <c r="B54">
        <v>12</v>
      </c>
      <c r="C54" t="s">
        <v>223</v>
      </c>
      <c r="D54" t="s">
        <v>223</v>
      </c>
      <c r="E54" t="s">
        <v>223</v>
      </c>
      <c r="F54" t="s">
        <v>223</v>
      </c>
      <c r="G54" t="s">
        <v>223</v>
      </c>
      <c r="H54" t="s">
        <v>223</v>
      </c>
      <c r="I54" t="s">
        <v>223</v>
      </c>
      <c r="J54" t="s">
        <v>223</v>
      </c>
      <c r="K54" t="s">
        <v>223</v>
      </c>
      <c r="L54" t="s">
        <v>223</v>
      </c>
      <c r="M54" t="s">
        <v>223</v>
      </c>
      <c r="N54" t="s">
        <v>223</v>
      </c>
      <c r="O54" t="s">
        <v>223</v>
      </c>
      <c r="P54" t="s">
        <v>223</v>
      </c>
      <c r="Q54" t="s">
        <v>223</v>
      </c>
      <c r="R54" t="s">
        <v>223</v>
      </c>
      <c r="S54" t="s">
        <v>223</v>
      </c>
      <c r="T54" t="s">
        <v>223</v>
      </c>
      <c r="U54" t="s">
        <v>223</v>
      </c>
      <c r="V54" t="s">
        <v>223</v>
      </c>
      <c r="W54" t="s">
        <v>223</v>
      </c>
      <c r="X54" t="s">
        <v>223</v>
      </c>
      <c r="Y54" t="s">
        <v>223</v>
      </c>
      <c r="Z54" t="s">
        <v>223</v>
      </c>
      <c r="AA54" t="s">
        <v>223</v>
      </c>
      <c r="AB54" t="s">
        <v>223</v>
      </c>
      <c r="AC54" t="s">
        <v>223</v>
      </c>
      <c r="AD54" t="s">
        <v>223</v>
      </c>
      <c r="AE54" t="s">
        <v>223</v>
      </c>
      <c r="AF54" t="s">
        <v>223</v>
      </c>
      <c r="AG54" t="s">
        <v>223</v>
      </c>
      <c r="AH54" t="s">
        <v>223</v>
      </c>
      <c r="AI54" t="s">
        <v>223</v>
      </c>
      <c r="AJ54" t="s">
        <v>223</v>
      </c>
      <c r="AK54" t="s">
        <v>223</v>
      </c>
      <c r="AL54" t="s">
        <v>223</v>
      </c>
      <c r="AM54" t="s">
        <v>223</v>
      </c>
      <c r="AN54" s="9">
        <v>12</v>
      </c>
    </row>
    <row r="55" spans="1:40">
      <c r="A55" t="s">
        <v>366</v>
      </c>
      <c r="B55">
        <v>13</v>
      </c>
      <c r="C55" t="s">
        <v>223</v>
      </c>
      <c r="D55" t="s">
        <v>223</v>
      </c>
      <c r="E55" t="s">
        <v>223</v>
      </c>
      <c r="F55" t="s">
        <v>223</v>
      </c>
      <c r="G55" t="s">
        <v>223</v>
      </c>
      <c r="H55" t="s">
        <v>223</v>
      </c>
      <c r="I55" t="s">
        <v>223</v>
      </c>
      <c r="J55" t="s">
        <v>223</v>
      </c>
      <c r="K55" t="s">
        <v>223</v>
      </c>
      <c r="L55" t="s">
        <v>223</v>
      </c>
      <c r="M55" t="s">
        <v>223</v>
      </c>
      <c r="N55" t="s">
        <v>223</v>
      </c>
      <c r="O55" t="s">
        <v>223</v>
      </c>
      <c r="P55" t="s">
        <v>223</v>
      </c>
      <c r="Q55" t="s">
        <v>223</v>
      </c>
      <c r="R55" t="s">
        <v>223</v>
      </c>
      <c r="S55" t="s">
        <v>223</v>
      </c>
      <c r="T55" t="s">
        <v>223</v>
      </c>
      <c r="U55" t="s">
        <v>223</v>
      </c>
      <c r="V55" t="s">
        <v>223</v>
      </c>
      <c r="W55" t="s">
        <v>223</v>
      </c>
      <c r="X55" t="s">
        <v>223</v>
      </c>
      <c r="Y55" t="s">
        <v>223</v>
      </c>
      <c r="Z55" t="s">
        <v>223</v>
      </c>
      <c r="AA55" t="s">
        <v>223</v>
      </c>
      <c r="AB55" t="s">
        <v>223</v>
      </c>
      <c r="AC55" t="s">
        <v>223</v>
      </c>
      <c r="AD55" t="s">
        <v>223</v>
      </c>
      <c r="AE55" t="s">
        <v>223</v>
      </c>
      <c r="AF55" t="s">
        <v>223</v>
      </c>
      <c r="AG55" t="s">
        <v>223</v>
      </c>
      <c r="AH55" t="s">
        <v>223</v>
      </c>
      <c r="AI55" t="s">
        <v>223</v>
      </c>
      <c r="AJ55" t="s">
        <v>223</v>
      </c>
      <c r="AK55" t="s">
        <v>223</v>
      </c>
      <c r="AL55" t="s">
        <v>223</v>
      </c>
      <c r="AM55" t="s">
        <v>223</v>
      </c>
      <c r="AN55" s="9">
        <v>13</v>
      </c>
    </row>
    <row r="56" spans="1:40">
      <c r="A56" t="s">
        <v>366</v>
      </c>
      <c r="B56">
        <v>14</v>
      </c>
      <c r="C56" t="s">
        <v>223</v>
      </c>
      <c r="D56" t="s">
        <v>223</v>
      </c>
      <c r="E56" t="s">
        <v>223</v>
      </c>
      <c r="F56" t="s">
        <v>223</v>
      </c>
      <c r="G56" t="s">
        <v>223</v>
      </c>
      <c r="H56" t="s">
        <v>223</v>
      </c>
      <c r="I56" t="s">
        <v>223</v>
      </c>
      <c r="J56" t="s">
        <v>223</v>
      </c>
      <c r="K56" t="s">
        <v>223</v>
      </c>
      <c r="L56" t="s">
        <v>223</v>
      </c>
      <c r="M56" t="s">
        <v>223</v>
      </c>
      <c r="N56" t="s">
        <v>223</v>
      </c>
      <c r="O56" t="s">
        <v>223</v>
      </c>
      <c r="P56" t="s">
        <v>223</v>
      </c>
      <c r="Q56" t="s">
        <v>223</v>
      </c>
      <c r="R56" t="s">
        <v>223</v>
      </c>
      <c r="S56" t="s">
        <v>223</v>
      </c>
      <c r="T56" t="s">
        <v>223</v>
      </c>
      <c r="U56" t="s">
        <v>223</v>
      </c>
      <c r="V56" t="s">
        <v>223</v>
      </c>
      <c r="W56" t="s">
        <v>223</v>
      </c>
      <c r="X56" t="s">
        <v>223</v>
      </c>
      <c r="Y56" t="s">
        <v>223</v>
      </c>
      <c r="Z56" t="s">
        <v>223</v>
      </c>
      <c r="AA56" t="s">
        <v>223</v>
      </c>
      <c r="AB56" t="s">
        <v>223</v>
      </c>
      <c r="AC56" t="s">
        <v>223</v>
      </c>
      <c r="AD56" t="s">
        <v>223</v>
      </c>
      <c r="AE56" t="s">
        <v>223</v>
      </c>
      <c r="AF56" t="s">
        <v>223</v>
      </c>
      <c r="AG56" t="s">
        <v>223</v>
      </c>
      <c r="AH56" t="s">
        <v>223</v>
      </c>
      <c r="AI56" t="s">
        <v>223</v>
      </c>
      <c r="AJ56" t="s">
        <v>223</v>
      </c>
      <c r="AK56" t="s">
        <v>223</v>
      </c>
      <c r="AL56" t="s">
        <v>223</v>
      </c>
      <c r="AM56" t="s">
        <v>223</v>
      </c>
      <c r="AN56" s="9">
        <v>14</v>
      </c>
    </row>
    <row r="57" spans="1:40">
      <c r="A57" t="s">
        <v>366</v>
      </c>
      <c r="B57">
        <v>15</v>
      </c>
      <c r="C57" t="s">
        <v>223</v>
      </c>
      <c r="D57" t="s">
        <v>223</v>
      </c>
      <c r="E57" t="s">
        <v>223</v>
      </c>
      <c r="F57" t="s">
        <v>223</v>
      </c>
      <c r="G57" t="s">
        <v>223</v>
      </c>
      <c r="H57" t="s">
        <v>223</v>
      </c>
      <c r="I57" t="s">
        <v>223</v>
      </c>
      <c r="J57" t="s">
        <v>223</v>
      </c>
      <c r="K57" t="s">
        <v>223</v>
      </c>
      <c r="L57" t="s">
        <v>223</v>
      </c>
      <c r="M57" t="s">
        <v>223</v>
      </c>
      <c r="N57" t="s">
        <v>223</v>
      </c>
      <c r="O57" t="s">
        <v>223</v>
      </c>
      <c r="P57" t="s">
        <v>223</v>
      </c>
      <c r="Q57" t="s">
        <v>223</v>
      </c>
      <c r="R57" t="s">
        <v>223</v>
      </c>
      <c r="S57" t="s">
        <v>223</v>
      </c>
      <c r="T57" t="s">
        <v>223</v>
      </c>
      <c r="U57" t="s">
        <v>223</v>
      </c>
      <c r="V57" t="s">
        <v>223</v>
      </c>
      <c r="W57" t="s">
        <v>223</v>
      </c>
      <c r="X57" t="s">
        <v>223</v>
      </c>
      <c r="Y57" t="s">
        <v>223</v>
      </c>
      <c r="Z57" t="s">
        <v>223</v>
      </c>
      <c r="AA57" t="s">
        <v>223</v>
      </c>
      <c r="AB57" t="s">
        <v>223</v>
      </c>
      <c r="AC57" t="s">
        <v>223</v>
      </c>
      <c r="AD57" t="s">
        <v>223</v>
      </c>
      <c r="AE57" t="s">
        <v>223</v>
      </c>
      <c r="AF57" t="s">
        <v>223</v>
      </c>
      <c r="AG57" t="s">
        <v>223</v>
      </c>
      <c r="AH57" t="s">
        <v>223</v>
      </c>
      <c r="AI57" t="s">
        <v>223</v>
      </c>
      <c r="AJ57" t="s">
        <v>223</v>
      </c>
      <c r="AK57" t="s">
        <v>223</v>
      </c>
      <c r="AL57" t="s">
        <v>223</v>
      </c>
      <c r="AM57" t="s">
        <v>223</v>
      </c>
      <c r="AN57" s="9">
        <v>15</v>
      </c>
    </row>
    <row r="58" spans="1:40">
      <c r="A58" t="s">
        <v>366</v>
      </c>
      <c r="B58">
        <v>16</v>
      </c>
      <c r="C58" t="s">
        <v>223</v>
      </c>
      <c r="D58" t="s">
        <v>223</v>
      </c>
      <c r="E58" t="s">
        <v>223</v>
      </c>
      <c r="F58" t="s">
        <v>223</v>
      </c>
      <c r="G58" t="s">
        <v>223</v>
      </c>
      <c r="H58" t="s">
        <v>223</v>
      </c>
      <c r="I58" t="s">
        <v>223</v>
      </c>
      <c r="J58" t="s">
        <v>223</v>
      </c>
      <c r="K58" t="s">
        <v>223</v>
      </c>
      <c r="L58" t="s">
        <v>223</v>
      </c>
      <c r="M58" t="s">
        <v>223</v>
      </c>
      <c r="N58" t="s">
        <v>223</v>
      </c>
      <c r="O58" t="s">
        <v>223</v>
      </c>
      <c r="P58" t="s">
        <v>223</v>
      </c>
      <c r="Q58" t="s">
        <v>223</v>
      </c>
      <c r="R58" t="s">
        <v>223</v>
      </c>
      <c r="S58" t="s">
        <v>223</v>
      </c>
      <c r="T58" t="s">
        <v>223</v>
      </c>
      <c r="U58" t="s">
        <v>223</v>
      </c>
      <c r="V58" t="s">
        <v>223</v>
      </c>
      <c r="W58" t="s">
        <v>223</v>
      </c>
      <c r="X58" t="s">
        <v>223</v>
      </c>
      <c r="Y58" t="s">
        <v>223</v>
      </c>
      <c r="Z58" t="s">
        <v>223</v>
      </c>
      <c r="AA58" t="s">
        <v>223</v>
      </c>
      <c r="AB58" t="s">
        <v>223</v>
      </c>
      <c r="AC58" t="s">
        <v>223</v>
      </c>
      <c r="AD58" t="s">
        <v>223</v>
      </c>
      <c r="AE58" t="s">
        <v>223</v>
      </c>
      <c r="AF58" t="s">
        <v>223</v>
      </c>
      <c r="AG58" t="s">
        <v>223</v>
      </c>
      <c r="AH58" t="s">
        <v>223</v>
      </c>
      <c r="AI58" t="s">
        <v>223</v>
      </c>
      <c r="AJ58" t="s">
        <v>223</v>
      </c>
      <c r="AK58" t="s">
        <v>223</v>
      </c>
      <c r="AL58" t="s">
        <v>223</v>
      </c>
      <c r="AM58" t="s">
        <v>223</v>
      </c>
      <c r="AN58" s="9">
        <v>16</v>
      </c>
    </row>
    <row r="59" spans="1:40">
      <c r="A59" t="s">
        <v>366</v>
      </c>
      <c r="B59">
        <v>17</v>
      </c>
      <c r="C59" t="s">
        <v>223</v>
      </c>
      <c r="D59" t="s">
        <v>223</v>
      </c>
      <c r="E59" t="s">
        <v>223</v>
      </c>
      <c r="F59" t="s">
        <v>223</v>
      </c>
      <c r="G59" t="s">
        <v>223</v>
      </c>
      <c r="H59" t="s">
        <v>223</v>
      </c>
      <c r="I59" t="s">
        <v>223</v>
      </c>
      <c r="J59" t="s">
        <v>223</v>
      </c>
      <c r="K59" t="s">
        <v>223</v>
      </c>
      <c r="L59" t="s">
        <v>223</v>
      </c>
      <c r="M59" t="s">
        <v>223</v>
      </c>
      <c r="N59" t="s">
        <v>223</v>
      </c>
      <c r="O59" t="s">
        <v>223</v>
      </c>
      <c r="P59" t="s">
        <v>223</v>
      </c>
      <c r="Q59" t="s">
        <v>223</v>
      </c>
      <c r="R59" t="s">
        <v>223</v>
      </c>
      <c r="S59" t="s">
        <v>223</v>
      </c>
      <c r="T59" t="s">
        <v>223</v>
      </c>
      <c r="U59" t="s">
        <v>223</v>
      </c>
      <c r="V59" t="s">
        <v>223</v>
      </c>
      <c r="W59" t="s">
        <v>223</v>
      </c>
      <c r="X59" t="s">
        <v>223</v>
      </c>
      <c r="Y59" t="s">
        <v>223</v>
      </c>
      <c r="Z59" t="s">
        <v>223</v>
      </c>
      <c r="AA59" t="s">
        <v>223</v>
      </c>
      <c r="AB59" t="s">
        <v>223</v>
      </c>
      <c r="AC59" t="s">
        <v>223</v>
      </c>
      <c r="AD59" t="s">
        <v>223</v>
      </c>
      <c r="AE59" t="s">
        <v>223</v>
      </c>
      <c r="AF59" t="s">
        <v>223</v>
      </c>
      <c r="AG59" t="s">
        <v>223</v>
      </c>
      <c r="AH59" t="s">
        <v>223</v>
      </c>
      <c r="AI59" t="s">
        <v>223</v>
      </c>
      <c r="AJ59" t="s">
        <v>223</v>
      </c>
      <c r="AK59" t="s">
        <v>223</v>
      </c>
      <c r="AL59" t="s">
        <v>223</v>
      </c>
      <c r="AM59" t="s">
        <v>223</v>
      </c>
      <c r="AN59" s="9">
        <v>17</v>
      </c>
    </row>
    <row r="60" spans="1:40">
      <c r="A60" t="s">
        <v>366</v>
      </c>
      <c r="B60">
        <v>18</v>
      </c>
      <c r="C60" t="s">
        <v>223</v>
      </c>
      <c r="D60" t="s">
        <v>223</v>
      </c>
      <c r="E60" t="s">
        <v>223</v>
      </c>
      <c r="F60" t="s">
        <v>223</v>
      </c>
      <c r="G60" t="s">
        <v>223</v>
      </c>
      <c r="H60" t="s">
        <v>223</v>
      </c>
      <c r="I60" t="s">
        <v>223</v>
      </c>
      <c r="J60" t="s">
        <v>223</v>
      </c>
      <c r="K60" t="s">
        <v>223</v>
      </c>
      <c r="L60" t="s">
        <v>223</v>
      </c>
      <c r="M60" t="s">
        <v>223</v>
      </c>
      <c r="N60" t="s">
        <v>223</v>
      </c>
      <c r="O60" t="s">
        <v>223</v>
      </c>
      <c r="P60" t="s">
        <v>223</v>
      </c>
      <c r="Q60" t="s">
        <v>223</v>
      </c>
      <c r="R60" t="s">
        <v>223</v>
      </c>
      <c r="S60" t="s">
        <v>223</v>
      </c>
      <c r="T60" t="s">
        <v>223</v>
      </c>
      <c r="U60" t="s">
        <v>223</v>
      </c>
      <c r="V60" t="s">
        <v>223</v>
      </c>
      <c r="W60" t="s">
        <v>223</v>
      </c>
      <c r="X60" t="s">
        <v>223</v>
      </c>
      <c r="Y60" t="s">
        <v>223</v>
      </c>
      <c r="Z60" t="s">
        <v>223</v>
      </c>
      <c r="AA60" t="s">
        <v>223</v>
      </c>
      <c r="AB60" t="s">
        <v>223</v>
      </c>
      <c r="AC60" t="s">
        <v>223</v>
      </c>
      <c r="AD60" t="s">
        <v>223</v>
      </c>
      <c r="AE60" t="s">
        <v>223</v>
      </c>
      <c r="AF60" t="s">
        <v>223</v>
      </c>
      <c r="AG60" t="s">
        <v>223</v>
      </c>
      <c r="AH60" t="s">
        <v>223</v>
      </c>
      <c r="AI60" t="s">
        <v>223</v>
      </c>
      <c r="AJ60" t="s">
        <v>223</v>
      </c>
      <c r="AK60" t="s">
        <v>223</v>
      </c>
      <c r="AL60" t="s">
        <v>223</v>
      </c>
      <c r="AM60" t="s">
        <v>223</v>
      </c>
      <c r="AN60" s="9">
        <v>18</v>
      </c>
    </row>
    <row r="61" spans="1:40">
      <c r="A61" t="s">
        <v>366</v>
      </c>
      <c r="B61">
        <v>19</v>
      </c>
      <c r="C61" t="s">
        <v>223</v>
      </c>
      <c r="D61" t="s">
        <v>223</v>
      </c>
      <c r="E61" t="s">
        <v>223</v>
      </c>
      <c r="F61" t="s">
        <v>223</v>
      </c>
      <c r="G61" t="s">
        <v>223</v>
      </c>
      <c r="H61" t="s">
        <v>223</v>
      </c>
      <c r="I61" t="s">
        <v>223</v>
      </c>
      <c r="J61" t="s">
        <v>223</v>
      </c>
      <c r="K61" t="s">
        <v>223</v>
      </c>
      <c r="L61" t="s">
        <v>223</v>
      </c>
      <c r="M61" t="s">
        <v>223</v>
      </c>
      <c r="N61" t="s">
        <v>223</v>
      </c>
      <c r="O61" t="s">
        <v>223</v>
      </c>
      <c r="P61" t="s">
        <v>223</v>
      </c>
      <c r="Q61" t="s">
        <v>223</v>
      </c>
      <c r="R61" t="s">
        <v>223</v>
      </c>
      <c r="S61" t="s">
        <v>223</v>
      </c>
      <c r="T61" t="s">
        <v>223</v>
      </c>
      <c r="U61" t="s">
        <v>223</v>
      </c>
      <c r="V61" t="s">
        <v>223</v>
      </c>
      <c r="W61" t="s">
        <v>223</v>
      </c>
      <c r="X61" t="s">
        <v>223</v>
      </c>
      <c r="Y61" t="s">
        <v>223</v>
      </c>
      <c r="Z61" t="s">
        <v>223</v>
      </c>
      <c r="AA61" t="s">
        <v>223</v>
      </c>
      <c r="AB61" t="s">
        <v>223</v>
      </c>
      <c r="AC61" t="s">
        <v>223</v>
      </c>
      <c r="AD61" t="s">
        <v>223</v>
      </c>
      <c r="AE61" t="s">
        <v>223</v>
      </c>
      <c r="AF61" t="s">
        <v>223</v>
      </c>
      <c r="AG61" t="s">
        <v>223</v>
      </c>
      <c r="AH61" t="s">
        <v>223</v>
      </c>
      <c r="AI61" t="s">
        <v>223</v>
      </c>
      <c r="AJ61" t="s">
        <v>223</v>
      </c>
      <c r="AK61" t="s">
        <v>223</v>
      </c>
      <c r="AL61" t="s">
        <v>223</v>
      </c>
      <c r="AM61" t="s">
        <v>223</v>
      </c>
      <c r="AN61" s="9">
        <v>19</v>
      </c>
    </row>
    <row r="62" spans="1:40">
      <c r="A62" t="s">
        <v>366</v>
      </c>
      <c r="B62">
        <v>20</v>
      </c>
      <c r="C62" t="s">
        <v>223</v>
      </c>
      <c r="D62" t="s">
        <v>223</v>
      </c>
      <c r="E62" t="s">
        <v>223</v>
      </c>
      <c r="F62" t="s">
        <v>223</v>
      </c>
      <c r="G62" t="s">
        <v>223</v>
      </c>
      <c r="H62" t="s">
        <v>223</v>
      </c>
      <c r="I62" t="s">
        <v>223</v>
      </c>
      <c r="J62" t="s">
        <v>223</v>
      </c>
      <c r="K62" t="s">
        <v>223</v>
      </c>
      <c r="L62" t="s">
        <v>223</v>
      </c>
      <c r="M62" t="s">
        <v>223</v>
      </c>
      <c r="N62" t="s">
        <v>223</v>
      </c>
      <c r="O62" t="s">
        <v>223</v>
      </c>
      <c r="P62" t="s">
        <v>223</v>
      </c>
      <c r="Q62" t="s">
        <v>223</v>
      </c>
      <c r="R62" t="s">
        <v>223</v>
      </c>
      <c r="S62" t="s">
        <v>223</v>
      </c>
      <c r="T62" t="s">
        <v>223</v>
      </c>
      <c r="U62" t="s">
        <v>223</v>
      </c>
      <c r="V62" t="s">
        <v>223</v>
      </c>
      <c r="W62" t="s">
        <v>223</v>
      </c>
      <c r="X62" t="s">
        <v>223</v>
      </c>
      <c r="Y62" t="s">
        <v>223</v>
      </c>
      <c r="Z62" t="s">
        <v>223</v>
      </c>
      <c r="AA62" t="s">
        <v>223</v>
      </c>
      <c r="AB62" t="s">
        <v>223</v>
      </c>
      <c r="AC62" t="s">
        <v>223</v>
      </c>
      <c r="AD62" t="s">
        <v>223</v>
      </c>
      <c r="AE62" t="s">
        <v>223</v>
      </c>
      <c r="AF62" t="s">
        <v>223</v>
      </c>
      <c r="AG62" t="s">
        <v>223</v>
      </c>
      <c r="AH62" t="s">
        <v>223</v>
      </c>
      <c r="AI62" t="s">
        <v>223</v>
      </c>
      <c r="AJ62" t="s">
        <v>223</v>
      </c>
      <c r="AK62" t="s">
        <v>223</v>
      </c>
      <c r="AL62" t="s">
        <v>223</v>
      </c>
      <c r="AM62" t="s">
        <v>223</v>
      </c>
      <c r="AN62" s="9">
        <v>20</v>
      </c>
    </row>
    <row r="63" spans="1:40">
      <c r="A63" t="s">
        <v>366</v>
      </c>
      <c r="B63">
        <v>21</v>
      </c>
      <c r="C63" t="s">
        <v>223</v>
      </c>
      <c r="D63" t="s">
        <v>223</v>
      </c>
      <c r="E63" t="s">
        <v>223</v>
      </c>
      <c r="F63" t="s">
        <v>223</v>
      </c>
      <c r="G63" t="s">
        <v>223</v>
      </c>
      <c r="H63" t="s">
        <v>223</v>
      </c>
      <c r="I63" t="s">
        <v>223</v>
      </c>
      <c r="J63" t="s">
        <v>223</v>
      </c>
      <c r="K63" t="s">
        <v>223</v>
      </c>
      <c r="L63" t="s">
        <v>223</v>
      </c>
      <c r="M63" t="s">
        <v>223</v>
      </c>
      <c r="N63" t="s">
        <v>223</v>
      </c>
      <c r="O63" t="s">
        <v>223</v>
      </c>
      <c r="P63" t="s">
        <v>223</v>
      </c>
      <c r="Q63" t="s">
        <v>223</v>
      </c>
      <c r="R63" t="s">
        <v>223</v>
      </c>
      <c r="S63" t="s">
        <v>223</v>
      </c>
      <c r="T63" t="s">
        <v>223</v>
      </c>
      <c r="U63" t="s">
        <v>223</v>
      </c>
      <c r="V63" t="s">
        <v>223</v>
      </c>
      <c r="W63" t="s">
        <v>223</v>
      </c>
      <c r="X63" t="s">
        <v>223</v>
      </c>
      <c r="Y63" t="s">
        <v>223</v>
      </c>
      <c r="Z63" t="s">
        <v>223</v>
      </c>
      <c r="AA63" t="s">
        <v>223</v>
      </c>
      <c r="AB63" t="s">
        <v>223</v>
      </c>
      <c r="AC63" t="s">
        <v>223</v>
      </c>
      <c r="AD63" t="s">
        <v>223</v>
      </c>
      <c r="AE63" t="s">
        <v>223</v>
      </c>
      <c r="AF63" t="s">
        <v>223</v>
      </c>
      <c r="AG63" t="s">
        <v>223</v>
      </c>
      <c r="AH63" t="s">
        <v>223</v>
      </c>
      <c r="AI63" t="s">
        <v>223</v>
      </c>
      <c r="AJ63" t="s">
        <v>223</v>
      </c>
      <c r="AK63" t="s">
        <v>223</v>
      </c>
      <c r="AL63" t="s">
        <v>223</v>
      </c>
      <c r="AM63" t="s">
        <v>223</v>
      </c>
      <c r="AN63" s="9">
        <v>21</v>
      </c>
    </row>
    <row r="64" spans="1:40">
      <c r="A64" t="s">
        <v>366</v>
      </c>
      <c r="B64">
        <v>22</v>
      </c>
      <c r="C64" t="s">
        <v>223</v>
      </c>
      <c r="D64" t="s">
        <v>223</v>
      </c>
      <c r="E64" t="s">
        <v>223</v>
      </c>
      <c r="F64" t="s">
        <v>223</v>
      </c>
      <c r="G64" t="s">
        <v>223</v>
      </c>
      <c r="H64" t="s">
        <v>223</v>
      </c>
      <c r="I64" t="s">
        <v>223</v>
      </c>
      <c r="J64" t="s">
        <v>223</v>
      </c>
      <c r="K64" t="s">
        <v>223</v>
      </c>
      <c r="L64" t="s">
        <v>223</v>
      </c>
      <c r="M64" t="s">
        <v>223</v>
      </c>
      <c r="N64" t="s">
        <v>223</v>
      </c>
      <c r="O64" t="s">
        <v>223</v>
      </c>
      <c r="P64" t="s">
        <v>223</v>
      </c>
      <c r="Q64" t="s">
        <v>223</v>
      </c>
      <c r="R64" t="s">
        <v>223</v>
      </c>
      <c r="S64" t="s">
        <v>223</v>
      </c>
      <c r="T64" t="s">
        <v>223</v>
      </c>
      <c r="U64" t="s">
        <v>223</v>
      </c>
      <c r="V64" t="s">
        <v>223</v>
      </c>
      <c r="W64" t="s">
        <v>223</v>
      </c>
      <c r="X64" t="s">
        <v>223</v>
      </c>
      <c r="Y64" t="s">
        <v>223</v>
      </c>
      <c r="Z64" t="s">
        <v>223</v>
      </c>
      <c r="AA64" t="s">
        <v>223</v>
      </c>
      <c r="AB64" t="s">
        <v>223</v>
      </c>
      <c r="AC64" t="s">
        <v>223</v>
      </c>
      <c r="AD64" t="s">
        <v>223</v>
      </c>
      <c r="AE64" t="s">
        <v>223</v>
      </c>
      <c r="AF64" t="s">
        <v>223</v>
      </c>
      <c r="AG64" t="s">
        <v>223</v>
      </c>
      <c r="AH64" t="s">
        <v>223</v>
      </c>
      <c r="AI64" t="s">
        <v>223</v>
      </c>
      <c r="AJ64" t="s">
        <v>223</v>
      </c>
      <c r="AK64" t="s">
        <v>223</v>
      </c>
      <c r="AL64" t="s">
        <v>223</v>
      </c>
      <c r="AM64" t="s">
        <v>223</v>
      </c>
      <c r="AN64" s="9">
        <v>22</v>
      </c>
    </row>
    <row r="65" spans="1:40">
      <c r="A65" t="s">
        <v>366</v>
      </c>
      <c r="B65">
        <v>23</v>
      </c>
      <c r="C65" t="s">
        <v>223</v>
      </c>
      <c r="D65" t="s">
        <v>223</v>
      </c>
      <c r="E65" t="s">
        <v>223</v>
      </c>
      <c r="F65" t="s">
        <v>223</v>
      </c>
      <c r="G65" t="s">
        <v>223</v>
      </c>
      <c r="H65" t="s">
        <v>223</v>
      </c>
      <c r="I65" t="s">
        <v>223</v>
      </c>
      <c r="J65" t="s">
        <v>223</v>
      </c>
      <c r="K65" t="s">
        <v>223</v>
      </c>
      <c r="L65" t="s">
        <v>223</v>
      </c>
      <c r="M65" t="s">
        <v>223</v>
      </c>
      <c r="N65" t="s">
        <v>223</v>
      </c>
      <c r="O65" t="s">
        <v>223</v>
      </c>
      <c r="P65" t="s">
        <v>223</v>
      </c>
      <c r="Q65" t="s">
        <v>223</v>
      </c>
      <c r="R65" t="s">
        <v>223</v>
      </c>
      <c r="S65" t="s">
        <v>223</v>
      </c>
      <c r="T65" t="s">
        <v>223</v>
      </c>
      <c r="U65" t="s">
        <v>223</v>
      </c>
      <c r="V65" t="s">
        <v>223</v>
      </c>
      <c r="W65" t="s">
        <v>223</v>
      </c>
      <c r="X65" t="s">
        <v>223</v>
      </c>
      <c r="Y65" t="s">
        <v>223</v>
      </c>
      <c r="Z65" t="s">
        <v>223</v>
      </c>
      <c r="AA65" t="s">
        <v>223</v>
      </c>
      <c r="AB65" t="s">
        <v>223</v>
      </c>
      <c r="AC65" t="s">
        <v>223</v>
      </c>
      <c r="AD65" t="s">
        <v>223</v>
      </c>
      <c r="AE65" t="s">
        <v>223</v>
      </c>
      <c r="AF65" t="s">
        <v>223</v>
      </c>
      <c r="AG65" t="s">
        <v>223</v>
      </c>
      <c r="AH65" t="s">
        <v>223</v>
      </c>
      <c r="AI65" t="s">
        <v>223</v>
      </c>
      <c r="AJ65" t="s">
        <v>223</v>
      </c>
      <c r="AK65" t="s">
        <v>223</v>
      </c>
      <c r="AL65" t="s">
        <v>223</v>
      </c>
      <c r="AM65" t="s">
        <v>223</v>
      </c>
      <c r="AN65" s="9">
        <v>23</v>
      </c>
    </row>
    <row r="66" spans="1:40">
      <c r="A66" t="s">
        <v>366</v>
      </c>
      <c r="B66">
        <v>24</v>
      </c>
      <c r="C66" t="s">
        <v>223</v>
      </c>
      <c r="D66" t="s">
        <v>223</v>
      </c>
      <c r="E66" t="s">
        <v>223</v>
      </c>
      <c r="F66" t="s">
        <v>223</v>
      </c>
      <c r="G66" t="s">
        <v>223</v>
      </c>
      <c r="H66" t="s">
        <v>223</v>
      </c>
      <c r="I66" t="s">
        <v>223</v>
      </c>
      <c r="J66" t="s">
        <v>223</v>
      </c>
      <c r="K66" t="s">
        <v>223</v>
      </c>
      <c r="L66" t="s">
        <v>223</v>
      </c>
      <c r="M66" t="s">
        <v>223</v>
      </c>
      <c r="N66" t="s">
        <v>223</v>
      </c>
      <c r="O66" t="s">
        <v>223</v>
      </c>
      <c r="P66" t="s">
        <v>223</v>
      </c>
      <c r="Q66" t="s">
        <v>223</v>
      </c>
      <c r="R66" t="s">
        <v>223</v>
      </c>
      <c r="S66" t="s">
        <v>223</v>
      </c>
      <c r="T66" t="s">
        <v>223</v>
      </c>
      <c r="U66" t="s">
        <v>223</v>
      </c>
      <c r="V66" t="s">
        <v>223</v>
      </c>
      <c r="W66" t="s">
        <v>223</v>
      </c>
      <c r="X66" t="s">
        <v>223</v>
      </c>
      <c r="Y66" t="s">
        <v>223</v>
      </c>
      <c r="Z66" t="s">
        <v>223</v>
      </c>
      <c r="AA66" t="s">
        <v>223</v>
      </c>
      <c r="AB66" t="s">
        <v>223</v>
      </c>
      <c r="AC66" t="s">
        <v>223</v>
      </c>
      <c r="AD66" t="s">
        <v>223</v>
      </c>
      <c r="AE66" t="s">
        <v>223</v>
      </c>
      <c r="AF66" t="s">
        <v>223</v>
      </c>
      <c r="AG66" t="s">
        <v>223</v>
      </c>
      <c r="AH66" t="s">
        <v>223</v>
      </c>
      <c r="AI66" t="s">
        <v>223</v>
      </c>
      <c r="AJ66" t="s">
        <v>223</v>
      </c>
      <c r="AK66" t="s">
        <v>223</v>
      </c>
      <c r="AL66" t="s">
        <v>223</v>
      </c>
      <c r="AM66" t="s">
        <v>223</v>
      </c>
      <c r="AN66" s="9">
        <v>24</v>
      </c>
    </row>
    <row r="67" spans="1:40">
      <c r="A67" t="s">
        <v>366</v>
      </c>
      <c r="B67">
        <v>25</v>
      </c>
      <c r="C67" t="s">
        <v>223</v>
      </c>
      <c r="D67" t="s">
        <v>223</v>
      </c>
      <c r="E67" t="s">
        <v>223</v>
      </c>
      <c r="F67" t="s">
        <v>223</v>
      </c>
      <c r="G67" t="s">
        <v>223</v>
      </c>
      <c r="H67" t="s">
        <v>223</v>
      </c>
      <c r="I67" t="s">
        <v>223</v>
      </c>
      <c r="J67" t="s">
        <v>223</v>
      </c>
      <c r="K67" t="s">
        <v>223</v>
      </c>
      <c r="L67" t="s">
        <v>223</v>
      </c>
      <c r="M67" t="s">
        <v>223</v>
      </c>
      <c r="N67" t="s">
        <v>223</v>
      </c>
      <c r="O67" t="s">
        <v>223</v>
      </c>
      <c r="P67" t="s">
        <v>223</v>
      </c>
      <c r="Q67" t="s">
        <v>223</v>
      </c>
      <c r="R67" t="s">
        <v>223</v>
      </c>
      <c r="S67" t="s">
        <v>223</v>
      </c>
      <c r="T67" t="s">
        <v>223</v>
      </c>
      <c r="U67" t="s">
        <v>223</v>
      </c>
      <c r="V67" t="s">
        <v>223</v>
      </c>
      <c r="W67" t="s">
        <v>223</v>
      </c>
      <c r="X67" t="s">
        <v>223</v>
      </c>
      <c r="Y67" t="s">
        <v>223</v>
      </c>
      <c r="Z67" t="s">
        <v>223</v>
      </c>
      <c r="AA67" t="s">
        <v>223</v>
      </c>
      <c r="AB67" t="s">
        <v>223</v>
      </c>
      <c r="AC67" t="s">
        <v>223</v>
      </c>
      <c r="AD67" t="s">
        <v>223</v>
      </c>
      <c r="AE67" t="s">
        <v>223</v>
      </c>
      <c r="AF67" t="s">
        <v>223</v>
      </c>
      <c r="AG67" t="s">
        <v>223</v>
      </c>
      <c r="AH67" t="s">
        <v>223</v>
      </c>
      <c r="AI67" t="s">
        <v>223</v>
      </c>
      <c r="AJ67" t="s">
        <v>223</v>
      </c>
      <c r="AK67" t="s">
        <v>223</v>
      </c>
      <c r="AL67" t="s">
        <v>223</v>
      </c>
      <c r="AM67" t="s">
        <v>223</v>
      </c>
      <c r="AN67" s="9">
        <v>25</v>
      </c>
    </row>
    <row r="68" spans="1:40">
      <c r="A68" t="s">
        <v>366</v>
      </c>
      <c r="B68">
        <v>26</v>
      </c>
      <c r="C68" t="s">
        <v>223</v>
      </c>
      <c r="D68" t="s">
        <v>223</v>
      </c>
      <c r="E68" t="s">
        <v>223</v>
      </c>
      <c r="F68" t="s">
        <v>223</v>
      </c>
      <c r="G68" t="s">
        <v>223</v>
      </c>
      <c r="H68" t="s">
        <v>223</v>
      </c>
      <c r="I68" t="s">
        <v>223</v>
      </c>
      <c r="J68" t="s">
        <v>223</v>
      </c>
      <c r="K68" t="s">
        <v>223</v>
      </c>
      <c r="L68" t="s">
        <v>223</v>
      </c>
      <c r="M68" t="s">
        <v>223</v>
      </c>
      <c r="N68" t="s">
        <v>223</v>
      </c>
      <c r="O68" t="s">
        <v>223</v>
      </c>
      <c r="P68" t="s">
        <v>223</v>
      </c>
      <c r="Q68" t="s">
        <v>223</v>
      </c>
      <c r="R68" t="s">
        <v>223</v>
      </c>
      <c r="S68" t="s">
        <v>223</v>
      </c>
      <c r="T68" t="s">
        <v>223</v>
      </c>
      <c r="U68" t="s">
        <v>223</v>
      </c>
      <c r="V68" t="s">
        <v>223</v>
      </c>
      <c r="W68" t="s">
        <v>223</v>
      </c>
      <c r="X68" t="s">
        <v>223</v>
      </c>
      <c r="Y68" t="s">
        <v>223</v>
      </c>
      <c r="Z68" t="s">
        <v>223</v>
      </c>
      <c r="AA68" t="s">
        <v>223</v>
      </c>
      <c r="AB68" t="s">
        <v>223</v>
      </c>
      <c r="AC68" t="s">
        <v>223</v>
      </c>
      <c r="AD68" t="s">
        <v>223</v>
      </c>
      <c r="AE68" t="s">
        <v>223</v>
      </c>
      <c r="AF68" t="s">
        <v>223</v>
      </c>
      <c r="AG68" t="s">
        <v>223</v>
      </c>
      <c r="AH68" t="s">
        <v>223</v>
      </c>
      <c r="AI68" t="s">
        <v>223</v>
      </c>
      <c r="AJ68" t="s">
        <v>223</v>
      </c>
      <c r="AK68" t="s">
        <v>223</v>
      </c>
      <c r="AL68" t="s">
        <v>223</v>
      </c>
      <c r="AM68" t="s">
        <v>223</v>
      </c>
      <c r="AN68" s="9">
        <v>26</v>
      </c>
    </row>
    <row r="69" spans="1:40">
      <c r="A69" t="s">
        <v>366</v>
      </c>
      <c r="B69">
        <v>27</v>
      </c>
      <c r="C69" t="s">
        <v>223</v>
      </c>
      <c r="D69" t="s">
        <v>223</v>
      </c>
      <c r="E69" t="s">
        <v>223</v>
      </c>
      <c r="F69" t="s">
        <v>223</v>
      </c>
      <c r="G69" t="s">
        <v>223</v>
      </c>
      <c r="H69" t="s">
        <v>223</v>
      </c>
      <c r="I69" t="s">
        <v>223</v>
      </c>
      <c r="J69" t="s">
        <v>223</v>
      </c>
      <c r="K69" t="s">
        <v>223</v>
      </c>
      <c r="L69" t="s">
        <v>223</v>
      </c>
      <c r="M69" t="s">
        <v>223</v>
      </c>
      <c r="N69" t="s">
        <v>223</v>
      </c>
      <c r="O69" t="s">
        <v>223</v>
      </c>
      <c r="P69" t="s">
        <v>223</v>
      </c>
      <c r="Q69" t="s">
        <v>223</v>
      </c>
      <c r="R69" t="s">
        <v>223</v>
      </c>
      <c r="S69" t="s">
        <v>223</v>
      </c>
      <c r="T69" t="s">
        <v>223</v>
      </c>
      <c r="U69" t="s">
        <v>223</v>
      </c>
      <c r="V69" t="s">
        <v>223</v>
      </c>
      <c r="W69" t="s">
        <v>223</v>
      </c>
      <c r="X69" t="s">
        <v>223</v>
      </c>
      <c r="Y69" t="s">
        <v>223</v>
      </c>
      <c r="Z69" t="s">
        <v>223</v>
      </c>
      <c r="AA69" t="s">
        <v>223</v>
      </c>
      <c r="AB69" t="s">
        <v>223</v>
      </c>
      <c r="AC69" t="s">
        <v>223</v>
      </c>
      <c r="AD69" t="s">
        <v>223</v>
      </c>
      <c r="AE69" t="s">
        <v>223</v>
      </c>
      <c r="AF69" t="s">
        <v>223</v>
      </c>
      <c r="AG69" t="s">
        <v>223</v>
      </c>
      <c r="AH69" t="s">
        <v>223</v>
      </c>
      <c r="AI69" t="s">
        <v>223</v>
      </c>
      <c r="AJ69" t="s">
        <v>223</v>
      </c>
      <c r="AK69" t="s">
        <v>223</v>
      </c>
      <c r="AL69" t="s">
        <v>223</v>
      </c>
      <c r="AM69" t="s">
        <v>223</v>
      </c>
      <c r="AN69" s="9">
        <v>27</v>
      </c>
    </row>
    <row r="70" spans="1:40">
      <c r="A70" t="s">
        <v>366</v>
      </c>
      <c r="B70">
        <v>28</v>
      </c>
      <c r="C70" t="s">
        <v>223</v>
      </c>
      <c r="D70" t="s">
        <v>223</v>
      </c>
      <c r="E70" t="s">
        <v>223</v>
      </c>
      <c r="F70" t="s">
        <v>223</v>
      </c>
      <c r="G70" t="s">
        <v>223</v>
      </c>
      <c r="H70" t="s">
        <v>223</v>
      </c>
      <c r="I70" t="s">
        <v>223</v>
      </c>
      <c r="J70" t="s">
        <v>223</v>
      </c>
      <c r="K70" t="s">
        <v>223</v>
      </c>
      <c r="L70" t="s">
        <v>223</v>
      </c>
      <c r="M70" t="s">
        <v>223</v>
      </c>
      <c r="N70" t="s">
        <v>223</v>
      </c>
      <c r="O70" t="s">
        <v>223</v>
      </c>
      <c r="P70" t="s">
        <v>223</v>
      </c>
      <c r="Q70" t="s">
        <v>223</v>
      </c>
      <c r="R70" t="s">
        <v>223</v>
      </c>
      <c r="S70" t="s">
        <v>223</v>
      </c>
      <c r="T70" t="s">
        <v>223</v>
      </c>
      <c r="U70" t="s">
        <v>223</v>
      </c>
      <c r="V70" t="s">
        <v>223</v>
      </c>
      <c r="W70" t="s">
        <v>223</v>
      </c>
      <c r="X70" t="s">
        <v>223</v>
      </c>
      <c r="Y70" t="s">
        <v>223</v>
      </c>
      <c r="Z70" t="s">
        <v>223</v>
      </c>
      <c r="AA70" t="s">
        <v>223</v>
      </c>
      <c r="AB70" t="s">
        <v>223</v>
      </c>
      <c r="AC70" t="s">
        <v>223</v>
      </c>
      <c r="AD70" t="s">
        <v>223</v>
      </c>
      <c r="AE70" t="s">
        <v>223</v>
      </c>
      <c r="AF70" t="s">
        <v>223</v>
      </c>
      <c r="AG70" t="s">
        <v>223</v>
      </c>
      <c r="AH70" t="s">
        <v>223</v>
      </c>
      <c r="AI70" t="s">
        <v>223</v>
      </c>
      <c r="AJ70" t="s">
        <v>223</v>
      </c>
      <c r="AK70" t="s">
        <v>223</v>
      </c>
      <c r="AL70" t="s">
        <v>223</v>
      </c>
      <c r="AM70" t="s">
        <v>223</v>
      </c>
      <c r="AN70" s="9">
        <v>28</v>
      </c>
    </row>
    <row r="71" spans="1:40">
      <c r="A71" t="s">
        <v>366</v>
      </c>
      <c r="B71">
        <v>29</v>
      </c>
      <c r="C71" t="s">
        <v>223</v>
      </c>
      <c r="D71" t="s">
        <v>223</v>
      </c>
      <c r="E71" t="s">
        <v>223</v>
      </c>
      <c r="F71" t="s">
        <v>223</v>
      </c>
      <c r="G71" t="s">
        <v>223</v>
      </c>
      <c r="H71" t="s">
        <v>223</v>
      </c>
      <c r="I71" t="s">
        <v>223</v>
      </c>
      <c r="J71" t="s">
        <v>223</v>
      </c>
      <c r="K71" t="s">
        <v>223</v>
      </c>
      <c r="L71" t="s">
        <v>223</v>
      </c>
      <c r="M71" t="s">
        <v>223</v>
      </c>
      <c r="N71" t="s">
        <v>223</v>
      </c>
      <c r="O71" t="s">
        <v>223</v>
      </c>
      <c r="P71" t="s">
        <v>223</v>
      </c>
      <c r="Q71" t="s">
        <v>223</v>
      </c>
      <c r="R71" t="s">
        <v>223</v>
      </c>
      <c r="S71" t="s">
        <v>223</v>
      </c>
      <c r="T71" t="s">
        <v>223</v>
      </c>
      <c r="U71" t="s">
        <v>223</v>
      </c>
      <c r="V71" t="s">
        <v>223</v>
      </c>
      <c r="W71" t="s">
        <v>223</v>
      </c>
      <c r="X71" t="s">
        <v>223</v>
      </c>
      <c r="Y71" t="s">
        <v>223</v>
      </c>
      <c r="Z71" t="s">
        <v>223</v>
      </c>
      <c r="AA71" t="s">
        <v>223</v>
      </c>
      <c r="AB71" t="s">
        <v>223</v>
      </c>
      <c r="AC71" t="s">
        <v>223</v>
      </c>
      <c r="AD71" t="s">
        <v>223</v>
      </c>
      <c r="AE71" t="s">
        <v>223</v>
      </c>
      <c r="AF71" t="s">
        <v>223</v>
      </c>
      <c r="AG71" t="s">
        <v>223</v>
      </c>
      <c r="AH71" t="s">
        <v>223</v>
      </c>
      <c r="AI71" t="s">
        <v>223</v>
      </c>
      <c r="AJ71" t="s">
        <v>223</v>
      </c>
      <c r="AK71" t="s">
        <v>223</v>
      </c>
      <c r="AL71" t="s">
        <v>223</v>
      </c>
      <c r="AM71" t="s">
        <v>223</v>
      </c>
      <c r="AN71" s="9">
        <v>29</v>
      </c>
    </row>
    <row r="72" spans="1:40">
      <c r="A72" t="s">
        <v>366</v>
      </c>
      <c r="B72">
        <v>30</v>
      </c>
      <c r="C72" t="s">
        <v>223</v>
      </c>
      <c r="D72" t="s">
        <v>223</v>
      </c>
      <c r="E72" t="s">
        <v>223</v>
      </c>
      <c r="F72" t="s">
        <v>223</v>
      </c>
      <c r="G72" t="s">
        <v>223</v>
      </c>
      <c r="H72" t="s">
        <v>223</v>
      </c>
      <c r="I72" t="s">
        <v>223</v>
      </c>
      <c r="J72" t="s">
        <v>223</v>
      </c>
      <c r="K72" t="s">
        <v>223</v>
      </c>
      <c r="L72" t="s">
        <v>223</v>
      </c>
      <c r="M72" t="s">
        <v>223</v>
      </c>
      <c r="N72" t="s">
        <v>223</v>
      </c>
      <c r="O72" t="s">
        <v>223</v>
      </c>
      <c r="P72" t="s">
        <v>223</v>
      </c>
      <c r="Q72" t="s">
        <v>223</v>
      </c>
      <c r="R72" t="s">
        <v>223</v>
      </c>
      <c r="S72" t="s">
        <v>223</v>
      </c>
      <c r="T72" t="s">
        <v>223</v>
      </c>
      <c r="U72" t="s">
        <v>223</v>
      </c>
      <c r="V72" t="s">
        <v>223</v>
      </c>
      <c r="W72" t="s">
        <v>223</v>
      </c>
      <c r="X72" t="s">
        <v>223</v>
      </c>
      <c r="Y72" t="s">
        <v>223</v>
      </c>
      <c r="Z72" t="s">
        <v>223</v>
      </c>
      <c r="AA72" t="s">
        <v>223</v>
      </c>
      <c r="AB72" t="s">
        <v>223</v>
      </c>
      <c r="AC72" t="s">
        <v>223</v>
      </c>
      <c r="AD72" t="s">
        <v>223</v>
      </c>
      <c r="AE72" t="s">
        <v>223</v>
      </c>
      <c r="AF72" t="s">
        <v>223</v>
      </c>
      <c r="AG72" t="s">
        <v>223</v>
      </c>
      <c r="AH72" t="s">
        <v>223</v>
      </c>
      <c r="AI72" t="s">
        <v>223</v>
      </c>
      <c r="AJ72" t="s">
        <v>223</v>
      </c>
      <c r="AK72" t="s">
        <v>223</v>
      </c>
      <c r="AL72" t="s">
        <v>223</v>
      </c>
      <c r="AM72" t="s">
        <v>223</v>
      </c>
      <c r="AN72" s="9">
        <v>30</v>
      </c>
    </row>
    <row r="73" spans="1:40">
      <c r="A73" t="s">
        <v>366</v>
      </c>
      <c r="B73">
        <v>31</v>
      </c>
      <c r="C73" t="s">
        <v>223</v>
      </c>
      <c r="D73" t="s">
        <v>223</v>
      </c>
      <c r="E73" t="s">
        <v>223</v>
      </c>
      <c r="F73" t="s">
        <v>223</v>
      </c>
      <c r="G73" t="s">
        <v>223</v>
      </c>
      <c r="H73" t="s">
        <v>223</v>
      </c>
      <c r="I73" t="s">
        <v>223</v>
      </c>
      <c r="J73" t="s">
        <v>223</v>
      </c>
      <c r="K73" t="s">
        <v>223</v>
      </c>
      <c r="L73" t="s">
        <v>223</v>
      </c>
      <c r="M73" t="s">
        <v>223</v>
      </c>
      <c r="N73" t="s">
        <v>223</v>
      </c>
      <c r="O73" t="s">
        <v>223</v>
      </c>
      <c r="P73" t="s">
        <v>223</v>
      </c>
      <c r="Q73" t="s">
        <v>223</v>
      </c>
      <c r="R73" t="s">
        <v>223</v>
      </c>
      <c r="S73" t="s">
        <v>223</v>
      </c>
      <c r="T73" t="s">
        <v>223</v>
      </c>
      <c r="U73" t="s">
        <v>223</v>
      </c>
      <c r="V73" t="s">
        <v>223</v>
      </c>
      <c r="W73" t="s">
        <v>223</v>
      </c>
      <c r="X73" t="s">
        <v>223</v>
      </c>
      <c r="Y73" t="s">
        <v>223</v>
      </c>
      <c r="Z73" t="s">
        <v>223</v>
      </c>
      <c r="AA73" t="s">
        <v>223</v>
      </c>
      <c r="AB73" t="s">
        <v>223</v>
      </c>
      <c r="AC73" t="s">
        <v>223</v>
      </c>
      <c r="AD73" t="s">
        <v>223</v>
      </c>
      <c r="AE73" t="s">
        <v>223</v>
      </c>
      <c r="AF73" t="s">
        <v>223</v>
      </c>
      <c r="AG73" t="s">
        <v>223</v>
      </c>
      <c r="AH73" t="s">
        <v>223</v>
      </c>
      <c r="AI73" t="s">
        <v>223</v>
      </c>
      <c r="AJ73" t="s">
        <v>223</v>
      </c>
      <c r="AK73" t="s">
        <v>223</v>
      </c>
      <c r="AL73" t="s">
        <v>223</v>
      </c>
      <c r="AM73" t="s">
        <v>223</v>
      </c>
      <c r="AN73" s="9">
        <v>31</v>
      </c>
    </row>
    <row r="74" spans="1:40">
      <c r="A74" t="s">
        <v>366</v>
      </c>
      <c r="B74">
        <v>32</v>
      </c>
      <c r="C74" t="s">
        <v>223</v>
      </c>
      <c r="D74" t="s">
        <v>223</v>
      </c>
      <c r="E74" t="s">
        <v>223</v>
      </c>
      <c r="F74" t="s">
        <v>223</v>
      </c>
      <c r="G74" t="s">
        <v>223</v>
      </c>
      <c r="H74" t="s">
        <v>223</v>
      </c>
      <c r="I74" t="s">
        <v>223</v>
      </c>
      <c r="J74" t="s">
        <v>223</v>
      </c>
      <c r="K74" t="s">
        <v>223</v>
      </c>
      <c r="L74" t="s">
        <v>223</v>
      </c>
      <c r="M74" t="s">
        <v>223</v>
      </c>
      <c r="N74" t="s">
        <v>223</v>
      </c>
      <c r="O74" t="s">
        <v>223</v>
      </c>
      <c r="P74" t="s">
        <v>223</v>
      </c>
      <c r="Q74" t="s">
        <v>223</v>
      </c>
      <c r="R74" t="s">
        <v>223</v>
      </c>
      <c r="S74" t="s">
        <v>223</v>
      </c>
      <c r="T74" t="s">
        <v>223</v>
      </c>
      <c r="U74" t="s">
        <v>223</v>
      </c>
      <c r="V74" t="s">
        <v>223</v>
      </c>
      <c r="W74" t="s">
        <v>223</v>
      </c>
      <c r="X74" t="s">
        <v>223</v>
      </c>
      <c r="Y74" t="s">
        <v>223</v>
      </c>
      <c r="Z74" t="s">
        <v>223</v>
      </c>
      <c r="AA74" t="s">
        <v>223</v>
      </c>
      <c r="AB74" t="s">
        <v>223</v>
      </c>
      <c r="AC74" t="s">
        <v>223</v>
      </c>
      <c r="AD74" t="s">
        <v>223</v>
      </c>
      <c r="AE74" t="s">
        <v>223</v>
      </c>
      <c r="AF74" t="s">
        <v>223</v>
      </c>
      <c r="AG74" t="s">
        <v>223</v>
      </c>
      <c r="AH74" t="s">
        <v>223</v>
      </c>
      <c r="AI74" t="s">
        <v>223</v>
      </c>
      <c r="AJ74" t="s">
        <v>223</v>
      </c>
      <c r="AK74" t="s">
        <v>223</v>
      </c>
      <c r="AL74" t="s">
        <v>223</v>
      </c>
      <c r="AM74" t="s">
        <v>223</v>
      </c>
      <c r="AN74" s="9">
        <v>32</v>
      </c>
    </row>
    <row r="75" spans="1:40">
      <c r="A75" t="s">
        <v>366</v>
      </c>
      <c r="B75">
        <v>33</v>
      </c>
      <c r="C75" t="s">
        <v>223</v>
      </c>
      <c r="D75" t="s">
        <v>223</v>
      </c>
      <c r="E75" t="s">
        <v>223</v>
      </c>
      <c r="F75" t="s">
        <v>223</v>
      </c>
      <c r="G75" t="s">
        <v>223</v>
      </c>
      <c r="H75" t="s">
        <v>223</v>
      </c>
      <c r="I75" t="s">
        <v>223</v>
      </c>
      <c r="J75" t="s">
        <v>223</v>
      </c>
      <c r="K75" t="s">
        <v>223</v>
      </c>
      <c r="L75" t="s">
        <v>223</v>
      </c>
      <c r="M75" t="s">
        <v>223</v>
      </c>
      <c r="N75" t="s">
        <v>223</v>
      </c>
      <c r="O75" t="s">
        <v>223</v>
      </c>
      <c r="P75" t="s">
        <v>223</v>
      </c>
      <c r="Q75" t="s">
        <v>223</v>
      </c>
      <c r="R75" t="s">
        <v>223</v>
      </c>
      <c r="S75" t="s">
        <v>223</v>
      </c>
      <c r="T75" t="s">
        <v>223</v>
      </c>
      <c r="U75" t="s">
        <v>223</v>
      </c>
      <c r="V75" t="s">
        <v>223</v>
      </c>
      <c r="W75" t="s">
        <v>223</v>
      </c>
      <c r="X75" t="s">
        <v>223</v>
      </c>
      <c r="Y75" t="s">
        <v>223</v>
      </c>
      <c r="Z75" t="s">
        <v>223</v>
      </c>
      <c r="AA75" t="s">
        <v>223</v>
      </c>
      <c r="AB75" t="s">
        <v>223</v>
      </c>
      <c r="AC75" t="s">
        <v>223</v>
      </c>
      <c r="AD75" t="s">
        <v>223</v>
      </c>
      <c r="AE75" t="s">
        <v>223</v>
      </c>
      <c r="AF75" t="s">
        <v>223</v>
      </c>
      <c r="AG75" t="s">
        <v>223</v>
      </c>
      <c r="AH75" t="s">
        <v>223</v>
      </c>
      <c r="AI75" t="s">
        <v>223</v>
      </c>
      <c r="AJ75" t="s">
        <v>223</v>
      </c>
      <c r="AK75" t="s">
        <v>223</v>
      </c>
      <c r="AL75" t="s">
        <v>223</v>
      </c>
      <c r="AM75" t="s">
        <v>223</v>
      </c>
      <c r="AN75" s="9">
        <v>33</v>
      </c>
    </row>
    <row r="76" spans="1:40">
      <c r="A76" t="s">
        <v>366</v>
      </c>
      <c r="B76">
        <v>34</v>
      </c>
      <c r="C76" t="s">
        <v>223</v>
      </c>
      <c r="D76" t="s">
        <v>223</v>
      </c>
      <c r="E76" t="s">
        <v>223</v>
      </c>
      <c r="F76" t="s">
        <v>223</v>
      </c>
      <c r="G76" t="s">
        <v>223</v>
      </c>
      <c r="H76" t="s">
        <v>223</v>
      </c>
      <c r="I76" t="s">
        <v>223</v>
      </c>
      <c r="J76" t="s">
        <v>223</v>
      </c>
      <c r="K76" t="s">
        <v>223</v>
      </c>
      <c r="L76" t="s">
        <v>223</v>
      </c>
      <c r="M76" t="s">
        <v>223</v>
      </c>
      <c r="N76" t="s">
        <v>223</v>
      </c>
      <c r="O76" t="s">
        <v>223</v>
      </c>
      <c r="P76" t="s">
        <v>223</v>
      </c>
      <c r="Q76" t="s">
        <v>223</v>
      </c>
      <c r="R76" t="s">
        <v>223</v>
      </c>
      <c r="S76" t="s">
        <v>223</v>
      </c>
      <c r="T76" t="s">
        <v>223</v>
      </c>
      <c r="U76" t="s">
        <v>223</v>
      </c>
      <c r="V76" t="s">
        <v>223</v>
      </c>
      <c r="W76" t="s">
        <v>223</v>
      </c>
      <c r="X76" t="s">
        <v>223</v>
      </c>
      <c r="Y76" t="s">
        <v>223</v>
      </c>
      <c r="Z76" t="s">
        <v>223</v>
      </c>
      <c r="AA76" t="s">
        <v>223</v>
      </c>
      <c r="AB76" t="s">
        <v>223</v>
      </c>
      <c r="AC76" t="s">
        <v>223</v>
      </c>
      <c r="AD76" t="s">
        <v>223</v>
      </c>
      <c r="AE76" t="s">
        <v>223</v>
      </c>
      <c r="AF76" t="s">
        <v>223</v>
      </c>
      <c r="AG76" t="s">
        <v>223</v>
      </c>
      <c r="AH76" t="s">
        <v>223</v>
      </c>
      <c r="AI76" t="s">
        <v>223</v>
      </c>
      <c r="AJ76" t="s">
        <v>223</v>
      </c>
      <c r="AK76" t="s">
        <v>223</v>
      </c>
      <c r="AL76" t="s">
        <v>223</v>
      </c>
      <c r="AM76" t="s">
        <v>223</v>
      </c>
      <c r="AN76" s="9">
        <v>34</v>
      </c>
    </row>
    <row r="77" spans="1:40">
      <c r="A77" t="s">
        <v>366</v>
      </c>
      <c r="B77">
        <v>35</v>
      </c>
      <c r="C77" t="s">
        <v>223</v>
      </c>
      <c r="D77" t="s">
        <v>223</v>
      </c>
      <c r="E77" t="s">
        <v>223</v>
      </c>
      <c r="F77" t="s">
        <v>223</v>
      </c>
      <c r="G77" t="s">
        <v>223</v>
      </c>
      <c r="H77" t="s">
        <v>223</v>
      </c>
      <c r="I77" t="s">
        <v>223</v>
      </c>
      <c r="J77" t="s">
        <v>223</v>
      </c>
      <c r="K77" t="s">
        <v>223</v>
      </c>
      <c r="L77" t="s">
        <v>223</v>
      </c>
      <c r="M77" t="s">
        <v>223</v>
      </c>
      <c r="N77" t="s">
        <v>223</v>
      </c>
      <c r="O77" t="s">
        <v>223</v>
      </c>
      <c r="P77" t="s">
        <v>223</v>
      </c>
      <c r="Q77" t="s">
        <v>223</v>
      </c>
      <c r="R77" t="s">
        <v>223</v>
      </c>
      <c r="S77" t="s">
        <v>223</v>
      </c>
      <c r="T77" t="s">
        <v>223</v>
      </c>
      <c r="U77" t="s">
        <v>223</v>
      </c>
      <c r="V77" t="s">
        <v>223</v>
      </c>
      <c r="W77" t="s">
        <v>223</v>
      </c>
      <c r="X77" t="s">
        <v>223</v>
      </c>
      <c r="Y77" t="s">
        <v>223</v>
      </c>
      <c r="Z77" t="s">
        <v>223</v>
      </c>
      <c r="AA77" t="s">
        <v>223</v>
      </c>
      <c r="AB77" t="s">
        <v>223</v>
      </c>
      <c r="AC77" t="s">
        <v>223</v>
      </c>
      <c r="AD77" t="s">
        <v>223</v>
      </c>
      <c r="AE77" t="s">
        <v>223</v>
      </c>
      <c r="AF77" t="s">
        <v>223</v>
      </c>
      <c r="AG77" t="s">
        <v>223</v>
      </c>
      <c r="AH77" t="s">
        <v>223</v>
      </c>
      <c r="AI77" t="s">
        <v>223</v>
      </c>
      <c r="AJ77" t="s">
        <v>223</v>
      </c>
      <c r="AK77" t="s">
        <v>223</v>
      </c>
      <c r="AL77" t="s">
        <v>223</v>
      </c>
      <c r="AM77" t="s">
        <v>223</v>
      </c>
      <c r="AN77" s="9">
        <v>35</v>
      </c>
    </row>
    <row r="78" spans="1:40">
      <c r="A78" t="s">
        <v>366</v>
      </c>
      <c r="B78">
        <v>36</v>
      </c>
      <c r="C78" t="s">
        <v>223</v>
      </c>
      <c r="D78" t="s">
        <v>223</v>
      </c>
      <c r="E78" t="s">
        <v>223</v>
      </c>
      <c r="F78" t="s">
        <v>223</v>
      </c>
      <c r="G78" t="s">
        <v>223</v>
      </c>
      <c r="H78" t="s">
        <v>223</v>
      </c>
      <c r="I78" t="s">
        <v>223</v>
      </c>
      <c r="J78" t="s">
        <v>223</v>
      </c>
      <c r="K78" t="s">
        <v>223</v>
      </c>
      <c r="L78" t="s">
        <v>223</v>
      </c>
      <c r="M78" t="s">
        <v>223</v>
      </c>
      <c r="N78" t="s">
        <v>223</v>
      </c>
      <c r="O78" t="s">
        <v>223</v>
      </c>
      <c r="P78" t="s">
        <v>223</v>
      </c>
      <c r="Q78" t="s">
        <v>223</v>
      </c>
      <c r="R78" t="s">
        <v>223</v>
      </c>
      <c r="S78" t="s">
        <v>223</v>
      </c>
      <c r="T78" t="s">
        <v>223</v>
      </c>
      <c r="U78" t="s">
        <v>223</v>
      </c>
      <c r="V78" t="s">
        <v>223</v>
      </c>
      <c r="W78" t="s">
        <v>223</v>
      </c>
      <c r="X78" t="s">
        <v>223</v>
      </c>
      <c r="Y78" t="s">
        <v>223</v>
      </c>
      <c r="Z78" t="s">
        <v>223</v>
      </c>
      <c r="AA78" t="s">
        <v>223</v>
      </c>
      <c r="AB78" t="s">
        <v>223</v>
      </c>
      <c r="AC78" t="s">
        <v>223</v>
      </c>
      <c r="AD78" t="s">
        <v>223</v>
      </c>
      <c r="AE78" t="s">
        <v>223</v>
      </c>
      <c r="AF78" t="s">
        <v>223</v>
      </c>
      <c r="AG78" t="s">
        <v>223</v>
      </c>
      <c r="AH78" t="s">
        <v>223</v>
      </c>
      <c r="AI78" t="s">
        <v>223</v>
      </c>
      <c r="AJ78" t="s">
        <v>223</v>
      </c>
      <c r="AK78" t="s">
        <v>223</v>
      </c>
      <c r="AL78" t="s">
        <v>223</v>
      </c>
      <c r="AM78" t="s">
        <v>223</v>
      </c>
      <c r="AN78" s="9">
        <v>36</v>
      </c>
    </row>
    <row r="79" spans="1:40">
      <c r="A79" t="s">
        <v>366</v>
      </c>
      <c r="B79">
        <v>37</v>
      </c>
      <c r="C79" t="s">
        <v>223</v>
      </c>
      <c r="D79" t="s">
        <v>223</v>
      </c>
      <c r="E79" t="s">
        <v>223</v>
      </c>
      <c r="F79" t="s">
        <v>223</v>
      </c>
      <c r="G79" t="s">
        <v>223</v>
      </c>
      <c r="H79" t="s">
        <v>223</v>
      </c>
      <c r="I79" t="s">
        <v>223</v>
      </c>
      <c r="J79" t="s">
        <v>223</v>
      </c>
      <c r="K79" t="s">
        <v>223</v>
      </c>
      <c r="L79" t="s">
        <v>223</v>
      </c>
      <c r="M79" t="s">
        <v>223</v>
      </c>
      <c r="N79" t="s">
        <v>223</v>
      </c>
      <c r="O79" t="s">
        <v>223</v>
      </c>
      <c r="P79" t="s">
        <v>223</v>
      </c>
      <c r="Q79" t="s">
        <v>223</v>
      </c>
      <c r="R79" t="s">
        <v>223</v>
      </c>
      <c r="S79" t="s">
        <v>223</v>
      </c>
      <c r="T79" t="s">
        <v>223</v>
      </c>
      <c r="U79" t="s">
        <v>223</v>
      </c>
      <c r="V79" t="s">
        <v>223</v>
      </c>
      <c r="W79" t="s">
        <v>223</v>
      </c>
      <c r="X79" t="s">
        <v>223</v>
      </c>
      <c r="Y79" t="s">
        <v>223</v>
      </c>
      <c r="Z79" t="s">
        <v>223</v>
      </c>
      <c r="AA79" t="s">
        <v>223</v>
      </c>
      <c r="AB79" t="s">
        <v>223</v>
      </c>
      <c r="AC79" t="s">
        <v>223</v>
      </c>
      <c r="AD79" t="s">
        <v>223</v>
      </c>
      <c r="AE79" t="s">
        <v>223</v>
      </c>
      <c r="AF79" t="s">
        <v>223</v>
      </c>
      <c r="AG79" t="s">
        <v>223</v>
      </c>
      <c r="AH79" t="s">
        <v>223</v>
      </c>
      <c r="AI79" t="s">
        <v>223</v>
      </c>
      <c r="AJ79" t="s">
        <v>223</v>
      </c>
      <c r="AK79" t="s">
        <v>223</v>
      </c>
      <c r="AL79" t="s">
        <v>223</v>
      </c>
      <c r="AM79" t="s">
        <v>223</v>
      </c>
      <c r="AN79" s="9">
        <v>37</v>
      </c>
    </row>
    <row r="80" spans="1:40">
      <c r="A80" t="s">
        <v>366</v>
      </c>
      <c r="B80">
        <v>38</v>
      </c>
      <c r="C80" t="s">
        <v>223</v>
      </c>
      <c r="D80" t="s">
        <v>223</v>
      </c>
      <c r="E80" t="s">
        <v>223</v>
      </c>
      <c r="F80" t="s">
        <v>223</v>
      </c>
      <c r="G80" t="s">
        <v>223</v>
      </c>
      <c r="H80" t="s">
        <v>223</v>
      </c>
      <c r="I80" t="s">
        <v>223</v>
      </c>
      <c r="J80" t="s">
        <v>223</v>
      </c>
      <c r="K80" t="s">
        <v>223</v>
      </c>
      <c r="L80" t="s">
        <v>223</v>
      </c>
      <c r="M80" t="s">
        <v>223</v>
      </c>
      <c r="N80" t="s">
        <v>223</v>
      </c>
      <c r="O80" t="s">
        <v>223</v>
      </c>
      <c r="P80" t="s">
        <v>223</v>
      </c>
      <c r="Q80" t="s">
        <v>223</v>
      </c>
      <c r="R80" t="s">
        <v>223</v>
      </c>
      <c r="S80" t="s">
        <v>223</v>
      </c>
      <c r="T80" t="s">
        <v>223</v>
      </c>
      <c r="U80" t="s">
        <v>223</v>
      </c>
      <c r="V80" t="s">
        <v>223</v>
      </c>
      <c r="W80" t="s">
        <v>223</v>
      </c>
      <c r="X80" t="s">
        <v>223</v>
      </c>
      <c r="Y80" t="s">
        <v>223</v>
      </c>
      <c r="Z80" t="s">
        <v>223</v>
      </c>
      <c r="AA80" t="s">
        <v>223</v>
      </c>
      <c r="AB80" t="s">
        <v>223</v>
      </c>
      <c r="AC80" t="s">
        <v>223</v>
      </c>
      <c r="AD80" t="s">
        <v>223</v>
      </c>
      <c r="AE80" t="s">
        <v>223</v>
      </c>
      <c r="AF80" t="s">
        <v>223</v>
      </c>
      <c r="AG80" t="s">
        <v>223</v>
      </c>
      <c r="AH80" t="s">
        <v>223</v>
      </c>
      <c r="AI80" t="s">
        <v>223</v>
      </c>
      <c r="AJ80" t="s">
        <v>223</v>
      </c>
      <c r="AK80" t="s">
        <v>223</v>
      </c>
      <c r="AL80" t="s">
        <v>223</v>
      </c>
      <c r="AM80" t="s">
        <v>223</v>
      </c>
      <c r="AN80" s="9">
        <v>38</v>
      </c>
    </row>
    <row r="81" spans="1:40">
      <c r="A81" t="s">
        <v>366</v>
      </c>
      <c r="B81">
        <v>39</v>
      </c>
      <c r="C81" t="s">
        <v>223</v>
      </c>
      <c r="D81" t="s">
        <v>223</v>
      </c>
      <c r="E81" t="s">
        <v>223</v>
      </c>
      <c r="F81" t="s">
        <v>223</v>
      </c>
      <c r="G81" t="s">
        <v>223</v>
      </c>
      <c r="H81" t="s">
        <v>223</v>
      </c>
      <c r="I81" t="s">
        <v>223</v>
      </c>
      <c r="J81" t="s">
        <v>223</v>
      </c>
      <c r="K81" t="s">
        <v>223</v>
      </c>
      <c r="L81" t="s">
        <v>223</v>
      </c>
      <c r="M81" t="s">
        <v>223</v>
      </c>
      <c r="N81" t="s">
        <v>223</v>
      </c>
      <c r="O81" t="s">
        <v>223</v>
      </c>
      <c r="P81" t="s">
        <v>223</v>
      </c>
      <c r="Q81" t="s">
        <v>223</v>
      </c>
      <c r="R81" t="s">
        <v>223</v>
      </c>
      <c r="S81" t="s">
        <v>223</v>
      </c>
      <c r="T81" t="s">
        <v>223</v>
      </c>
      <c r="U81" t="s">
        <v>223</v>
      </c>
      <c r="V81" t="s">
        <v>223</v>
      </c>
      <c r="W81" t="s">
        <v>223</v>
      </c>
      <c r="X81" t="s">
        <v>223</v>
      </c>
      <c r="Y81" t="s">
        <v>223</v>
      </c>
      <c r="Z81" t="s">
        <v>223</v>
      </c>
      <c r="AA81" t="s">
        <v>223</v>
      </c>
      <c r="AB81" t="s">
        <v>223</v>
      </c>
      <c r="AC81" t="s">
        <v>223</v>
      </c>
      <c r="AD81" t="s">
        <v>223</v>
      </c>
      <c r="AE81" t="s">
        <v>223</v>
      </c>
      <c r="AF81" t="s">
        <v>223</v>
      </c>
      <c r="AG81" t="s">
        <v>223</v>
      </c>
      <c r="AH81" t="s">
        <v>223</v>
      </c>
      <c r="AI81" t="s">
        <v>223</v>
      </c>
      <c r="AJ81" t="s">
        <v>223</v>
      </c>
      <c r="AK81" t="s">
        <v>223</v>
      </c>
      <c r="AL81" t="s">
        <v>223</v>
      </c>
      <c r="AM81" t="s">
        <v>223</v>
      </c>
      <c r="AN81" s="9">
        <v>39</v>
      </c>
    </row>
    <row r="82" spans="1:40">
      <c r="A82" t="s">
        <v>366</v>
      </c>
      <c r="B82">
        <v>40</v>
      </c>
      <c r="C82" t="s">
        <v>223</v>
      </c>
      <c r="D82" t="s">
        <v>223</v>
      </c>
      <c r="E82" t="s">
        <v>223</v>
      </c>
      <c r="F82" t="s">
        <v>223</v>
      </c>
      <c r="G82" t="s">
        <v>223</v>
      </c>
      <c r="H82" t="s">
        <v>223</v>
      </c>
      <c r="I82" t="s">
        <v>223</v>
      </c>
      <c r="J82" t="s">
        <v>223</v>
      </c>
      <c r="K82" t="s">
        <v>223</v>
      </c>
      <c r="L82" t="s">
        <v>223</v>
      </c>
      <c r="M82" t="s">
        <v>223</v>
      </c>
      <c r="N82" t="s">
        <v>223</v>
      </c>
      <c r="O82" t="s">
        <v>223</v>
      </c>
      <c r="P82" t="s">
        <v>223</v>
      </c>
      <c r="Q82" t="s">
        <v>223</v>
      </c>
      <c r="R82" t="s">
        <v>223</v>
      </c>
      <c r="S82" t="s">
        <v>223</v>
      </c>
      <c r="T82" t="s">
        <v>223</v>
      </c>
      <c r="U82" t="s">
        <v>223</v>
      </c>
      <c r="V82" t="s">
        <v>223</v>
      </c>
      <c r="W82" t="s">
        <v>223</v>
      </c>
      <c r="X82" t="s">
        <v>223</v>
      </c>
      <c r="Y82" t="s">
        <v>223</v>
      </c>
      <c r="Z82" t="s">
        <v>223</v>
      </c>
      <c r="AA82" t="s">
        <v>223</v>
      </c>
      <c r="AB82" t="s">
        <v>223</v>
      </c>
      <c r="AC82" t="s">
        <v>223</v>
      </c>
      <c r="AD82" t="s">
        <v>223</v>
      </c>
      <c r="AE82" t="s">
        <v>223</v>
      </c>
      <c r="AF82" t="s">
        <v>223</v>
      </c>
      <c r="AG82" t="s">
        <v>223</v>
      </c>
      <c r="AH82" t="s">
        <v>223</v>
      </c>
      <c r="AI82" t="s">
        <v>223</v>
      </c>
      <c r="AJ82" t="s">
        <v>223</v>
      </c>
      <c r="AK82" t="s">
        <v>223</v>
      </c>
      <c r="AL82" t="s">
        <v>223</v>
      </c>
      <c r="AM82" t="s">
        <v>223</v>
      </c>
      <c r="AN82" s="9">
        <v>40</v>
      </c>
    </row>
    <row r="83" spans="1:40">
      <c r="A83" t="s">
        <v>366</v>
      </c>
      <c r="B83">
        <v>41</v>
      </c>
      <c r="C83" t="s">
        <v>223</v>
      </c>
      <c r="D83" t="s">
        <v>223</v>
      </c>
      <c r="E83" t="s">
        <v>223</v>
      </c>
      <c r="F83" t="s">
        <v>223</v>
      </c>
      <c r="G83" t="s">
        <v>223</v>
      </c>
      <c r="H83" t="s">
        <v>223</v>
      </c>
      <c r="I83" t="s">
        <v>223</v>
      </c>
      <c r="J83" t="s">
        <v>223</v>
      </c>
      <c r="K83" t="s">
        <v>223</v>
      </c>
      <c r="L83" t="s">
        <v>223</v>
      </c>
      <c r="M83" t="s">
        <v>223</v>
      </c>
      <c r="N83" t="s">
        <v>223</v>
      </c>
      <c r="O83" t="s">
        <v>223</v>
      </c>
      <c r="P83" t="s">
        <v>223</v>
      </c>
      <c r="Q83" t="s">
        <v>223</v>
      </c>
      <c r="R83" t="s">
        <v>223</v>
      </c>
      <c r="S83" t="s">
        <v>223</v>
      </c>
      <c r="T83" t="s">
        <v>223</v>
      </c>
      <c r="U83" t="s">
        <v>223</v>
      </c>
      <c r="V83" t="s">
        <v>223</v>
      </c>
      <c r="W83" t="s">
        <v>223</v>
      </c>
      <c r="X83" t="s">
        <v>223</v>
      </c>
      <c r="Y83" t="s">
        <v>223</v>
      </c>
      <c r="Z83" t="s">
        <v>223</v>
      </c>
      <c r="AA83" t="s">
        <v>223</v>
      </c>
      <c r="AB83" t="s">
        <v>223</v>
      </c>
      <c r="AC83" t="s">
        <v>223</v>
      </c>
      <c r="AD83" t="s">
        <v>223</v>
      </c>
      <c r="AE83" t="s">
        <v>223</v>
      </c>
      <c r="AF83" t="s">
        <v>223</v>
      </c>
      <c r="AG83" t="s">
        <v>223</v>
      </c>
      <c r="AH83" t="s">
        <v>223</v>
      </c>
      <c r="AI83" t="s">
        <v>223</v>
      </c>
      <c r="AJ83" t="s">
        <v>223</v>
      </c>
      <c r="AK83" t="s">
        <v>223</v>
      </c>
      <c r="AL83" t="s">
        <v>223</v>
      </c>
      <c r="AM83" t="s">
        <v>223</v>
      </c>
      <c r="AN83" s="9">
        <v>41</v>
      </c>
    </row>
    <row r="84" spans="1:40">
      <c r="A84" t="s">
        <v>366</v>
      </c>
      <c r="B84">
        <v>42</v>
      </c>
      <c r="C84" t="s">
        <v>223</v>
      </c>
      <c r="D84" t="s">
        <v>223</v>
      </c>
      <c r="E84" t="s">
        <v>223</v>
      </c>
      <c r="F84" t="s">
        <v>223</v>
      </c>
      <c r="G84" t="s">
        <v>223</v>
      </c>
      <c r="H84" t="s">
        <v>223</v>
      </c>
      <c r="I84" t="s">
        <v>223</v>
      </c>
      <c r="J84" t="s">
        <v>223</v>
      </c>
      <c r="K84" t="s">
        <v>223</v>
      </c>
      <c r="L84" t="s">
        <v>223</v>
      </c>
      <c r="M84" t="s">
        <v>223</v>
      </c>
      <c r="N84" t="s">
        <v>223</v>
      </c>
      <c r="O84" t="s">
        <v>223</v>
      </c>
      <c r="P84" t="s">
        <v>223</v>
      </c>
      <c r="Q84" t="s">
        <v>223</v>
      </c>
      <c r="R84" t="s">
        <v>223</v>
      </c>
      <c r="S84" t="s">
        <v>223</v>
      </c>
      <c r="T84" t="s">
        <v>223</v>
      </c>
      <c r="U84" t="s">
        <v>223</v>
      </c>
      <c r="V84" t="s">
        <v>223</v>
      </c>
      <c r="W84" t="s">
        <v>223</v>
      </c>
      <c r="X84" t="s">
        <v>223</v>
      </c>
      <c r="Y84" t="s">
        <v>223</v>
      </c>
      <c r="Z84" t="s">
        <v>223</v>
      </c>
      <c r="AA84" t="s">
        <v>223</v>
      </c>
      <c r="AB84" t="s">
        <v>223</v>
      </c>
      <c r="AC84" t="s">
        <v>223</v>
      </c>
      <c r="AD84" t="s">
        <v>223</v>
      </c>
      <c r="AE84" t="s">
        <v>223</v>
      </c>
      <c r="AF84" t="s">
        <v>223</v>
      </c>
      <c r="AG84" t="s">
        <v>223</v>
      </c>
      <c r="AH84" t="s">
        <v>223</v>
      </c>
      <c r="AI84" t="s">
        <v>223</v>
      </c>
      <c r="AJ84" t="s">
        <v>223</v>
      </c>
      <c r="AK84" t="s">
        <v>223</v>
      </c>
      <c r="AL84" t="s">
        <v>223</v>
      </c>
      <c r="AM84" t="s">
        <v>223</v>
      </c>
      <c r="AN84" s="9">
        <v>42</v>
      </c>
    </row>
    <row r="85" spans="1:40">
      <c r="A85" t="s">
        <v>366</v>
      </c>
      <c r="B85">
        <v>43</v>
      </c>
      <c r="C85" t="s">
        <v>223</v>
      </c>
      <c r="D85" t="s">
        <v>223</v>
      </c>
      <c r="E85" t="s">
        <v>223</v>
      </c>
      <c r="F85" t="s">
        <v>223</v>
      </c>
      <c r="G85" t="s">
        <v>223</v>
      </c>
      <c r="H85" t="s">
        <v>223</v>
      </c>
      <c r="I85" t="s">
        <v>223</v>
      </c>
      <c r="J85" t="s">
        <v>223</v>
      </c>
      <c r="K85" t="s">
        <v>223</v>
      </c>
      <c r="L85" t="s">
        <v>223</v>
      </c>
      <c r="M85" t="s">
        <v>223</v>
      </c>
      <c r="N85" t="s">
        <v>223</v>
      </c>
      <c r="O85" t="s">
        <v>223</v>
      </c>
      <c r="P85" t="s">
        <v>223</v>
      </c>
      <c r="Q85" t="s">
        <v>223</v>
      </c>
      <c r="R85" t="s">
        <v>223</v>
      </c>
      <c r="S85" t="s">
        <v>223</v>
      </c>
      <c r="T85" t="s">
        <v>223</v>
      </c>
      <c r="U85" t="s">
        <v>223</v>
      </c>
      <c r="V85" t="s">
        <v>223</v>
      </c>
      <c r="W85" t="s">
        <v>223</v>
      </c>
      <c r="X85" t="s">
        <v>223</v>
      </c>
      <c r="Y85" t="s">
        <v>223</v>
      </c>
      <c r="Z85" t="s">
        <v>223</v>
      </c>
      <c r="AA85" t="s">
        <v>223</v>
      </c>
      <c r="AB85" t="s">
        <v>223</v>
      </c>
      <c r="AC85" t="s">
        <v>223</v>
      </c>
      <c r="AD85" t="s">
        <v>223</v>
      </c>
      <c r="AE85" t="s">
        <v>223</v>
      </c>
      <c r="AF85" t="s">
        <v>223</v>
      </c>
      <c r="AG85" t="s">
        <v>223</v>
      </c>
      <c r="AH85" t="s">
        <v>223</v>
      </c>
      <c r="AI85" t="s">
        <v>223</v>
      </c>
      <c r="AJ85" t="s">
        <v>223</v>
      </c>
      <c r="AK85" t="s">
        <v>223</v>
      </c>
      <c r="AL85" t="s">
        <v>223</v>
      </c>
      <c r="AM85" t="s">
        <v>223</v>
      </c>
      <c r="AN85" s="9">
        <v>43</v>
      </c>
    </row>
    <row r="86" spans="1:40">
      <c r="A86" t="s">
        <v>366</v>
      </c>
      <c r="B86">
        <v>44</v>
      </c>
      <c r="C86" t="s">
        <v>223</v>
      </c>
      <c r="D86" t="s">
        <v>223</v>
      </c>
      <c r="E86" t="s">
        <v>223</v>
      </c>
      <c r="F86" t="s">
        <v>223</v>
      </c>
      <c r="G86" t="s">
        <v>223</v>
      </c>
      <c r="H86" t="s">
        <v>223</v>
      </c>
      <c r="I86" t="s">
        <v>223</v>
      </c>
      <c r="J86" t="s">
        <v>223</v>
      </c>
      <c r="K86" t="s">
        <v>223</v>
      </c>
      <c r="L86" t="s">
        <v>223</v>
      </c>
      <c r="M86" t="s">
        <v>223</v>
      </c>
      <c r="N86" t="s">
        <v>223</v>
      </c>
      <c r="O86" t="s">
        <v>223</v>
      </c>
      <c r="P86" t="s">
        <v>223</v>
      </c>
      <c r="Q86" t="s">
        <v>223</v>
      </c>
      <c r="R86" t="s">
        <v>223</v>
      </c>
      <c r="S86" t="s">
        <v>223</v>
      </c>
      <c r="T86" t="s">
        <v>223</v>
      </c>
      <c r="U86" t="s">
        <v>223</v>
      </c>
      <c r="V86" t="s">
        <v>223</v>
      </c>
      <c r="W86" t="s">
        <v>223</v>
      </c>
      <c r="X86" t="s">
        <v>223</v>
      </c>
      <c r="Y86" t="s">
        <v>223</v>
      </c>
      <c r="Z86" t="s">
        <v>223</v>
      </c>
      <c r="AA86" t="s">
        <v>223</v>
      </c>
      <c r="AB86" t="s">
        <v>223</v>
      </c>
      <c r="AC86" t="s">
        <v>223</v>
      </c>
      <c r="AD86" t="s">
        <v>223</v>
      </c>
      <c r="AE86" t="s">
        <v>223</v>
      </c>
      <c r="AF86" t="s">
        <v>223</v>
      </c>
      <c r="AG86" t="s">
        <v>223</v>
      </c>
      <c r="AH86" t="s">
        <v>223</v>
      </c>
      <c r="AI86" t="s">
        <v>223</v>
      </c>
      <c r="AJ86" t="s">
        <v>223</v>
      </c>
      <c r="AK86" t="s">
        <v>223</v>
      </c>
      <c r="AL86" t="s">
        <v>223</v>
      </c>
      <c r="AM86" t="s">
        <v>223</v>
      </c>
      <c r="AN86" s="9">
        <v>44</v>
      </c>
    </row>
    <row r="87" spans="1:40">
      <c r="A87" t="s">
        <v>366</v>
      </c>
      <c r="B87">
        <v>45</v>
      </c>
      <c r="C87" t="s">
        <v>223</v>
      </c>
      <c r="D87" t="s">
        <v>223</v>
      </c>
      <c r="E87" t="s">
        <v>223</v>
      </c>
      <c r="F87" t="s">
        <v>223</v>
      </c>
      <c r="G87" t="s">
        <v>223</v>
      </c>
      <c r="H87" t="s">
        <v>223</v>
      </c>
      <c r="I87" t="s">
        <v>223</v>
      </c>
      <c r="J87" t="s">
        <v>223</v>
      </c>
      <c r="K87" t="s">
        <v>223</v>
      </c>
      <c r="L87" t="s">
        <v>223</v>
      </c>
      <c r="M87" t="s">
        <v>223</v>
      </c>
      <c r="N87" t="s">
        <v>223</v>
      </c>
      <c r="O87" t="s">
        <v>223</v>
      </c>
      <c r="P87" t="s">
        <v>223</v>
      </c>
      <c r="Q87" t="s">
        <v>223</v>
      </c>
      <c r="R87" t="s">
        <v>223</v>
      </c>
      <c r="S87" t="s">
        <v>223</v>
      </c>
      <c r="T87" t="s">
        <v>223</v>
      </c>
      <c r="U87" t="s">
        <v>223</v>
      </c>
      <c r="V87" t="s">
        <v>223</v>
      </c>
      <c r="W87" t="s">
        <v>223</v>
      </c>
      <c r="X87" t="s">
        <v>223</v>
      </c>
      <c r="Y87" t="s">
        <v>223</v>
      </c>
      <c r="Z87" t="s">
        <v>223</v>
      </c>
      <c r="AA87" t="s">
        <v>223</v>
      </c>
      <c r="AB87" t="s">
        <v>223</v>
      </c>
      <c r="AC87" t="s">
        <v>223</v>
      </c>
      <c r="AD87" t="s">
        <v>223</v>
      </c>
      <c r="AE87" t="s">
        <v>223</v>
      </c>
      <c r="AF87" t="s">
        <v>223</v>
      </c>
      <c r="AG87" t="s">
        <v>223</v>
      </c>
      <c r="AH87" t="s">
        <v>223</v>
      </c>
      <c r="AI87" t="s">
        <v>223</v>
      </c>
      <c r="AJ87" t="s">
        <v>223</v>
      </c>
      <c r="AK87" t="s">
        <v>223</v>
      </c>
      <c r="AL87" t="s">
        <v>223</v>
      </c>
      <c r="AM87" t="s">
        <v>223</v>
      </c>
      <c r="AN87" s="9">
        <v>45</v>
      </c>
    </row>
    <row r="88" spans="1:40">
      <c r="A88" t="s">
        <v>366</v>
      </c>
      <c r="B88">
        <v>46</v>
      </c>
      <c r="C88" t="s">
        <v>223</v>
      </c>
      <c r="D88" t="s">
        <v>223</v>
      </c>
      <c r="E88" t="s">
        <v>223</v>
      </c>
      <c r="F88" t="s">
        <v>223</v>
      </c>
      <c r="G88" t="s">
        <v>223</v>
      </c>
      <c r="H88" t="s">
        <v>223</v>
      </c>
      <c r="I88" t="s">
        <v>223</v>
      </c>
      <c r="J88" t="s">
        <v>223</v>
      </c>
      <c r="K88" t="s">
        <v>223</v>
      </c>
      <c r="L88" t="s">
        <v>223</v>
      </c>
      <c r="M88" t="s">
        <v>223</v>
      </c>
      <c r="N88" t="s">
        <v>223</v>
      </c>
      <c r="O88" t="s">
        <v>223</v>
      </c>
      <c r="P88" t="s">
        <v>223</v>
      </c>
      <c r="Q88" t="s">
        <v>223</v>
      </c>
      <c r="R88" t="s">
        <v>223</v>
      </c>
      <c r="S88" t="s">
        <v>223</v>
      </c>
      <c r="T88" t="s">
        <v>223</v>
      </c>
      <c r="U88" t="s">
        <v>223</v>
      </c>
      <c r="V88" t="s">
        <v>223</v>
      </c>
      <c r="W88" t="s">
        <v>223</v>
      </c>
      <c r="X88" t="s">
        <v>223</v>
      </c>
      <c r="Y88" t="s">
        <v>223</v>
      </c>
      <c r="Z88" t="s">
        <v>223</v>
      </c>
      <c r="AA88" t="s">
        <v>223</v>
      </c>
      <c r="AB88" t="s">
        <v>223</v>
      </c>
      <c r="AC88" t="s">
        <v>223</v>
      </c>
      <c r="AD88" t="s">
        <v>223</v>
      </c>
      <c r="AE88" t="s">
        <v>223</v>
      </c>
      <c r="AF88" t="s">
        <v>223</v>
      </c>
      <c r="AG88" t="s">
        <v>223</v>
      </c>
      <c r="AH88" t="s">
        <v>223</v>
      </c>
      <c r="AI88" t="s">
        <v>223</v>
      </c>
      <c r="AJ88" t="s">
        <v>223</v>
      </c>
      <c r="AK88" t="s">
        <v>223</v>
      </c>
      <c r="AL88" t="s">
        <v>223</v>
      </c>
      <c r="AM88" t="s">
        <v>223</v>
      </c>
      <c r="AN88" s="9">
        <v>46</v>
      </c>
    </row>
    <row r="89" spans="1:40">
      <c r="A89" t="s">
        <v>366</v>
      </c>
      <c r="B89">
        <v>47</v>
      </c>
      <c r="C89" t="s">
        <v>223</v>
      </c>
      <c r="D89" t="s">
        <v>223</v>
      </c>
      <c r="E89" t="s">
        <v>223</v>
      </c>
      <c r="F89" t="s">
        <v>223</v>
      </c>
      <c r="G89" t="s">
        <v>223</v>
      </c>
      <c r="H89" t="s">
        <v>223</v>
      </c>
      <c r="I89" t="s">
        <v>223</v>
      </c>
      <c r="J89" t="s">
        <v>223</v>
      </c>
      <c r="K89" t="s">
        <v>223</v>
      </c>
      <c r="L89" t="s">
        <v>223</v>
      </c>
      <c r="M89" t="s">
        <v>223</v>
      </c>
      <c r="N89" t="s">
        <v>223</v>
      </c>
      <c r="O89" t="s">
        <v>223</v>
      </c>
      <c r="P89" t="s">
        <v>223</v>
      </c>
      <c r="Q89" t="s">
        <v>223</v>
      </c>
      <c r="R89" t="s">
        <v>223</v>
      </c>
      <c r="S89" t="s">
        <v>223</v>
      </c>
      <c r="T89" t="s">
        <v>223</v>
      </c>
      <c r="U89" t="s">
        <v>223</v>
      </c>
      <c r="V89" t="s">
        <v>223</v>
      </c>
      <c r="W89" t="s">
        <v>223</v>
      </c>
      <c r="X89" t="s">
        <v>223</v>
      </c>
      <c r="Y89" t="s">
        <v>223</v>
      </c>
      <c r="Z89" t="s">
        <v>223</v>
      </c>
      <c r="AA89" t="s">
        <v>223</v>
      </c>
      <c r="AB89" t="s">
        <v>223</v>
      </c>
      <c r="AC89" t="s">
        <v>223</v>
      </c>
      <c r="AD89" t="s">
        <v>223</v>
      </c>
      <c r="AE89" t="s">
        <v>223</v>
      </c>
      <c r="AF89" t="s">
        <v>223</v>
      </c>
      <c r="AG89" t="s">
        <v>223</v>
      </c>
      <c r="AH89" t="s">
        <v>223</v>
      </c>
      <c r="AI89" t="s">
        <v>223</v>
      </c>
      <c r="AJ89" t="s">
        <v>223</v>
      </c>
      <c r="AK89" t="s">
        <v>223</v>
      </c>
      <c r="AL89" t="s">
        <v>223</v>
      </c>
      <c r="AM89" t="s">
        <v>223</v>
      </c>
      <c r="AN89" s="9">
        <v>47</v>
      </c>
    </row>
    <row r="90" spans="1:40">
      <c r="A90" t="s">
        <v>366</v>
      </c>
      <c r="B90">
        <v>48</v>
      </c>
      <c r="C90" t="s">
        <v>223</v>
      </c>
      <c r="D90" t="s">
        <v>223</v>
      </c>
      <c r="E90" t="s">
        <v>223</v>
      </c>
      <c r="F90" t="s">
        <v>223</v>
      </c>
      <c r="G90" t="s">
        <v>223</v>
      </c>
      <c r="H90" t="s">
        <v>223</v>
      </c>
      <c r="I90" t="s">
        <v>223</v>
      </c>
      <c r="J90" t="s">
        <v>223</v>
      </c>
      <c r="K90" t="s">
        <v>223</v>
      </c>
      <c r="L90" t="s">
        <v>223</v>
      </c>
      <c r="M90" t="s">
        <v>223</v>
      </c>
      <c r="N90" t="s">
        <v>223</v>
      </c>
      <c r="O90" t="s">
        <v>223</v>
      </c>
      <c r="P90" t="s">
        <v>223</v>
      </c>
      <c r="Q90" t="s">
        <v>223</v>
      </c>
      <c r="R90" t="s">
        <v>223</v>
      </c>
      <c r="S90" t="s">
        <v>223</v>
      </c>
      <c r="T90" t="s">
        <v>223</v>
      </c>
      <c r="U90" t="s">
        <v>223</v>
      </c>
      <c r="V90" t="s">
        <v>223</v>
      </c>
      <c r="W90" t="s">
        <v>223</v>
      </c>
      <c r="X90" t="s">
        <v>223</v>
      </c>
      <c r="Y90" t="s">
        <v>223</v>
      </c>
      <c r="Z90" t="s">
        <v>223</v>
      </c>
      <c r="AA90" t="s">
        <v>223</v>
      </c>
      <c r="AB90" t="s">
        <v>223</v>
      </c>
      <c r="AC90" t="s">
        <v>223</v>
      </c>
      <c r="AD90" t="s">
        <v>223</v>
      </c>
      <c r="AE90" t="s">
        <v>223</v>
      </c>
      <c r="AF90" t="s">
        <v>223</v>
      </c>
      <c r="AG90" t="s">
        <v>223</v>
      </c>
      <c r="AH90" t="s">
        <v>223</v>
      </c>
      <c r="AI90" t="s">
        <v>223</v>
      </c>
      <c r="AJ90" t="s">
        <v>223</v>
      </c>
      <c r="AK90" t="s">
        <v>223</v>
      </c>
      <c r="AL90" t="s">
        <v>223</v>
      </c>
      <c r="AM90" t="s">
        <v>223</v>
      </c>
      <c r="AN90" s="9">
        <v>48</v>
      </c>
    </row>
    <row r="91" spans="1:40">
      <c r="A91" t="s">
        <v>366</v>
      </c>
      <c r="B91">
        <v>49</v>
      </c>
      <c r="C91" t="s">
        <v>223</v>
      </c>
      <c r="D91" t="s">
        <v>223</v>
      </c>
      <c r="E91" t="s">
        <v>223</v>
      </c>
      <c r="F91" t="s">
        <v>223</v>
      </c>
      <c r="G91" t="s">
        <v>223</v>
      </c>
      <c r="H91" t="s">
        <v>223</v>
      </c>
      <c r="I91" t="s">
        <v>223</v>
      </c>
      <c r="J91" t="s">
        <v>223</v>
      </c>
      <c r="K91" t="s">
        <v>223</v>
      </c>
      <c r="L91" t="s">
        <v>223</v>
      </c>
      <c r="M91" t="s">
        <v>223</v>
      </c>
      <c r="N91" t="s">
        <v>223</v>
      </c>
      <c r="O91" t="s">
        <v>223</v>
      </c>
      <c r="P91" t="s">
        <v>223</v>
      </c>
      <c r="Q91" t="s">
        <v>223</v>
      </c>
      <c r="R91" t="s">
        <v>223</v>
      </c>
      <c r="S91" t="s">
        <v>223</v>
      </c>
      <c r="T91" t="s">
        <v>223</v>
      </c>
      <c r="U91" t="s">
        <v>223</v>
      </c>
      <c r="V91" t="s">
        <v>223</v>
      </c>
      <c r="W91" t="s">
        <v>223</v>
      </c>
      <c r="X91" t="s">
        <v>223</v>
      </c>
      <c r="Y91" t="s">
        <v>223</v>
      </c>
      <c r="Z91" t="s">
        <v>223</v>
      </c>
      <c r="AA91" t="s">
        <v>223</v>
      </c>
      <c r="AB91" t="s">
        <v>223</v>
      </c>
      <c r="AC91" t="s">
        <v>223</v>
      </c>
      <c r="AD91" t="s">
        <v>223</v>
      </c>
      <c r="AE91" t="s">
        <v>223</v>
      </c>
      <c r="AF91" t="s">
        <v>223</v>
      </c>
      <c r="AG91" t="s">
        <v>223</v>
      </c>
      <c r="AH91" t="s">
        <v>223</v>
      </c>
      <c r="AI91" t="s">
        <v>223</v>
      </c>
      <c r="AJ91" t="s">
        <v>223</v>
      </c>
      <c r="AK91" t="s">
        <v>223</v>
      </c>
      <c r="AL91" t="s">
        <v>223</v>
      </c>
      <c r="AM91" t="s">
        <v>223</v>
      </c>
      <c r="AN91" s="9">
        <v>49</v>
      </c>
    </row>
    <row r="92" spans="1:40">
      <c r="A92" t="s">
        <v>366</v>
      </c>
      <c r="B92">
        <v>50</v>
      </c>
      <c r="C92" t="s">
        <v>223</v>
      </c>
      <c r="D92" t="s">
        <v>223</v>
      </c>
      <c r="E92" t="s">
        <v>223</v>
      </c>
      <c r="F92" t="s">
        <v>223</v>
      </c>
      <c r="G92" t="s">
        <v>223</v>
      </c>
      <c r="H92" t="s">
        <v>223</v>
      </c>
      <c r="I92" t="s">
        <v>223</v>
      </c>
      <c r="J92" t="s">
        <v>223</v>
      </c>
      <c r="K92" t="s">
        <v>223</v>
      </c>
      <c r="L92" t="s">
        <v>223</v>
      </c>
      <c r="M92" t="s">
        <v>223</v>
      </c>
      <c r="N92" t="s">
        <v>223</v>
      </c>
      <c r="O92" t="s">
        <v>223</v>
      </c>
      <c r="P92" t="s">
        <v>223</v>
      </c>
      <c r="Q92" t="s">
        <v>223</v>
      </c>
      <c r="R92" t="s">
        <v>223</v>
      </c>
      <c r="S92" t="s">
        <v>223</v>
      </c>
      <c r="T92" t="s">
        <v>223</v>
      </c>
      <c r="U92" t="s">
        <v>223</v>
      </c>
      <c r="V92" t="s">
        <v>223</v>
      </c>
      <c r="W92" t="s">
        <v>223</v>
      </c>
      <c r="X92" t="s">
        <v>223</v>
      </c>
      <c r="Y92" t="s">
        <v>223</v>
      </c>
      <c r="Z92" t="s">
        <v>223</v>
      </c>
      <c r="AA92" t="s">
        <v>223</v>
      </c>
      <c r="AB92" t="s">
        <v>223</v>
      </c>
      <c r="AC92" t="s">
        <v>223</v>
      </c>
      <c r="AD92" t="s">
        <v>223</v>
      </c>
      <c r="AE92" t="s">
        <v>223</v>
      </c>
      <c r="AF92" t="s">
        <v>223</v>
      </c>
      <c r="AG92" t="s">
        <v>223</v>
      </c>
      <c r="AH92" t="s">
        <v>223</v>
      </c>
      <c r="AI92" t="s">
        <v>223</v>
      </c>
      <c r="AJ92" t="s">
        <v>223</v>
      </c>
      <c r="AK92" t="s">
        <v>223</v>
      </c>
      <c r="AL92" t="s">
        <v>223</v>
      </c>
      <c r="AM92" t="s">
        <v>223</v>
      </c>
      <c r="AN92" s="9">
        <v>50</v>
      </c>
    </row>
    <row r="93" spans="1:40">
      <c r="A93" t="s">
        <v>366</v>
      </c>
      <c r="B93">
        <v>51</v>
      </c>
      <c r="C93" t="s">
        <v>223</v>
      </c>
      <c r="D93" t="s">
        <v>223</v>
      </c>
      <c r="E93" t="s">
        <v>223</v>
      </c>
      <c r="F93" t="s">
        <v>223</v>
      </c>
      <c r="G93" t="s">
        <v>223</v>
      </c>
      <c r="H93" t="s">
        <v>223</v>
      </c>
      <c r="I93" t="s">
        <v>223</v>
      </c>
      <c r="J93" t="s">
        <v>223</v>
      </c>
      <c r="K93" t="s">
        <v>223</v>
      </c>
      <c r="L93" t="s">
        <v>223</v>
      </c>
      <c r="M93" t="s">
        <v>223</v>
      </c>
      <c r="N93" t="s">
        <v>223</v>
      </c>
      <c r="O93" t="s">
        <v>223</v>
      </c>
      <c r="P93" t="s">
        <v>223</v>
      </c>
      <c r="Q93" t="s">
        <v>223</v>
      </c>
      <c r="R93" t="s">
        <v>223</v>
      </c>
      <c r="S93" t="s">
        <v>223</v>
      </c>
      <c r="T93" t="s">
        <v>223</v>
      </c>
      <c r="U93" t="s">
        <v>223</v>
      </c>
      <c r="V93" t="s">
        <v>223</v>
      </c>
      <c r="W93" t="s">
        <v>223</v>
      </c>
      <c r="X93" t="s">
        <v>223</v>
      </c>
      <c r="Y93" t="s">
        <v>223</v>
      </c>
      <c r="Z93" t="s">
        <v>223</v>
      </c>
      <c r="AA93" t="s">
        <v>223</v>
      </c>
      <c r="AB93" t="s">
        <v>223</v>
      </c>
      <c r="AC93" t="s">
        <v>223</v>
      </c>
      <c r="AD93" t="s">
        <v>223</v>
      </c>
      <c r="AE93" t="s">
        <v>223</v>
      </c>
      <c r="AF93" t="s">
        <v>223</v>
      </c>
      <c r="AG93" t="s">
        <v>223</v>
      </c>
      <c r="AH93" t="s">
        <v>223</v>
      </c>
      <c r="AI93" t="s">
        <v>223</v>
      </c>
      <c r="AJ93" t="s">
        <v>223</v>
      </c>
      <c r="AK93" t="s">
        <v>223</v>
      </c>
      <c r="AL93" t="s">
        <v>223</v>
      </c>
      <c r="AM93" t="s">
        <v>223</v>
      </c>
      <c r="AN93" s="9">
        <v>51</v>
      </c>
    </row>
    <row r="94" spans="1:40">
      <c r="A94" t="s">
        <v>366</v>
      </c>
      <c r="B94">
        <v>52</v>
      </c>
      <c r="C94" t="s">
        <v>223</v>
      </c>
      <c r="D94" t="s">
        <v>223</v>
      </c>
      <c r="E94" t="s">
        <v>223</v>
      </c>
      <c r="F94" t="s">
        <v>223</v>
      </c>
      <c r="G94" t="s">
        <v>223</v>
      </c>
      <c r="H94" t="s">
        <v>223</v>
      </c>
      <c r="I94" t="s">
        <v>223</v>
      </c>
      <c r="J94" t="s">
        <v>223</v>
      </c>
      <c r="K94" t="s">
        <v>223</v>
      </c>
      <c r="L94" t="s">
        <v>223</v>
      </c>
      <c r="M94" t="s">
        <v>223</v>
      </c>
      <c r="N94" t="s">
        <v>223</v>
      </c>
      <c r="O94" t="s">
        <v>223</v>
      </c>
      <c r="P94" t="s">
        <v>223</v>
      </c>
      <c r="Q94" t="s">
        <v>223</v>
      </c>
      <c r="R94" t="s">
        <v>223</v>
      </c>
      <c r="S94" t="s">
        <v>223</v>
      </c>
      <c r="T94" t="s">
        <v>223</v>
      </c>
      <c r="U94" t="s">
        <v>223</v>
      </c>
      <c r="V94" t="s">
        <v>223</v>
      </c>
      <c r="W94" t="s">
        <v>223</v>
      </c>
      <c r="X94" t="s">
        <v>223</v>
      </c>
      <c r="Y94" t="s">
        <v>223</v>
      </c>
      <c r="Z94" t="s">
        <v>223</v>
      </c>
      <c r="AA94" t="s">
        <v>223</v>
      </c>
      <c r="AB94" t="s">
        <v>223</v>
      </c>
      <c r="AC94" t="s">
        <v>223</v>
      </c>
      <c r="AD94" t="s">
        <v>223</v>
      </c>
      <c r="AE94" t="s">
        <v>223</v>
      </c>
      <c r="AF94" t="s">
        <v>223</v>
      </c>
      <c r="AG94" t="s">
        <v>223</v>
      </c>
      <c r="AH94" t="s">
        <v>223</v>
      </c>
      <c r="AI94" t="s">
        <v>223</v>
      </c>
      <c r="AJ94" t="s">
        <v>223</v>
      </c>
      <c r="AK94" t="s">
        <v>223</v>
      </c>
      <c r="AL94" t="s">
        <v>223</v>
      </c>
      <c r="AM94" t="s">
        <v>223</v>
      </c>
      <c r="AN94" s="9">
        <v>52</v>
      </c>
    </row>
    <row r="95" spans="1:40">
      <c r="A95" t="s">
        <v>366</v>
      </c>
      <c r="B95">
        <v>53</v>
      </c>
      <c r="C95" t="s">
        <v>223</v>
      </c>
      <c r="D95" t="s">
        <v>223</v>
      </c>
      <c r="E95" t="s">
        <v>223</v>
      </c>
      <c r="F95" t="s">
        <v>223</v>
      </c>
      <c r="G95" t="s">
        <v>223</v>
      </c>
      <c r="H95" t="s">
        <v>223</v>
      </c>
      <c r="I95" t="s">
        <v>223</v>
      </c>
      <c r="J95" t="s">
        <v>223</v>
      </c>
      <c r="K95" t="s">
        <v>223</v>
      </c>
      <c r="L95" t="s">
        <v>223</v>
      </c>
      <c r="M95" t="s">
        <v>223</v>
      </c>
      <c r="N95" t="s">
        <v>223</v>
      </c>
      <c r="O95" t="s">
        <v>223</v>
      </c>
      <c r="P95" t="s">
        <v>223</v>
      </c>
      <c r="Q95" t="s">
        <v>223</v>
      </c>
      <c r="R95" t="s">
        <v>223</v>
      </c>
      <c r="S95" t="s">
        <v>223</v>
      </c>
      <c r="T95" t="s">
        <v>223</v>
      </c>
      <c r="U95" t="s">
        <v>223</v>
      </c>
      <c r="V95" t="s">
        <v>223</v>
      </c>
      <c r="W95" t="s">
        <v>223</v>
      </c>
      <c r="X95" t="s">
        <v>223</v>
      </c>
      <c r="Y95" t="s">
        <v>223</v>
      </c>
      <c r="Z95" t="s">
        <v>223</v>
      </c>
      <c r="AA95" t="s">
        <v>223</v>
      </c>
      <c r="AB95" t="s">
        <v>223</v>
      </c>
      <c r="AC95" t="s">
        <v>223</v>
      </c>
      <c r="AD95" t="s">
        <v>223</v>
      </c>
      <c r="AE95" t="s">
        <v>223</v>
      </c>
      <c r="AF95" t="s">
        <v>223</v>
      </c>
      <c r="AG95" t="s">
        <v>223</v>
      </c>
      <c r="AH95" t="s">
        <v>223</v>
      </c>
      <c r="AI95" t="s">
        <v>223</v>
      </c>
      <c r="AJ95" t="s">
        <v>223</v>
      </c>
      <c r="AK95" t="s">
        <v>223</v>
      </c>
      <c r="AL95" t="s">
        <v>223</v>
      </c>
      <c r="AM95" t="s">
        <v>223</v>
      </c>
      <c r="AN95" s="9">
        <v>53</v>
      </c>
    </row>
    <row r="96" spans="1:40">
      <c r="A96" t="s">
        <v>367</v>
      </c>
      <c r="B96">
        <v>8</v>
      </c>
      <c r="C96">
        <v>9</v>
      </c>
      <c r="D96" t="s">
        <v>223</v>
      </c>
      <c r="E96" t="s">
        <v>223</v>
      </c>
      <c r="F96" t="s">
        <v>223</v>
      </c>
      <c r="G96" t="s">
        <v>223</v>
      </c>
      <c r="H96" t="s">
        <v>223</v>
      </c>
      <c r="I96" t="s">
        <v>223</v>
      </c>
      <c r="J96" t="s">
        <v>223</v>
      </c>
      <c r="K96" t="s">
        <v>223</v>
      </c>
      <c r="L96" t="s">
        <v>223</v>
      </c>
      <c r="M96" t="s">
        <v>223</v>
      </c>
      <c r="N96" t="s">
        <v>223</v>
      </c>
      <c r="O96" t="s">
        <v>223</v>
      </c>
      <c r="P96" t="s">
        <v>223</v>
      </c>
      <c r="Q96" t="s">
        <v>223</v>
      </c>
      <c r="R96" t="s">
        <v>223</v>
      </c>
      <c r="S96" t="s">
        <v>223</v>
      </c>
      <c r="T96" t="s">
        <v>223</v>
      </c>
      <c r="U96" t="s">
        <v>223</v>
      </c>
      <c r="V96" t="s">
        <v>223</v>
      </c>
      <c r="W96" t="s">
        <v>223</v>
      </c>
      <c r="X96" t="s">
        <v>223</v>
      </c>
      <c r="Y96" t="s">
        <v>223</v>
      </c>
      <c r="Z96" t="s">
        <v>223</v>
      </c>
      <c r="AA96" t="s">
        <v>223</v>
      </c>
      <c r="AB96" t="s">
        <v>223</v>
      </c>
      <c r="AC96" t="s">
        <v>223</v>
      </c>
      <c r="AD96" t="s">
        <v>223</v>
      </c>
      <c r="AE96" t="s">
        <v>223</v>
      </c>
      <c r="AF96" t="s">
        <v>223</v>
      </c>
      <c r="AG96" t="s">
        <v>223</v>
      </c>
      <c r="AH96" t="s">
        <v>223</v>
      </c>
      <c r="AI96" t="s">
        <v>223</v>
      </c>
      <c r="AJ96" t="s">
        <v>223</v>
      </c>
      <c r="AK96" t="s">
        <v>223</v>
      </c>
      <c r="AL96" t="s">
        <v>223</v>
      </c>
      <c r="AM96" t="s">
        <v>223</v>
      </c>
      <c r="AN96" s="9" t="s">
        <v>436</v>
      </c>
    </row>
    <row r="97" spans="1:40">
      <c r="A97" t="s">
        <v>367</v>
      </c>
      <c r="B97">
        <v>12</v>
      </c>
      <c r="C97">
        <v>13</v>
      </c>
      <c r="D97" t="s">
        <v>223</v>
      </c>
      <c r="E97" t="s">
        <v>223</v>
      </c>
      <c r="F97" t="s">
        <v>223</v>
      </c>
      <c r="G97" t="s">
        <v>223</v>
      </c>
      <c r="H97" t="s">
        <v>223</v>
      </c>
      <c r="I97" t="s">
        <v>223</v>
      </c>
      <c r="J97" t="s">
        <v>223</v>
      </c>
      <c r="K97" t="s">
        <v>223</v>
      </c>
      <c r="L97" t="s">
        <v>223</v>
      </c>
      <c r="M97" t="s">
        <v>223</v>
      </c>
      <c r="N97" t="s">
        <v>223</v>
      </c>
      <c r="O97" t="s">
        <v>223</v>
      </c>
      <c r="P97" t="s">
        <v>223</v>
      </c>
      <c r="Q97" t="s">
        <v>223</v>
      </c>
      <c r="R97" t="s">
        <v>223</v>
      </c>
      <c r="S97" t="s">
        <v>223</v>
      </c>
      <c r="T97" t="s">
        <v>223</v>
      </c>
      <c r="U97" t="s">
        <v>223</v>
      </c>
      <c r="V97" t="s">
        <v>223</v>
      </c>
      <c r="W97" t="s">
        <v>223</v>
      </c>
      <c r="X97" t="s">
        <v>223</v>
      </c>
      <c r="Y97" t="s">
        <v>223</v>
      </c>
      <c r="Z97" t="s">
        <v>223</v>
      </c>
      <c r="AA97" t="s">
        <v>223</v>
      </c>
      <c r="AB97" t="s">
        <v>223</v>
      </c>
      <c r="AC97" t="s">
        <v>223</v>
      </c>
      <c r="AD97" t="s">
        <v>223</v>
      </c>
      <c r="AE97" t="s">
        <v>223</v>
      </c>
      <c r="AF97" t="s">
        <v>223</v>
      </c>
      <c r="AG97" t="s">
        <v>223</v>
      </c>
      <c r="AH97" t="s">
        <v>223</v>
      </c>
      <c r="AI97" t="s">
        <v>223</v>
      </c>
      <c r="AJ97" t="s">
        <v>223</v>
      </c>
      <c r="AK97" t="s">
        <v>223</v>
      </c>
      <c r="AL97" t="s">
        <v>223</v>
      </c>
      <c r="AM97" t="s">
        <v>223</v>
      </c>
      <c r="AN97" s="9" t="s">
        <v>418</v>
      </c>
    </row>
    <row r="98" spans="1:40">
      <c r="A98" t="s">
        <v>367</v>
      </c>
      <c r="B98">
        <v>16</v>
      </c>
      <c r="C98">
        <v>17</v>
      </c>
      <c r="D98" t="s">
        <v>223</v>
      </c>
      <c r="E98" t="s">
        <v>223</v>
      </c>
      <c r="F98" t="s">
        <v>223</v>
      </c>
      <c r="G98" t="s">
        <v>223</v>
      </c>
      <c r="H98" t="s">
        <v>223</v>
      </c>
      <c r="I98" t="s">
        <v>223</v>
      </c>
      <c r="J98" t="s">
        <v>223</v>
      </c>
      <c r="K98" t="s">
        <v>223</v>
      </c>
      <c r="L98" t="s">
        <v>223</v>
      </c>
      <c r="M98" t="s">
        <v>223</v>
      </c>
      <c r="N98" t="s">
        <v>223</v>
      </c>
      <c r="O98" t="s">
        <v>223</v>
      </c>
      <c r="P98" t="s">
        <v>223</v>
      </c>
      <c r="Q98" t="s">
        <v>223</v>
      </c>
      <c r="R98" t="s">
        <v>223</v>
      </c>
      <c r="S98" t="s">
        <v>223</v>
      </c>
      <c r="T98" t="s">
        <v>223</v>
      </c>
      <c r="U98" t="s">
        <v>223</v>
      </c>
      <c r="V98" t="s">
        <v>223</v>
      </c>
      <c r="W98" t="s">
        <v>223</v>
      </c>
      <c r="X98" t="s">
        <v>223</v>
      </c>
      <c r="Y98" t="s">
        <v>223</v>
      </c>
      <c r="Z98" t="s">
        <v>223</v>
      </c>
      <c r="AA98" t="s">
        <v>223</v>
      </c>
      <c r="AB98" t="s">
        <v>223</v>
      </c>
      <c r="AC98" t="s">
        <v>223</v>
      </c>
      <c r="AD98" t="s">
        <v>223</v>
      </c>
      <c r="AE98" t="s">
        <v>223</v>
      </c>
      <c r="AF98" t="s">
        <v>223</v>
      </c>
      <c r="AG98" t="s">
        <v>223</v>
      </c>
      <c r="AH98" t="s">
        <v>223</v>
      </c>
      <c r="AI98" t="s">
        <v>223</v>
      </c>
      <c r="AJ98" t="s">
        <v>223</v>
      </c>
      <c r="AK98" t="s">
        <v>223</v>
      </c>
      <c r="AL98" t="s">
        <v>223</v>
      </c>
      <c r="AM98" t="s">
        <v>223</v>
      </c>
      <c r="AN98" s="9" t="s">
        <v>419</v>
      </c>
    </row>
    <row r="99" spans="1:40">
      <c r="A99" t="s">
        <v>367</v>
      </c>
      <c r="B99">
        <v>20</v>
      </c>
      <c r="C99">
        <v>21</v>
      </c>
      <c r="D99" t="s">
        <v>223</v>
      </c>
      <c r="E99" t="s">
        <v>223</v>
      </c>
      <c r="F99" t="s">
        <v>223</v>
      </c>
      <c r="G99" t="s">
        <v>223</v>
      </c>
      <c r="H99" t="s">
        <v>223</v>
      </c>
      <c r="I99" t="s">
        <v>223</v>
      </c>
      <c r="J99" t="s">
        <v>223</v>
      </c>
      <c r="K99" t="s">
        <v>223</v>
      </c>
      <c r="L99" t="s">
        <v>223</v>
      </c>
      <c r="M99" t="s">
        <v>223</v>
      </c>
      <c r="N99" t="s">
        <v>223</v>
      </c>
      <c r="O99" t="s">
        <v>223</v>
      </c>
      <c r="P99" t="s">
        <v>223</v>
      </c>
      <c r="Q99" t="s">
        <v>223</v>
      </c>
      <c r="R99" t="s">
        <v>223</v>
      </c>
      <c r="S99" t="s">
        <v>223</v>
      </c>
      <c r="T99" t="s">
        <v>223</v>
      </c>
      <c r="U99" t="s">
        <v>223</v>
      </c>
      <c r="V99" t="s">
        <v>223</v>
      </c>
      <c r="W99" t="s">
        <v>223</v>
      </c>
      <c r="X99" t="s">
        <v>223</v>
      </c>
      <c r="Y99" t="s">
        <v>223</v>
      </c>
      <c r="Z99" t="s">
        <v>223</v>
      </c>
      <c r="AA99" t="s">
        <v>223</v>
      </c>
      <c r="AB99" t="s">
        <v>223</v>
      </c>
      <c r="AC99" t="s">
        <v>223</v>
      </c>
      <c r="AD99" t="s">
        <v>223</v>
      </c>
      <c r="AE99" t="s">
        <v>223</v>
      </c>
      <c r="AF99" t="s">
        <v>223</v>
      </c>
      <c r="AG99" t="s">
        <v>223</v>
      </c>
      <c r="AH99" t="s">
        <v>223</v>
      </c>
      <c r="AI99" t="s">
        <v>223</v>
      </c>
      <c r="AJ99" t="s">
        <v>223</v>
      </c>
      <c r="AK99" t="s">
        <v>223</v>
      </c>
      <c r="AL99" t="s">
        <v>223</v>
      </c>
      <c r="AM99" t="s">
        <v>223</v>
      </c>
      <c r="AN99" s="9" t="s">
        <v>420</v>
      </c>
    </row>
    <row r="100" spans="1:40">
      <c r="A100" t="s">
        <v>367</v>
      </c>
      <c r="B100">
        <v>24</v>
      </c>
      <c r="C100">
        <v>25</v>
      </c>
      <c r="D100" t="s">
        <v>223</v>
      </c>
      <c r="E100" t="s">
        <v>223</v>
      </c>
      <c r="F100" t="s">
        <v>223</v>
      </c>
      <c r="G100" t="s">
        <v>223</v>
      </c>
      <c r="H100" t="s">
        <v>223</v>
      </c>
      <c r="I100" t="s">
        <v>223</v>
      </c>
      <c r="J100" t="s">
        <v>223</v>
      </c>
      <c r="K100" t="s">
        <v>223</v>
      </c>
      <c r="L100" t="s">
        <v>223</v>
      </c>
      <c r="M100" t="s">
        <v>223</v>
      </c>
      <c r="N100" t="s">
        <v>223</v>
      </c>
      <c r="O100" t="s">
        <v>223</v>
      </c>
      <c r="P100" t="s">
        <v>223</v>
      </c>
      <c r="Q100" t="s">
        <v>223</v>
      </c>
      <c r="R100" t="s">
        <v>223</v>
      </c>
      <c r="S100" t="s">
        <v>223</v>
      </c>
      <c r="T100" t="s">
        <v>223</v>
      </c>
      <c r="U100" t="s">
        <v>223</v>
      </c>
      <c r="V100" t="s">
        <v>223</v>
      </c>
      <c r="W100" t="s">
        <v>223</v>
      </c>
      <c r="X100" t="s">
        <v>223</v>
      </c>
      <c r="Y100" t="s">
        <v>223</v>
      </c>
      <c r="Z100" t="s">
        <v>223</v>
      </c>
      <c r="AA100" t="s">
        <v>223</v>
      </c>
      <c r="AB100" t="s">
        <v>223</v>
      </c>
      <c r="AC100" t="s">
        <v>223</v>
      </c>
      <c r="AD100" t="s">
        <v>223</v>
      </c>
      <c r="AE100" t="s">
        <v>223</v>
      </c>
      <c r="AF100" t="s">
        <v>223</v>
      </c>
      <c r="AG100" t="s">
        <v>223</v>
      </c>
      <c r="AH100" t="s">
        <v>223</v>
      </c>
      <c r="AI100" t="s">
        <v>223</v>
      </c>
      <c r="AJ100" t="s">
        <v>223</v>
      </c>
      <c r="AK100" t="s">
        <v>223</v>
      </c>
      <c r="AL100" t="s">
        <v>223</v>
      </c>
      <c r="AM100" t="s">
        <v>223</v>
      </c>
      <c r="AN100" s="9" t="s">
        <v>421</v>
      </c>
    </row>
    <row r="101" spans="1:40">
      <c r="A101" t="s">
        <v>367</v>
      </c>
      <c r="B101">
        <v>28</v>
      </c>
      <c r="C101">
        <v>29</v>
      </c>
      <c r="D101" t="s">
        <v>223</v>
      </c>
      <c r="E101" t="s">
        <v>223</v>
      </c>
      <c r="F101" t="s">
        <v>223</v>
      </c>
      <c r="G101" t="s">
        <v>223</v>
      </c>
      <c r="H101" t="s">
        <v>223</v>
      </c>
      <c r="I101" t="s">
        <v>223</v>
      </c>
      <c r="J101" t="s">
        <v>223</v>
      </c>
      <c r="K101" t="s">
        <v>223</v>
      </c>
      <c r="L101" t="s">
        <v>223</v>
      </c>
      <c r="M101" t="s">
        <v>223</v>
      </c>
      <c r="N101" t="s">
        <v>223</v>
      </c>
      <c r="O101" t="s">
        <v>223</v>
      </c>
      <c r="P101" t="s">
        <v>223</v>
      </c>
      <c r="Q101" t="s">
        <v>223</v>
      </c>
      <c r="R101" t="s">
        <v>223</v>
      </c>
      <c r="S101" t="s">
        <v>223</v>
      </c>
      <c r="T101" t="s">
        <v>223</v>
      </c>
      <c r="U101" t="s">
        <v>223</v>
      </c>
      <c r="V101" t="s">
        <v>223</v>
      </c>
      <c r="W101" t="s">
        <v>223</v>
      </c>
      <c r="X101" t="s">
        <v>223</v>
      </c>
      <c r="Y101" t="s">
        <v>223</v>
      </c>
      <c r="Z101" t="s">
        <v>223</v>
      </c>
      <c r="AA101" t="s">
        <v>223</v>
      </c>
      <c r="AB101" t="s">
        <v>223</v>
      </c>
      <c r="AC101" t="s">
        <v>223</v>
      </c>
      <c r="AD101" t="s">
        <v>223</v>
      </c>
      <c r="AE101" t="s">
        <v>223</v>
      </c>
      <c r="AF101" t="s">
        <v>223</v>
      </c>
      <c r="AG101" t="s">
        <v>223</v>
      </c>
      <c r="AH101" t="s">
        <v>223</v>
      </c>
      <c r="AI101" t="s">
        <v>223</v>
      </c>
      <c r="AJ101" t="s">
        <v>223</v>
      </c>
      <c r="AK101" t="s">
        <v>223</v>
      </c>
      <c r="AL101" t="s">
        <v>223</v>
      </c>
      <c r="AM101" t="s">
        <v>223</v>
      </c>
      <c r="AN101" s="9" t="s">
        <v>422</v>
      </c>
    </row>
    <row r="102" spans="1:40">
      <c r="A102" t="s">
        <v>367</v>
      </c>
      <c r="B102">
        <v>32</v>
      </c>
      <c r="C102">
        <v>33</v>
      </c>
      <c r="D102" t="s">
        <v>223</v>
      </c>
      <c r="E102" t="s">
        <v>223</v>
      </c>
      <c r="F102" t="s">
        <v>223</v>
      </c>
      <c r="G102" t="s">
        <v>223</v>
      </c>
      <c r="H102" t="s">
        <v>223</v>
      </c>
      <c r="I102" t="s">
        <v>223</v>
      </c>
      <c r="J102" t="s">
        <v>223</v>
      </c>
      <c r="K102" t="s">
        <v>223</v>
      </c>
      <c r="L102" t="s">
        <v>223</v>
      </c>
      <c r="M102" t="s">
        <v>223</v>
      </c>
      <c r="N102" t="s">
        <v>223</v>
      </c>
      <c r="O102" t="s">
        <v>223</v>
      </c>
      <c r="P102" t="s">
        <v>223</v>
      </c>
      <c r="Q102" t="s">
        <v>223</v>
      </c>
      <c r="R102" t="s">
        <v>223</v>
      </c>
      <c r="S102" t="s">
        <v>223</v>
      </c>
      <c r="T102" t="s">
        <v>223</v>
      </c>
      <c r="U102" t="s">
        <v>223</v>
      </c>
      <c r="V102" t="s">
        <v>223</v>
      </c>
      <c r="W102" t="s">
        <v>223</v>
      </c>
      <c r="X102" t="s">
        <v>223</v>
      </c>
      <c r="Y102" t="s">
        <v>223</v>
      </c>
      <c r="Z102" t="s">
        <v>223</v>
      </c>
      <c r="AA102" t="s">
        <v>223</v>
      </c>
      <c r="AB102" t="s">
        <v>223</v>
      </c>
      <c r="AC102" t="s">
        <v>223</v>
      </c>
      <c r="AD102" t="s">
        <v>223</v>
      </c>
      <c r="AE102" t="s">
        <v>223</v>
      </c>
      <c r="AF102" t="s">
        <v>223</v>
      </c>
      <c r="AG102" t="s">
        <v>223</v>
      </c>
      <c r="AH102" t="s">
        <v>223</v>
      </c>
      <c r="AI102" t="s">
        <v>223</v>
      </c>
      <c r="AJ102" t="s">
        <v>223</v>
      </c>
      <c r="AK102" t="s">
        <v>223</v>
      </c>
      <c r="AL102" t="s">
        <v>223</v>
      </c>
      <c r="AM102" t="s">
        <v>223</v>
      </c>
      <c r="AN102" s="9" t="s">
        <v>423</v>
      </c>
    </row>
    <row r="103" spans="1:40">
      <c r="A103" t="s">
        <v>367</v>
      </c>
      <c r="B103">
        <v>36</v>
      </c>
      <c r="C103">
        <v>37</v>
      </c>
      <c r="D103" t="s">
        <v>223</v>
      </c>
      <c r="E103" t="s">
        <v>223</v>
      </c>
      <c r="F103" t="s">
        <v>223</v>
      </c>
      <c r="G103" t="s">
        <v>223</v>
      </c>
      <c r="H103" t="s">
        <v>223</v>
      </c>
      <c r="I103" t="s">
        <v>223</v>
      </c>
      <c r="J103" t="s">
        <v>223</v>
      </c>
      <c r="K103" t="s">
        <v>223</v>
      </c>
      <c r="L103" t="s">
        <v>223</v>
      </c>
      <c r="M103" t="s">
        <v>223</v>
      </c>
      <c r="N103" t="s">
        <v>223</v>
      </c>
      <c r="O103" t="s">
        <v>223</v>
      </c>
      <c r="P103" t="s">
        <v>223</v>
      </c>
      <c r="Q103" t="s">
        <v>223</v>
      </c>
      <c r="R103" t="s">
        <v>223</v>
      </c>
      <c r="S103" t="s">
        <v>223</v>
      </c>
      <c r="T103" t="s">
        <v>223</v>
      </c>
      <c r="U103" t="s">
        <v>223</v>
      </c>
      <c r="V103" t="s">
        <v>223</v>
      </c>
      <c r="W103" t="s">
        <v>223</v>
      </c>
      <c r="X103" t="s">
        <v>223</v>
      </c>
      <c r="Y103" t="s">
        <v>223</v>
      </c>
      <c r="Z103" t="s">
        <v>223</v>
      </c>
      <c r="AA103" t="s">
        <v>223</v>
      </c>
      <c r="AB103" t="s">
        <v>223</v>
      </c>
      <c r="AC103" t="s">
        <v>223</v>
      </c>
      <c r="AD103" t="s">
        <v>223</v>
      </c>
      <c r="AE103" t="s">
        <v>223</v>
      </c>
      <c r="AF103" t="s">
        <v>223</v>
      </c>
      <c r="AG103" t="s">
        <v>223</v>
      </c>
      <c r="AH103" t="s">
        <v>223</v>
      </c>
      <c r="AI103" t="s">
        <v>223</v>
      </c>
      <c r="AJ103" t="s">
        <v>223</v>
      </c>
      <c r="AK103" t="s">
        <v>223</v>
      </c>
      <c r="AL103" t="s">
        <v>223</v>
      </c>
      <c r="AM103" t="s">
        <v>223</v>
      </c>
      <c r="AN103" s="9" t="s">
        <v>424</v>
      </c>
    </row>
    <row r="104" spans="1:40">
      <c r="A104" t="s">
        <v>367</v>
      </c>
      <c r="B104">
        <v>40</v>
      </c>
      <c r="C104">
        <v>41</v>
      </c>
      <c r="D104" t="s">
        <v>223</v>
      </c>
      <c r="E104" t="s">
        <v>223</v>
      </c>
      <c r="F104" t="s">
        <v>223</v>
      </c>
      <c r="G104" t="s">
        <v>223</v>
      </c>
      <c r="H104" t="s">
        <v>223</v>
      </c>
      <c r="I104" t="s">
        <v>223</v>
      </c>
      <c r="J104" t="s">
        <v>223</v>
      </c>
      <c r="K104" t="s">
        <v>223</v>
      </c>
      <c r="L104" t="s">
        <v>223</v>
      </c>
      <c r="M104" t="s">
        <v>223</v>
      </c>
      <c r="N104" t="s">
        <v>223</v>
      </c>
      <c r="O104" t="s">
        <v>223</v>
      </c>
      <c r="P104" t="s">
        <v>223</v>
      </c>
      <c r="Q104" t="s">
        <v>223</v>
      </c>
      <c r="R104" t="s">
        <v>223</v>
      </c>
      <c r="S104" t="s">
        <v>223</v>
      </c>
      <c r="T104" t="s">
        <v>223</v>
      </c>
      <c r="U104" t="s">
        <v>223</v>
      </c>
      <c r="V104" t="s">
        <v>223</v>
      </c>
      <c r="W104" t="s">
        <v>223</v>
      </c>
      <c r="X104" t="s">
        <v>223</v>
      </c>
      <c r="Y104" t="s">
        <v>223</v>
      </c>
      <c r="Z104" t="s">
        <v>223</v>
      </c>
      <c r="AA104" t="s">
        <v>223</v>
      </c>
      <c r="AB104" t="s">
        <v>223</v>
      </c>
      <c r="AC104" t="s">
        <v>223</v>
      </c>
      <c r="AD104" t="s">
        <v>223</v>
      </c>
      <c r="AE104" t="s">
        <v>223</v>
      </c>
      <c r="AF104" t="s">
        <v>223</v>
      </c>
      <c r="AG104" t="s">
        <v>223</v>
      </c>
      <c r="AH104" t="s">
        <v>223</v>
      </c>
      <c r="AI104" t="s">
        <v>223</v>
      </c>
      <c r="AJ104" t="s">
        <v>223</v>
      </c>
      <c r="AK104" t="s">
        <v>223</v>
      </c>
      <c r="AL104" t="s">
        <v>223</v>
      </c>
      <c r="AM104" t="s">
        <v>223</v>
      </c>
      <c r="AN104" s="9" t="s">
        <v>425</v>
      </c>
    </row>
    <row r="105" spans="1:40">
      <c r="A105" t="s">
        <v>367</v>
      </c>
      <c r="B105">
        <v>44</v>
      </c>
      <c r="C105">
        <v>45</v>
      </c>
      <c r="D105" t="s">
        <v>223</v>
      </c>
      <c r="E105" t="s">
        <v>223</v>
      </c>
      <c r="F105" t="s">
        <v>223</v>
      </c>
      <c r="G105" t="s">
        <v>223</v>
      </c>
      <c r="H105" t="s">
        <v>223</v>
      </c>
      <c r="I105" t="s">
        <v>223</v>
      </c>
      <c r="J105" t="s">
        <v>223</v>
      </c>
      <c r="K105" t="s">
        <v>223</v>
      </c>
      <c r="L105" t="s">
        <v>223</v>
      </c>
      <c r="M105" t="s">
        <v>223</v>
      </c>
      <c r="N105" t="s">
        <v>223</v>
      </c>
      <c r="O105" t="s">
        <v>223</v>
      </c>
      <c r="P105" t="s">
        <v>223</v>
      </c>
      <c r="Q105" t="s">
        <v>223</v>
      </c>
      <c r="R105" t="s">
        <v>223</v>
      </c>
      <c r="S105" t="s">
        <v>223</v>
      </c>
      <c r="T105" t="s">
        <v>223</v>
      </c>
      <c r="U105" t="s">
        <v>223</v>
      </c>
      <c r="V105" t="s">
        <v>223</v>
      </c>
      <c r="W105" t="s">
        <v>223</v>
      </c>
      <c r="X105" t="s">
        <v>223</v>
      </c>
      <c r="Y105" t="s">
        <v>223</v>
      </c>
      <c r="Z105" t="s">
        <v>223</v>
      </c>
      <c r="AA105" t="s">
        <v>223</v>
      </c>
      <c r="AB105" t="s">
        <v>223</v>
      </c>
      <c r="AC105" t="s">
        <v>223</v>
      </c>
      <c r="AD105" t="s">
        <v>223</v>
      </c>
      <c r="AE105" t="s">
        <v>223</v>
      </c>
      <c r="AF105" t="s">
        <v>223</v>
      </c>
      <c r="AG105" t="s">
        <v>223</v>
      </c>
      <c r="AH105" t="s">
        <v>223</v>
      </c>
      <c r="AI105" t="s">
        <v>223</v>
      </c>
      <c r="AJ105" t="s">
        <v>223</v>
      </c>
      <c r="AK105" t="s">
        <v>223</v>
      </c>
      <c r="AL105" t="s">
        <v>223</v>
      </c>
      <c r="AM105" t="s">
        <v>223</v>
      </c>
      <c r="AN105" s="9" t="s">
        <v>426</v>
      </c>
    </row>
    <row r="106" spans="1:40">
      <c r="A106" t="s">
        <v>367</v>
      </c>
      <c r="B106">
        <v>48</v>
      </c>
      <c r="C106">
        <v>49</v>
      </c>
      <c r="D106" t="s">
        <v>223</v>
      </c>
      <c r="E106" t="s">
        <v>223</v>
      </c>
      <c r="F106" t="s">
        <v>223</v>
      </c>
      <c r="G106" t="s">
        <v>223</v>
      </c>
      <c r="H106" t="s">
        <v>223</v>
      </c>
      <c r="I106" t="s">
        <v>223</v>
      </c>
      <c r="J106" t="s">
        <v>223</v>
      </c>
      <c r="K106" t="s">
        <v>223</v>
      </c>
      <c r="L106" t="s">
        <v>223</v>
      </c>
      <c r="M106" t="s">
        <v>223</v>
      </c>
      <c r="N106" t="s">
        <v>223</v>
      </c>
      <c r="O106" t="s">
        <v>223</v>
      </c>
      <c r="P106" t="s">
        <v>223</v>
      </c>
      <c r="Q106" t="s">
        <v>223</v>
      </c>
      <c r="R106" t="s">
        <v>223</v>
      </c>
      <c r="S106" t="s">
        <v>223</v>
      </c>
      <c r="T106" t="s">
        <v>223</v>
      </c>
      <c r="U106" t="s">
        <v>223</v>
      </c>
      <c r="V106" t="s">
        <v>223</v>
      </c>
      <c r="W106" t="s">
        <v>223</v>
      </c>
      <c r="X106" t="s">
        <v>223</v>
      </c>
      <c r="Y106" t="s">
        <v>223</v>
      </c>
      <c r="Z106" t="s">
        <v>223</v>
      </c>
      <c r="AA106" t="s">
        <v>223</v>
      </c>
      <c r="AB106" t="s">
        <v>223</v>
      </c>
      <c r="AC106" t="s">
        <v>223</v>
      </c>
      <c r="AD106" t="s">
        <v>223</v>
      </c>
      <c r="AE106" t="s">
        <v>223</v>
      </c>
      <c r="AF106" t="s">
        <v>223</v>
      </c>
      <c r="AG106" t="s">
        <v>223</v>
      </c>
      <c r="AH106" t="s">
        <v>223</v>
      </c>
      <c r="AI106" t="s">
        <v>223</v>
      </c>
      <c r="AJ106" t="s">
        <v>223</v>
      </c>
      <c r="AK106" t="s">
        <v>223</v>
      </c>
      <c r="AL106" t="s">
        <v>223</v>
      </c>
      <c r="AM106" t="s">
        <v>223</v>
      </c>
      <c r="AN106" s="9" t="s">
        <v>427</v>
      </c>
    </row>
    <row r="107" spans="1:40">
      <c r="A107" t="s">
        <v>367</v>
      </c>
      <c r="B107">
        <v>52</v>
      </c>
      <c r="C107">
        <v>53</v>
      </c>
      <c r="D107" t="s">
        <v>223</v>
      </c>
      <c r="E107" t="s">
        <v>223</v>
      </c>
      <c r="F107" t="s">
        <v>223</v>
      </c>
      <c r="G107" t="s">
        <v>223</v>
      </c>
      <c r="H107" t="s">
        <v>223</v>
      </c>
      <c r="I107" t="s">
        <v>223</v>
      </c>
      <c r="J107" t="s">
        <v>223</v>
      </c>
      <c r="K107" t="s">
        <v>223</v>
      </c>
      <c r="L107" t="s">
        <v>223</v>
      </c>
      <c r="M107" t="s">
        <v>223</v>
      </c>
      <c r="N107" t="s">
        <v>223</v>
      </c>
      <c r="O107" t="s">
        <v>223</v>
      </c>
      <c r="P107" t="s">
        <v>223</v>
      </c>
      <c r="Q107" t="s">
        <v>223</v>
      </c>
      <c r="R107" t="s">
        <v>223</v>
      </c>
      <c r="S107" t="s">
        <v>223</v>
      </c>
      <c r="T107" t="s">
        <v>223</v>
      </c>
      <c r="U107" t="s">
        <v>223</v>
      </c>
      <c r="V107" t="s">
        <v>223</v>
      </c>
      <c r="W107" t="s">
        <v>223</v>
      </c>
      <c r="X107" t="s">
        <v>223</v>
      </c>
      <c r="Y107" t="s">
        <v>223</v>
      </c>
      <c r="Z107" t="s">
        <v>223</v>
      </c>
      <c r="AA107" t="s">
        <v>223</v>
      </c>
      <c r="AB107" t="s">
        <v>223</v>
      </c>
      <c r="AC107" t="s">
        <v>223</v>
      </c>
      <c r="AD107" t="s">
        <v>223</v>
      </c>
      <c r="AE107" t="s">
        <v>223</v>
      </c>
      <c r="AF107" t="s">
        <v>223</v>
      </c>
      <c r="AG107" t="s">
        <v>223</v>
      </c>
      <c r="AH107" t="s">
        <v>223</v>
      </c>
      <c r="AI107" t="s">
        <v>223</v>
      </c>
      <c r="AJ107" t="s">
        <v>223</v>
      </c>
      <c r="AK107" t="s">
        <v>223</v>
      </c>
      <c r="AL107" t="s">
        <v>223</v>
      </c>
      <c r="AM107" t="s">
        <v>223</v>
      </c>
      <c r="AN107" s="9" t="s">
        <v>428</v>
      </c>
    </row>
    <row r="108" spans="1:40">
      <c r="A108" t="s">
        <v>368</v>
      </c>
      <c r="B108">
        <v>0</v>
      </c>
      <c r="C108" t="s">
        <v>223</v>
      </c>
      <c r="D108" t="s">
        <v>223</v>
      </c>
      <c r="E108" t="s">
        <v>223</v>
      </c>
      <c r="F108" t="s">
        <v>223</v>
      </c>
      <c r="G108" t="s">
        <v>223</v>
      </c>
      <c r="H108" t="s">
        <v>223</v>
      </c>
      <c r="I108" t="s">
        <v>223</v>
      </c>
      <c r="J108" t="s">
        <v>223</v>
      </c>
      <c r="K108" t="s">
        <v>223</v>
      </c>
      <c r="L108" t="s">
        <v>223</v>
      </c>
      <c r="M108" t="s">
        <v>223</v>
      </c>
      <c r="N108" t="s">
        <v>223</v>
      </c>
      <c r="O108" t="s">
        <v>223</v>
      </c>
      <c r="P108" t="s">
        <v>223</v>
      </c>
      <c r="Q108" t="s">
        <v>223</v>
      </c>
      <c r="R108" t="s">
        <v>223</v>
      </c>
      <c r="S108" t="s">
        <v>223</v>
      </c>
      <c r="T108" t="s">
        <v>223</v>
      </c>
      <c r="U108" t="s">
        <v>223</v>
      </c>
      <c r="V108" t="s">
        <v>223</v>
      </c>
      <c r="W108" t="s">
        <v>223</v>
      </c>
      <c r="X108" t="s">
        <v>223</v>
      </c>
      <c r="Y108" t="s">
        <v>223</v>
      </c>
      <c r="Z108" t="s">
        <v>223</v>
      </c>
      <c r="AA108" t="s">
        <v>223</v>
      </c>
      <c r="AB108" t="s">
        <v>223</v>
      </c>
      <c r="AC108" t="s">
        <v>223</v>
      </c>
      <c r="AD108" t="s">
        <v>223</v>
      </c>
      <c r="AE108" t="s">
        <v>223</v>
      </c>
      <c r="AF108" t="s">
        <v>223</v>
      </c>
      <c r="AG108" t="s">
        <v>223</v>
      </c>
      <c r="AH108" t="s">
        <v>223</v>
      </c>
      <c r="AI108" t="s">
        <v>223</v>
      </c>
      <c r="AJ108" t="s">
        <v>223</v>
      </c>
      <c r="AK108" t="s">
        <v>223</v>
      </c>
      <c r="AL108" t="s">
        <v>223</v>
      </c>
      <c r="AM108" t="s">
        <v>223</v>
      </c>
      <c r="AN108" s="9">
        <v>0</v>
      </c>
    </row>
    <row r="109" spans="1:40">
      <c r="A109" t="s">
        <v>368</v>
      </c>
      <c r="B109">
        <v>1</v>
      </c>
      <c r="C109" t="s">
        <v>223</v>
      </c>
      <c r="D109" t="s">
        <v>223</v>
      </c>
      <c r="E109" t="s">
        <v>223</v>
      </c>
      <c r="F109" t="s">
        <v>223</v>
      </c>
      <c r="G109" t="s">
        <v>223</v>
      </c>
      <c r="H109" t="s">
        <v>223</v>
      </c>
      <c r="I109" t="s">
        <v>223</v>
      </c>
      <c r="J109" t="s">
        <v>223</v>
      </c>
      <c r="K109" t="s">
        <v>223</v>
      </c>
      <c r="L109" t="s">
        <v>223</v>
      </c>
      <c r="M109" t="s">
        <v>223</v>
      </c>
      <c r="N109" t="s">
        <v>223</v>
      </c>
      <c r="O109" t="s">
        <v>223</v>
      </c>
      <c r="P109" t="s">
        <v>223</v>
      </c>
      <c r="Q109" t="s">
        <v>223</v>
      </c>
      <c r="R109" t="s">
        <v>223</v>
      </c>
      <c r="S109" t="s">
        <v>223</v>
      </c>
      <c r="T109" t="s">
        <v>223</v>
      </c>
      <c r="U109" t="s">
        <v>223</v>
      </c>
      <c r="V109" t="s">
        <v>223</v>
      </c>
      <c r="W109" t="s">
        <v>223</v>
      </c>
      <c r="X109" t="s">
        <v>223</v>
      </c>
      <c r="Y109" t="s">
        <v>223</v>
      </c>
      <c r="Z109" t="s">
        <v>223</v>
      </c>
      <c r="AA109" t="s">
        <v>223</v>
      </c>
      <c r="AB109" t="s">
        <v>223</v>
      </c>
      <c r="AC109" t="s">
        <v>223</v>
      </c>
      <c r="AD109" t="s">
        <v>223</v>
      </c>
      <c r="AE109" t="s">
        <v>223</v>
      </c>
      <c r="AF109" t="s">
        <v>223</v>
      </c>
      <c r="AG109" t="s">
        <v>223</v>
      </c>
      <c r="AH109" t="s">
        <v>223</v>
      </c>
      <c r="AI109" t="s">
        <v>223</v>
      </c>
      <c r="AJ109" t="s">
        <v>223</v>
      </c>
      <c r="AK109" t="s">
        <v>223</v>
      </c>
      <c r="AL109" t="s">
        <v>223</v>
      </c>
      <c r="AM109" t="s">
        <v>223</v>
      </c>
      <c r="AN109" s="9">
        <v>1</v>
      </c>
    </row>
    <row r="110" spans="1:40">
      <c r="A110" t="s">
        <v>368</v>
      </c>
      <c r="B110">
        <v>2</v>
      </c>
      <c r="C110" t="s">
        <v>223</v>
      </c>
      <c r="D110" t="s">
        <v>223</v>
      </c>
      <c r="E110" t="s">
        <v>223</v>
      </c>
      <c r="F110" t="s">
        <v>223</v>
      </c>
      <c r="G110" t="s">
        <v>223</v>
      </c>
      <c r="H110" t="s">
        <v>223</v>
      </c>
      <c r="I110" t="s">
        <v>223</v>
      </c>
      <c r="J110" t="s">
        <v>223</v>
      </c>
      <c r="K110" t="s">
        <v>223</v>
      </c>
      <c r="L110" t="s">
        <v>223</v>
      </c>
      <c r="M110" t="s">
        <v>223</v>
      </c>
      <c r="N110" t="s">
        <v>223</v>
      </c>
      <c r="O110" t="s">
        <v>223</v>
      </c>
      <c r="P110" t="s">
        <v>223</v>
      </c>
      <c r="Q110" t="s">
        <v>223</v>
      </c>
      <c r="R110" t="s">
        <v>223</v>
      </c>
      <c r="S110" t="s">
        <v>223</v>
      </c>
      <c r="T110" t="s">
        <v>223</v>
      </c>
      <c r="U110" t="s">
        <v>223</v>
      </c>
      <c r="V110" t="s">
        <v>223</v>
      </c>
      <c r="W110" t="s">
        <v>223</v>
      </c>
      <c r="X110" t="s">
        <v>223</v>
      </c>
      <c r="Y110" t="s">
        <v>223</v>
      </c>
      <c r="Z110" t="s">
        <v>223</v>
      </c>
      <c r="AA110" t="s">
        <v>223</v>
      </c>
      <c r="AB110" t="s">
        <v>223</v>
      </c>
      <c r="AC110" t="s">
        <v>223</v>
      </c>
      <c r="AD110" t="s">
        <v>223</v>
      </c>
      <c r="AE110" t="s">
        <v>223</v>
      </c>
      <c r="AF110" t="s">
        <v>223</v>
      </c>
      <c r="AG110" t="s">
        <v>223</v>
      </c>
      <c r="AH110" t="s">
        <v>223</v>
      </c>
      <c r="AI110" t="s">
        <v>223</v>
      </c>
      <c r="AJ110" t="s">
        <v>223</v>
      </c>
      <c r="AK110" t="s">
        <v>223</v>
      </c>
      <c r="AL110" t="s">
        <v>223</v>
      </c>
      <c r="AM110" t="s">
        <v>223</v>
      </c>
      <c r="AN110" s="9">
        <v>2</v>
      </c>
    </row>
    <row r="111" spans="1:40">
      <c r="A111" t="s">
        <v>368</v>
      </c>
      <c r="B111">
        <v>3</v>
      </c>
      <c r="C111" t="s">
        <v>223</v>
      </c>
      <c r="D111" t="s">
        <v>223</v>
      </c>
      <c r="E111" t="s">
        <v>223</v>
      </c>
      <c r="F111" t="s">
        <v>223</v>
      </c>
      <c r="G111" t="s">
        <v>223</v>
      </c>
      <c r="H111" t="s">
        <v>223</v>
      </c>
      <c r="I111" t="s">
        <v>223</v>
      </c>
      <c r="J111" t="s">
        <v>223</v>
      </c>
      <c r="K111" t="s">
        <v>223</v>
      </c>
      <c r="L111" t="s">
        <v>223</v>
      </c>
      <c r="M111" t="s">
        <v>223</v>
      </c>
      <c r="N111" t="s">
        <v>223</v>
      </c>
      <c r="O111" t="s">
        <v>223</v>
      </c>
      <c r="P111" t="s">
        <v>223</v>
      </c>
      <c r="Q111" t="s">
        <v>223</v>
      </c>
      <c r="R111" t="s">
        <v>223</v>
      </c>
      <c r="S111" t="s">
        <v>223</v>
      </c>
      <c r="T111" t="s">
        <v>223</v>
      </c>
      <c r="U111" t="s">
        <v>223</v>
      </c>
      <c r="V111" t="s">
        <v>223</v>
      </c>
      <c r="W111" t="s">
        <v>223</v>
      </c>
      <c r="X111" t="s">
        <v>223</v>
      </c>
      <c r="Y111" t="s">
        <v>223</v>
      </c>
      <c r="Z111" t="s">
        <v>223</v>
      </c>
      <c r="AA111" t="s">
        <v>223</v>
      </c>
      <c r="AB111" t="s">
        <v>223</v>
      </c>
      <c r="AC111" t="s">
        <v>223</v>
      </c>
      <c r="AD111" t="s">
        <v>223</v>
      </c>
      <c r="AE111" t="s">
        <v>223</v>
      </c>
      <c r="AF111" t="s">
        <v>223</v>
      </c>
      <c r="AG111" t="s">
        <v>223</v>
      </c>
      <c r="AH111" t="s">
        <v>223</v>
      </c>
      <c r="AI111" t="s">
        <v>223</v>
      </c>
      <c r="AJ111" t="s">
        <v>223</v>
      </c>
      <c r="AK111" t="s">
        <v>223</v>
      </c>
      <c r="AL111" t="s">
        <v>223</v>
      </c>
      <c r="AM111" t="s">
        <v>223</v>
      </c>
      <c r="AN111" s="9">
        <v>3</v>
      </c>
    </row>
    <row r="112" spans="1:40">
      <c r="A112" t="s">
        <v>368</v>
      </c>
      <c r="B112">
        <v>4</v>
      </c>
      <c r="C112" t="s">
        <v>223</v>
      </c>
      <c r="D112" t="s">
        <v>223</v>
      </c>
      <c r="E112" t="s">
        <v>223</v>
      </c>
      <c r="F112" t="s">
        <v>223</v>
      </c>
      <c r="G112" t="s">
        <v>223</v>
      </c>
      <c r="H112" t="s">
        <v>223</v>
      </c>
      <c r="I112" t="s">
        <v>223</v>
      </c>
      <c r="J112" t="s">
        <v>223</v>
      </c>
      <c r="K112" t="s">
        <v>223</v>
      </c>
      <c r="L112" t="s">
        <v>223</v>
      </c>
      <c r="M112" t="s">
        <v>223</v>
      </c>
      <c r="N112" t="s">
        <v>223</v>
      </c>
      <c r="O112" t="s">
        <v>223</v>
      </c>
      <c r="P112" t="s">
        <v>223</v>
      </c>
      <c r="Q112" t="s">
        <v>223</v>
      </c>
      <c r="R112" t="s">
        <v>223</v>
      </c>
      <c r="S112" t="s">
        <v>223</v>
      </c>
      <c r="T112" t="s">
        <v>223</v>
      </c>
      <c r="U112" t="s">
        <v>223</v>
      </c>
      <c r="V112" t="s">
        <v>223</v>
      </c>
      <c r="W112" t="s">
        <v>223</v>
      </c>
      <c r="X112" t="s">
        <v>223</v>
      </c>
      <c r="Y112" t="s">
        <v>223</v>
      </c>
      <c r="Z112" t="s">
        <v>223</v>
      </c>
      <c r="AA112" t="s">
        <v>223</v>
      </c>
      <c r="AB112" t="s">
        <v>223</v>
      </c>
      <c r="AC112" t="s">
        <v>223</v>
      </c>
      <c r="AD112" t="s">
        <v>223</v>
      </c>
      <c r="AE112" t="s">
        <v>223</v>
      </c>
      <c r="AF112" t="s">
        <v>223</v>
      </c>
      <c r="AG112" t="s">
        <v>223</v>
      </c>
      <c r="AH112" t="s">
        <v>223</v>
      </c>
      <c r="AI112" t="s">
        <v>223</v>
      </c>
      <c r="AJ112" t="s">
        <v>223</v>
      </c>
      <c r="AK112" t="s">
        <v>223</v>
      </c>
      <c r="AL112" t="s">
        <v>223</v>
      </c>
      <c r="AM112" t="s">
        <v>223</v>
      </c>
      <c r="AN112" s="9">
        <v>4</v>
      </c>
    </row>
    <row r="113" spans="1:40">
      <c r="A113" t="s">
        <v>368</v>
      </c>
      <c r="B113">
        <v>5</v>
      </c>
      <c r="C113" t="s">
        <v>223</v>
      </c>
      <c r="D113" t="s">
        <v>223</v>
      </c>
      <c r="E113" t="s">
        <v>223</v>
      </c>
      <c r="F113" t="s">
        <v>223</v>
      </c>
      <c r="G113" t="s">
        <v>223</v>
      </c>
      <c r="H113" t="s">
        <v>223</v>
      </c>
      <c r="I113" t="s">
        <v>223</v>
      </c>
      <c r="J113" t="s">
        <v>223</v>
      </c>
      <c r="K113" t="s">
        <v>223</v>
      </c>
      <c r="L113" t="s">
        <v>223</v>
      </c>
      <c r="M113" t="s">
        <v>223</v>
      </c>
      <c r="N113" t="s">
        <v>223</v>
      </c>
      <c r="O113" t="s">
        <v>223</v>
      </c>
      <c r="P113" t="s">
        <v>223</v>
      </c>
      <c r="Q113" t="s">
        <v>223</v>
      </c>
      <c r="R113" t="s">
        <v>223</v>
      </c>
      <c r="S113" t="s">
        <v>223</v>
      </c>
      <c r="T113" t="s">
        <v>223</v>
      </c>
      <c r="U113" t="s">
        <v>223</v>
      </c>
      <c r="V113" t="s">
        <v>223</v>
      </c>
      <c r="W113" t="s">
        <v>223</v>
      </c>
      <c r="X113" t="s">
        <v>223</v>
      </c>
      <c r="Y113" t="s">
        <v>223</v>
      </c>
      <c r="Z113" t="s">
        <v>223</v>
      </c>
      <c r="AA113" t="s">
        <v>223</v>
      </c>
      <c r="AB113" t="s">
        <v>223</v>
      </c>
      <c r="AC113" t="s">
        <v>223</v>
      </c>
      <c r="AD113" t="s">
        <v>223</v>
      </c>
      <c r="AE113" t="s">
        <v>223</v>
      </c>
      <c r="AF113" t="s">
        <v>223</v>
      </c>
      <c r="AG113" t="s">
        <v>223</v>
      </c>
      <c r="AH113" t="s">
        <v>223</v>
      </c>
      <c r="AI113" t="s">
        <v>223</v>
      </c>
      <c r="AJ113" t="s">
        <v>223</v>
      </c>
      <c r="AK113" t="s">
        <v>223</v>
      </c>
      <c r="AL113" t="s">
        <v>223</v>
      </c>
      <c r="AM113" t="s">
        <v>223</v>
      </c>
      <c r="AN113" s="9">
        <v>5</v>
      </c>
    </row>
    <row r="114" spans="1:40">
      <c r="A114" t="s">
        <v>368</v>
      </c>
      <c r="B114">
        <v>6</v>
      </c>
      <c r="C114" t="s">
        <v>223</v>
      </c>
      <c r="D114" t="s">
        <v>223</v>
      </c>
      <c r="E114" t="s">
        <v>223</v>
      </c>
      <c r="F114" t="s">
        <v>223</v>
      </c>
      <c r="G114" t="s">
        <v>223</v>
      </c>
      <c r="H114" t="s">
        <v>223</v>
      </c>
      <c r="I114" t="s">
        <v>223</v>
      </c>
      <c r="J114" t="s">
        <v>223</v>
      </c>
      <c r="K114" t="s">
        <v>223</v>
      </c>
      <c r="L114" t="s">
        <v>223</v>
      </c>
      <c r="M114" t="s">
        <v>223</v>
      </c>
      <c r="N114" t="s">
        <v>223</v>
      </c>
      <c r="O114" t="s">
        <v>223</v>
      </c>
      <c r="P114" t="s">
        <v>223</v>
      </c>
      <c r="Q114" t="s">
        <v>223</v>
      </c>
      <c r="R114" t="s">
        <v>223</v>
      </c>
      <c r="S114" t="s">
        <v>223</v>
      </c>
      <c r="T114" t="s">
        <v>223</v>
      </c>
      <c r="U114" t="s">
        <v>223</v>
      </c>
      <c r="V114" t="s">
        <v>223</v>
      </c>
      <c r="W114" t="s">
        <v>223</v>
      </c>
      <c r="X114" t="s">
        <v>223</v>
      </c>
      <c r="Y114" t="s">
        <v>223</v>
      </c>
      <c r="Z114" t="s">
        <v>223</v>
      </c>
      <c r="AA114" t="s">
        <v>223</v>
      </c>
      <c r="AB114" t="s">
        <v>223</v>
      </c>
      <c r="AC114" t="s">
        <v>223</v>
      </c>
      <c r="AD114" t="s">
        <v>223</v>
      </c>
      <c r="AE114" t="s">
        <v>223</v>
      </c>
      <c r="AF114" t="s">
        <v>223</v>
      </c>
      <c r="AG114" t="s">
        <v>223</v>
      </c>
      <c r="AH114" t="s">
        <v>223</v>
      </c>
      <c r="AI114" t="s">
        <v>223</v>
      </c>
      <c r="AJ114" t="s">
        <v>223</v>
      </c>
      <c r="AK114" t="s">
        <v>223</v>
      </c>
      <c r="AL114" t="s">
        <v>223</v>
      </c>
      <c r="AM114" t="s">
        <v>223</v>
      </c>
      <c r="AN114" s="9">
        <v>6</v>
      </c>
    </row>
    <row r="115" spans="1:40">
      <c r="A115" t="s">
        <v>368</v>
      </c>
      <c r="B115">
        <v>7</v>
      </c>
      <c r="C115" t="s">
        <v>223</v>
      </c>
      <c r="D115" t="s">
        <v>223</v>
      </c>
      <c r="E115" t="s">
        <v>223</v>
      </c>
      <c r="F115" t="s">
        <v>223</v>
      </c>
      <c r="G115" t="s">
        <v>223</v>
      </c>
      <c r="H115" t="s">
        <v>223</v>
      </c>
      <c r="I115" t="s">
        <v>223</v>
      </c>
      <c r="J115" t="s">
        <v>223</v>
      </c>
      <c r="K115" t="s">
        <v>223</v>
      </c>
      <c r="L115" t="s">
        <v>223</v>
      </c>
      <c r="M115" t="s">
        <v>223</v>
      </c>
      <c r="N115" t="s">
        <v>223</v>
      </c>
      <c r="O115" t="s">
        <v>223</v>
      </c>
      <c r="P115" t="s">
        <v>223</v>
      </c>
      <c r="Q115" t="s">
        <v>223</v>
      </c>
      <c r="R115" t="s">
        <v>223</v>
      </c>
      <c r="S115" t="s">
        <v>223</v>
      </c>
      <c r="T115" t="s">
        <v>223</v>
      </c>
      <c r="U115" t="s">
        <v>223</v>
      </c>
      <c r="V115" t="s">
        <v>223</v>
      </c>
      <c r="W115" t="s">
        <v>223</v>
      </c>
      <c r="X115" t="s">
        <v>223</v>
      </c>
      <c r="Y115" t="s">
        <v>223</v>
      </c>
      <c r="Z115" t="s">
        <v>223</v>
      </c>
      <c r="AA115" t="s">
        <v>223</v>
      </c>
      <c r="AB115" t="s">
        <v>223</v>
      </c>
      <c r="AC115" t="s">
        <v>223</v>
      </c>
      <c r="AD115" t="s">
        <v>223</v>
      </c>
      <c r="AE115" t="s">
        <v>223</v>
      </c>
      <c r="AF115" t="s">
        <v>223</v>
      </c>
      <c r="AG115" t="s">
        <v>223</v>
      </c>
      <c r="AH115" t="s">
        <v>223</v>
      </c>
      <c r="AI115" t="s">
        <v>223</v>
      </c>
      <c r="AJ115" t="s">
        <v>223</v>
      </c>
      <c r="AK115" t="s">
        <v>223</v>
      </c>
      <c r="AL115" t="s">
        <v>223</v>
      </c>
      <c r="AM115" t="s">
        <v>223</v>
      </c>
      <c r="AN115" s="9">
        <v>7</v>
      </c>
    </row>
    <row r="116" spans="1:40">
      <c r="A116" t="s">
        <v>368</v>
      </c>
      <c r="B116">
        <v>8</v>
      </c>
      <c r="C116" t="s">
        <v>223</v>
      </c>
      <c r="D116" t="s">
        <v>223</v>
      </c>
      <c r="E116" t="s">
        <v>223</v>
      </c>
      <c r="F116" t="s">
        <v>223</v>
      </c>
      <c r="G116" t="s">
        <v>223</v>
      </c>
      <c r="H116" t="s">
        <v>223</v>
      </c>
      <c r="I116" t="s">
        <v>223</v>
      </c>
      <c r="J116" t="s">
        <v>223</v>
      </c>
      <c r="K116" t="s">
        <v>223</v>
      </c>
      <c r="L116" t="s">
        <v>223</v>
      </c>
      <c r="M116" t="s">
        <v>223</v>
      </c>
      <c r="N116" t="s">
        <v>223</v>
      </c>
      <c r="O116" t="s">
        <v>223</v>
      </c>
      <c r="P116" t="s">
        <v>223</v>
      </c>
      <c r="Q116" t="s">
        <v>223</v>
      </c>
      <c r="R116" t="s">
        <v>223</v>
      </c>
      <c r="S116" t="s">
        <v>223</v>
      </c>
      <c r="T116" t="s">
        <v>223</v>
      </c>
      <c r="U116" t="s">
        <v>223</v>
      </c>
      <c r="V116" t="s">
        <v>223</v>
      </c>
      <c r="W116" t="s">
        <v>223</v>
      </c>
      <c r="X116" t="s">
        <v>223</v>
      </c>
      <c r="Y116" t="s">
        <v>223</v>
      </c>
      <c r="Z116" t="s">
        <v>223</v>
      </c>
      <c r="AA116" t="s">
        <v>223</v>
      </c>
      <c r="AB116" t="s">
        <v>223</v>
      </c>
      <c r="AC116" t="s">
        <v>223</v>
      </c>
      <c r="AD116" t="s">
        <v>223</v>
      </c>
      <c r="AE116" t="s">
        <v>223</v>
      </c>
      <c r="AF116" t="s">
        <v>223</v>
      </c>
      <c r="AG116" t="s">
        <v>223</v>
      </c>
      <c r="AH116" t="s">
        <v>223</v>
      </c>
      <c r="AI116" t="s">
        <v>223</v>
      </c>
      <c r="AJ116" t="s">
        <v>223</v>
      </c>
      <c r="AK116" t="s">
        <v>223</v>
      </c>
      <c r="AL116" t="s">
        <v>223</v>
      </c>
      <c r="AM116" t="s">
        <v>223</v>
      </c>
      <c r="AN116" s="9">
        <v>8</v>
      </c>
    </row>
    <row r="117" spans="1:40">
      <c r="A117" t="s">
        <v>368</v>
      </c>
      <c r="B117">
        <v>9</v>
      </c>
      <c r="C117" t="s">
        <v>223</v>
      </c>
      <c r="D117" t="s">
        <v>223</v>
      </c>
      <c r="E117" t="s">
        <v>223</v>
      </c>
      <c r="F117" t="s">
        <v>223</v>
      </c>
      <c r="G117" t="s">
        <v>223</v>
      </c>
      <c r="H117" t="s">
        <v>223</v>
      </c>
      <c r="I117" t="s">
        <v>223</v>
      </c>
      <c r="J117" t="s">
        <v>223</v>
      </c>
      <c r="K117" t="s">
        <v>223</v>
      </c>
      <c r="L117" t="s">
        <v>223</v>
      </c>
      <c r="M117" t="s">
        <v>223</v>
      </c>
      <c r="N117" t="s">
        <v>223</v>
      </c>
      <c r="O117" t="s">
        <v>223</v>
      </c>
      <c r="P117" t="s">
        <v>223</v>
      </c>
      <c r="Q117" t="s">
        <v>223</v>
      </c>
      <c r="R117" t="s">
        <v>223</v>
      </c>
      <c r="S117" t="s">
        <v>223</v>
      </c>
      <c r="T117" t="s">
        <v>223</v>
      </c>
      <c r="U117" t="s">
        <v>223</v>
      </c>
      <c r="V117" t="s">
        <v>223</v>
      </c>
      <c r="W117" t="s">
        <v>223</v>
      </c>
      <c r="X117" t="s">
        <v>223</v>
      </c>
      <c r="Y117" t="s">
        <v>223</v>
      </c>
      <c r="Z117" t="s">
        <v>223</v>
      </c>
      <c r="AA117" t="s">
        <v>223</v>
      </c>
      <c r="AB117" t="s">
        <v>223</v>
      </c>
      <c r="AC117" t="s">
        <v>223</v>
      </c>
      <c r="AD117" t="s">
        <v>223</v>
      </c>
      <c r="AE117" t="s">
        <v>223</v>
      </c>
      <c r="AF117" t="s">
        <v>223</v>
      </c>
      <c r="AG117" t="s">
        <v>223</v>
      </c>
      <c r="AH117" t="s">
        <v>223</v>
      </c>
      <c r="AI117" t="s">
        <v>223</v>
      </c>
      <c r="AJ117" t="s">
        <v>223</v>
      </c>
      <c r="AK117" t="s">
        <v>223</v>
      </c>
      <c r="AL117" t="s">
        <v>223</v>
      </c>
      <c r="AM117" t="s">
        <v>223</v>
      </c>
      <c r="AN117" s="9">
        <v>9</v>
      </c>
    </row>
    <row r="118" spans="1:40">
      <c r="A118" t="s">
        <v>368</v>
      </c>
      <c r="B118">
        <v>10</v>
      </c>
      <c r="C118" t="s">
        <v>223</v>
      </c>
      <c r="D118" t="s">
        <v>223</v>
      </c>
      <c r="E118" t="s">
        <v>223</v>
      </c>
      <c r="F118" t="s">
        <v>223</v>
      </c>
      <c r="G118" t="s">
        <v>223</v>
      </c>
      <c r="H118" t="s">
        <v>223</v>
      </c>
      <c r="I118" t="s">
        <v>223</v>
      </c>
      <c r="J118" t="s">
        <v>223</v>
      </c>
      <c r="K118" t="s">
        <v>223</v>
      </c>
      <c r="L118" t="s">
        <v>223</v>
      </c>
      <c r="M118" t="s">
        <v>223</v>
      </c>
      <c r="N118" t="s">
        <v>223</v>
      </c>
      <c r="O118" t="s">
        <v>223</v>
      </c>
      <c r="P118" t="s">
        <v>223</v>
      </c>
      <c r="Q118" t="s">
        <v>223</v>
      </c>
      <c r="R118" t="s">
        <v>223</v>
      </c>
      <c r="S118" t="s">
        <v>223</v>
      </c>
      <c r="T118" t="s">
        <v>223</v>
      </c>
      <c r="U118" t="s">
        <v>223</v>
      </c>
      <c r="V118" t="s">
        <v>223</v>
      </c>
      <c r="W118" t="s">
        <v>223</v>
      </c>
      <c r="X118" t="s">
        <v>223</v>
      </c>
      <c r="Y118" t="s">
        <v>223</v>
      </c>
      <c r="Z118" t="s">
        <v>223</v>
      </c>
      <c r="AA118" t="s">
        <v>223</v>
      </c>
      <c r="AB118" t="s">
        <v>223</v>
      </c>
      <c r="AC118" t="s">
        <v>223</v>
      </c>
      <c r="AD118" t="s">
        <v>223</v>
      </c>
      <c r="AE118" t="s">
        <v>223</v>
      </c>
      <c r="AF118" t="s">
        <v>223</v>
      </c>
      <c r="AG118" t="s">
        <v>223</v>
      </c>
      <c r="AH118" t="s">
        <v>223</v>
      </c>
      <c r="AI118" t="s">
        <v>223</v>
      </c>
      <c r="AJ118" t="s">
        <v>223</v>
      </c>
      <c r="AK118" t="s">
        <v>223</v>
      </c>
      <c r="AL118" t="s">
        <v>223</v>
      </c>
      <c r="AM118" t="s">
        <v>223</v>
      </c>
      <c r="AN118" s="9">
        <v>10</v>
      </c>
    </row>
    <row r="119" spans="1:40">
      <c r="A119" t="s">
        <v>368</v>
      </c>
      <c r="B119">
        <v>11</v>
      </c>
      <c r="C119" t="s">
        <v>223</v>
      </c>
      <c r="D119" t="s">
        <v>223</v>
      </c>
      <c r="E119" t="s">
        <v>223</v>
      </c>
      <c r="F119" t="s">
        <v>223</v>
      </c>
      <c r="G119" t="s">
        <v>223</v>
      </c>
      <c r="H119" t="s">
        <v>223</v>
      </c>
      <c r="I119" t="s">
        <v>223</v>
      </c>
      <c r="J119" t="s">
        <v>223</v>
      </c>
      <c r="K119" t="s">
        <v>223</v>
      </c>
      <c r="L119" t="s">
        <v>223</v>
      </c>
      <c r="M119" t="s">
        <v>223</v>
      </c>
      <c r="N119" t="s">
        <v>223</v>
      </c>
      <c r="O119" t="s">
        <v>223</v>
      </c>
      <c r="P119" t="s">
        <v>223</v>
      </c>
      <c r="Q119" t="s">
        <v>223</v>
      </c>
      <c r="R119" t="s">
        <v>223</v>
      </c>
      <c r="S119" t="s">
        <v>223</v>
      </c>
      <c r="T119" t="s">
        <v>223</v>
      </c>
      <c r="U119" t="s">
        <v>223</v>
      </c>
      <c r="V119" t="s">
        <v>223</v>
      </c>
      <c r="W119" t="s">
        <v>223</v>
      </c>
      <c r="X119" t="s">
        <v>223</v>
      </c>
      <c r="Y119" t="s">
        <v>223</v>
      </c>
      <c r="Z119" t="s">
        <v>223</v>
      </c>
      <c r="AA119" t="s">
        <v>223</v>
      </c>
      <c r="AB119" t="s">
        <v>223</v>
      </c>
      <c r="AC119" t="s">
        <v>223</v>
      </c>
      <c r="AD119" t="s">
        <v>223</v>
      </c>
      <c r="AE119" t="s">
        <v>223</v>
      </c>
      <c r="AF119" t="s">
        <v>223</v>
      </c>
      <c r="AG119" t="s">
        <v>223</v>
      </c>
      <c r="AH119" t="s">
        <v>223</v>
      </c>
      <c r="AI119" t="s">
        <v>223</v>
      </c>
      <c r="AJ119" t="s">
        <v>223</v>
      </c>
      <c r="AK119" t="s">
        <v>223</v>
      </c>
      <c r="AL119" t="s">
        <v>223</v>
      </c>
      <c r="AM119" t="s">
        <v>223</v>
      </c>
      <c r="AN119" s="9">
        <v>11</v>
      </c>
    </row>
    <row r="120" spans="1:40">
      <c r="A120" t="s">
        <v>368</v>
      </c>
      <c r="B120">
        <v>12</v>
      </c>
      <c r="C120" t="s">
        <v>223</v>
      </c>
      <c r="D120" t="s">
        <v>223</v>
      </c>
      <c r="E120" t="s">
        <v>223</v>
      </c>
      <c r="F120" t="s">
        <v>223</v>
      </c>
      <c r="G120" t="s">
        <v>223</v>
      </c>
      <c r="H120" t="s">
        <v>223</v>
      </c>
      <c r="I120" t="s">
        <v>223</v>
      </c>
      <c r="J120" t="s">
        <v>223</v>
      </c>
      <c r="K120" t="s">
        <v>223</v>
      </c>
      <c r="L120" t="s">
        <v>223</v>
      </c>
      <c r="M120" t="s">
        <v>223</v>
      </c>
      <c r="N120" t="s">
        <v>223</v>
      </c>
      <c r="O120" t="s">
        <v>223</v>
      </c>
      <c r="P120" t="s">
        <v>223</v>
      </c>
      <c r="Q120" t="s">
        <v>223</v>
      </c>
      <c r="R120" t="s">
        <v>223</v>
      </c>
      <c r="S120" t="s">
        <v>223</v>
      </c>
      <c r="T120" t="s">
        <v>223</v>
      </c>
      <c r="U120" t="s">
        <v>223</v>
      </c>
      <c r="V120" t="s">
        <v>223</v>
      </c>
      <c r="W120" t="s">
        <v>223</v>
      </c>
      <c r="X120" t="s">
        <v>223</v>
      </c>
      <c r="Y120" t="s">
        <v>223</v>
      </c>
      <c r="Z120" t="s">
        <v>223</v>
      </c>
      <c r="AA120" t="s">
        <v>223</v>
      </c>
      <c r="AB120" t="s">
        <v>223</v>
      </c>
      <c r="AC120" t="s">
        <v>223</v>
      </c>
      <c r="AD120" t="s">
        <v>223</v>
      </c>
      <c r="AE120" t="s">
        <v>223</v>
      </c>
      <c r="AF120" t="s">
        <v>223</v>
      </c>
      <c r="AG120" t="s">
        <v>223</v>
      </c>
      <c r="AH120" t="s">
        <v>223</v>
      </c>
      <c r="AI120" t="s">
        <v>223</v>
      </c>
      <c r="AJ120" t="s">
        <v>223</v>
      </c>
      <c r="AK120" t="s">
        <v>223</v>
      </c>
      <c r="AL120" t="s">
        <v>223</v>
      </c>
      <c r="AM120" t="s">
        <v>223</v>
      </c>
      <c r="AN120" s="9">
        <v>12</v>
      </c>
    </row>
    <row r="121" spans="1:40">
      <c r="A121" t="s">
        <v>368</v>
      </c>
      <c r="B121">
        <v>13</v>
      </c>
      <c r="C121" t="s">
        <v>223</v>
      </c>
      <c r="D121" t="s">
        <v>223</v>
      </c>
      <c r="E121" t="s">
        <v>223</v>
      </c>
      <c r="F121" t="s">
        <v>223</v>
      </c>
      <c r="G121" t="s">
        <v>223</v>
      </c>
      <c r="H121" t="s">
        <v>223</v>
      </c>
      <c r="I121" t="s">
        <v>223</v>
      </c>
      <c r="J121" t="s">
        <v>223</v>
      </c>
      <c r="K121" t="s">
        <v>223</v>
      </c>
      <c r="L121" t="s">
        <v>223</v>
      </c>
      <c r="M121" t="s">
        <v>223</v>
      </c>
      <c r="N121" t="s">
        <v>223</v>
      </c>
      <c r="O121" t="s">
        <v>223</v>
      </c>
      <c r="P121" t="s">
        <v>223</v>
      </c>
      <c r="Q121" t="s">
        <v>223</v>
      </c>
      <c r="R121" t="s">
        <v>223</v>
      </c>
      <c r="S121" t="s">
        <v>223</v>
      </c>
      <c r="T121" t="s">
        <v>223</v>
      </c>
      <c r="U121" t="s">
        <v>223</v>
      </c>
      <c r="V121" t="s">
        <v>223</v>
      </c>
      <c r="W121" t="s">
        <v>223</v>
      </c>
      <c r="X121" t="s">
        <v>223</v>
      </c>
      <c r="Y121" t="s">
        <v>223</v>
      </c>
      <c r="Z121" t="s">
        <v>223</v>
      </c>
      <c r="AA121" t="s">
        <v>223</v>
      </c>
      <c r="AB121" t="s">
        <v>223</v>
      </c>
      <c r="AC121" t="s">
        <v>223</v>
      </c>
      <c r="AD121" t="s">
        <v>223</v>
      </c>
      <c r="AE121" t="s">
        <v>223</v>
      </c>
      <c r="AF121" t="s">
        <v>223</v>
      </c>
      <c r="AG121" t="s">
        <v>223</v>
      </c>
      <c r="AH121" t="s">
        <v>223</v>
      </c>
      <c r="AI121" t="s">
        <v>223</v>
      </c>
      <c r="AJ121" t="s">
        <v>223</v>
      </c>
      <c r="AK121" t="s">
        <v>223</v>
      </c>
      <c r="AL121" t="s">
        <v>223</v>
      </c>
      <c r="AM121" t="s">
        <v>223</v>
      </c>
      <c r="AN121" s="9">
        <v>13</v>
      </c>
    </row>
    <row r="122" spans="1:40">
      <c r="A122" t="s">
        <v>368</v>
      </c>
      <c r="B122">
        <v>14</v>
      </c>
      <c r="C122" t="s">
        <v>223</v>
      </c>
      <c r="D122" t="s">
        <v>223</v>
      </c>
      <c r="E122" t="s">
        <v>223</v>
      </c>
      <c r="F122" t="s">
        <v>223</v>
      </c>
      <c r="G122" t="s">
        <v>223</v>
      </c>
      <c r="H122" t="s">
        <v>223</v>
      </c>
      <c r="I122" t="s">
        <v>223</v>
      </c>
      <c r="J122" t="s">
        <v>223</v>
      </c>
      <c r="K122" t="s">
        <v>223</v>
      </c>
      <c r="L122" t="s">
        <v>223</v>
      </c>
      <c r="M122" t="s">
        <v>223</v>
      </c>
      <c r="N122" t="s">
        <v>223</v>
      </c>
      <c r="O122" t="s">
        <v>223</v>
      </c>
      <c r="P122" t="s">
        <v>223</v>
      </c>
      <c r="Q122" t="s">
        <v>223</v>
      </c>
      <c r="R122" t="s">
        <v>223</v>
      </c>
      <c r="S122" t="s">
        <v>223</v>
      </c>
      <c r="T122" t="s">
        <v>223</v>
      </c>
      <c r="U122" t="s">
        <v>223</v>
      </c>
      <c r="V122" t="s">
        <v>223</v>
      </c>
      <c r="W122" t="s">
        <v>223</v>
      </c>
      <c r="X122" t="s">
        <v>223</v>
      </c>
      <c r="Y122" t="s">
        <v>223</v>
      </c>
      <c r="Z122" t="s">
        <v>223</v>
      </c>
      <c r="AA122" t="s">
        <v>223</v>
      </c>
      <c r="AB122" t="s">
        <v>223</v>
      </c>
      <c r="AC122" t="s">
        <v>223</v>
      </c>
      <c r="AD122" t="s">
        <v>223</v>
      </c>
      <c r="AE122" t="s">
        <v>223</v>
      </c>
      <c r="AF122" t="s">
        <v>223</v>
      </c>
      <c r="AG122" t="s">
        <v>223</v>
      </c>
      <c r="AH122" t="s">
        <v>223</v>
      </c>
      <c r="AI122" t="s">
        <v>223</v>
      </c>
      <c r="AJ122" t="s">
        <v>223</v>
      </c>
      <c r="AK122" t="s">
        <v>223</v>
      </c>
      <c r="AL122" t="s">
        <v>223</v>
      </c>
      <c r="AM122" t="s">
        <v>223</v>
      </c>
      <c r="AN122" s="9">
        <v>14</v>
      </c>
    </row>
    <row r="123" spans="1:40">
      <c r="A123" t="s">
        <v>368</v>
      </c>
      <c r="B123">
        <v>15</v>
      </c>
      <c r="C123" t="s">
        <v>223</v>
      </c>
      <c r="D123" t="s">
        <v>223</v>
      </c>
      <c r="E123" t="s">
        <v>223</v>
      </c>
      <c r="F123" t="s">
        <v>223</v>
      </c>
      <c r="G123" t="s">
        <v>223</v>
      </c>
      <c r="H123" t="s">
        <v>223</v>
      </c>
      <c r="I123" t="s">
        <v>223</v>
      </c>
      <c r="J123" t="s">
        <v>223</v>
      </c>
      <c r="K123" t="s">
        <v>223</v>
      </c>
      <c r="L123" t="s">
        <v>223</v>
      </c>
      <c r="M123" t="s">
        <v>223</v>
      </c>
      <c r="N123" t="s">
        <v>223</v>
      </c>
      <c r="O123" t="s">
        <v>223</v>
      </c>
      <c r="P123" t="s">
        <v>223</v>
      </c>
      <c r="Q123" t="s">
        <v>223</v>
      </c>
      <c r="R123" t="s">
        <v>223</v>
      </c>
      <c r="S123" t="s">
        <v>223</v>
      </c>
      <c r="T123" t="s">
        <v>223</v>
      </c>
      <c r="U123" t="s">
        <v>223</v>
      </c>
      <c r="V123" t="s">
        <v>223</v>
      </c>
      <c r="W123" t="s">
        <v>223</v>
      </c>
      <c r="X123" t="s">
        <v>223</v>
      </c>
      <c r="Y123" t="s">
        <v>223</v>
      </c>
      <c r="Z123" t="s">
        <v>223</v>
      </c>
      <c r="AA123" t="s">
        <v>223</v>
      </c>
      <c r="AB123" t="s">
        <v>223</v>
      </c>
      <c r="AC123" t="s">
        <v>223</v>
      </c>
      <c r="AD123" t="s">
        <v>223</v>
      </c>
      <c r="AE123" t="s">
        <v>223</v>
      </c>
      <c r="AF123" t="s">
        <v>223</v>
      </c>
      <c r="AG123" t="s">
        <v>223</v>
      </c>
      <c r="AH123" t="s">
        <v>223</v>
      </c>
      <c r="AI123" t="s">
        <v>223</v>
      </c>
      <c r="AJ123" t="s">
        <v>223</v>
      </c>
      <c r="AK123" t="s">
        <v>223</v>
      </c>
      <c r="AL123" t="s">
        <v>223</v>
      </c>
      <c r="AM123" t="s">
        <v>223</v>
      </c>
      <c r="AN123" s="9">
        <v>15</v>
      </c>
    </row>
    <row r="124" spans="1:40">
      <c r="A124" t="s">
        <v>368</v>
      </c>
      <c r="B124">
        <v>16</v>
      </c>
      <c r="C124" t="s">
        <v>223</v>
      </c>
      <c r="D124" t="s">
        <v>223</v>
      </c>
      <c r="E124" t="s">
        <v>223</v>
      </c>
      <c r="F124" t="s">
        <v>223</v>
      </c>
      <c r="G124" t="s">
        <v>223</v>
      </c>
      <c r="H124" t="s">
        <v>223</v>
      </c>
      <c r="I124" t="s">
        <v>223</v>
      </c>
      <c r="J124" t="s">
        <v>223</v>
      </c>
      <c r="K124" t="s">
        <v>223</v>
      </c>
      <c r="L124" t="s">
        <v>223</v>
      </c>
      <c r="M124" t="s">
        <v>223</v>
      </c>
      <c r="N124" t="s">
        <v>223</v>
      </c>
      <c r="O124" t="s">
        <v>223</v>
      </c>
      <c r="P124" t="s">
        <v>223</v>
      </c>
      <c r="Q124" t="s">
        <v>223</v>
      </c>
      <c r="R124" t="s">
        <v>223</v>
      </c>
      <c r="S124" t="s">
        <v>223</v>
      </c>
      <c r="T124" t="s">
        <v>223</v>
      </c>
      <c r="U124" t="s">
        <v>223</v>
      </c>
      <c r="V124" t="s">
        <v>223</v>
      </c>
      <c r="W124" t="s">
        <v>223</v>
      </c>
      <c r="X124" t="s">
        <v>223</v>
      </c>
      <c r="Y124" t="s">
        <v>223</v>
      </c>
      <c r="Z124" t="s">
        <v>223</v>
      </c>
      <c r="AA124" t="s">
        <v>223</v>
      </c>
      <c r="AB124" t="s">
        <v>223</v>
      </c>
      <c r="AC124" t="s">
        <v>223</v>
      </c>
      <c r="AD124" t="s">
        <v>223</v>
      </c>
      <c r="AE124" t="s">
        <v>223</v>
      </c>
      <c r="AF124" t="s">
        <v>223</v>
      </c>
      <c r="AG124" t="s">
        <v>223</v>
      </c>
      <c r="AH124" t="s">
        <v>223</v>
      </c>
      <c r="AI124" t="s">
        <v>223</v>
      </c>
      <c r="AJ124" t="s">
        <v>223</v>
      </c>
      <c r="AK124" t="s">
        <v>223</v>
      </c>
      <c r="AL124" t="s">
        <v>223</v>
      </c>
      <c r="AM124" t="s">
        <v>223</v>
      </c>
      <c r="AN124" s="9">
        <v>16</v>
      </c>
    </row>
    <row r="125" spans="1:40">
      <c r="A125" t="s">
        <v>368</v>
      </c>
      <c r="B125">
        <v>17</v>
      </c>
      <c r="C125" t="s">
        <v>223</v>
      </c>
      <c r="D125" t="s">
        <v>223</v>
      </c>
      <c r="E125" t="s">
        <v>223</v>
      </c>
      <c r="F125" t="s">
        <v>223</v>
      </c>
      <c r="G125" t="s">
        <v>223</v>
      </c>
      <c r="H125" t="s">
        <v>223</v>
      </c>
      <c r="I125" t="s">
        <v>223</v>
      </c>
      <c r="J125" t="s">
        <v>223</v>
      </c>
      <c r="K125" t="s">
        <v>223</v>
      </c>
      <c r="L125" t="s">
        <v>223</v>
      </c>
      <c r="M125" t="s">
        <v>223</v>
      </c>
      <c r="N125" t="s">
        <v>223</v>
      </c>
      <c r="O125" t="s">
        <v>223</v>
      </c>
      <c r="P125" t="s">
        <v>223</v>
      </c>
      <c r="Q125" t="s">
        <v>223</v>
      </c>
      <c r="R125" t="s">
        <v>223</v>
      </c>
      <c r="S125" t="s">
        <v>223</v>
      </c>
      <c r="T125" t="s">
        <v>223</v>
      </c>
      <c r="U125" t="s">
        <v>223</v>
      </c>
      <c r="V125" t="s">
        <v>223</v>
      </c>
      <c r="W125" t="s">
        <v>223</v>
      </c>
      <c r="X125" t="s">
        <v>223</v>
      </c>
      <c r="Y125" t="s">
        <v>223</v>
      </c>
      <c r="Z125" t="s">
        <v>223</v>
      </c>
      <c r="AA125" t="s">
        <v>223</v>
      </c>
      <c r="AB125" t="s">
        <v>223</v>
      </c>
      <c r="AC125" t="s">
        <v>223</v>
      </c>
      <c r="AD125" t="s">
        <v>223</v>
      </c>
      <c r="AE125" t="s">
        <v>223</v>
      </c>
      <c r="AF125" t="s">
        <v>223</v>
      </c>
      <c r="AG125" t="s">
        <v>223</v>
      </c>
      <c r="AH125" t="s">
        <v>223</v>
      </c>
      <c r="AI125" t="s">
        <v>223</v>
      </c>
      <c r="AJ125" t="s">
        <v>223</v>
      </c>
      <c r="AK125" t="s">
        <v>223</v>
      </c>
      <c r="AL125" t="s">
        <v>223</v>
      </c>
      <c r="AM125" t="s">
        <v>223</v>
      </c>
      <c r="AN125" s="9">
        <v>17</v>
      </c>
    </row>
    <row r="126" spans="1:40">
      <c r="A126" t="s">
        <v>368</v>
      </c>
      <c r="B126">
        <v>18</v>
      </c>
      <c r="C126" t="s">
        <v>223</v>
      </c>
      <c r="D126" t="s">
        <v>223</v>
      </c>
      <c r="E126" t="s">
        <v>223</v>
      </c>
      <c r="F126" t="s">
        <v>223</v>
      </c>
      <c r="G126" t="s">
        <v>223</v>
      </c>
      <c r="H126" t="s">
        <v>223</v>
      </c>
      <c r="I126" t="s">
        <v>223</v>
      </c>
      <c r="J126" t="s">
        <v>223</v>
      </c>
      <c r="K126" t="s">
        <v>223</v>
      </c>
      <c r="L126" t="s">
        <v>223</v>
      </c>
      <c r="M126" t="s">
        <v>223</v>
      </c>
      <c r="N126" t="s">
        <v>223</v>
      </c>
      <c r="O126" t="s">
        <v>223</v>
      </c>
      <c r="P126" t="s">
        <v>223</v>
      </c>
      <c r="Q126" t="s">
        <v>223</v>
      </c>
      <c r="R126" t="s">
        <v>223</v>
      </c>
      <c r="S126" t="s">
        <v>223</v>
      </c>
      <c r="T126" t="s">
        <v>223</v>
      </c>
      <c r="U126" t="s">
        <v>223</v>
      </c>
      <c r="V126" t="s">
        <v>223</v>
      </c>
      <c r="W126" t="s">
        <v>223</v>
      </c>
      <c r="X126" t="s">
        <v>223</v>
      </c>
      <c r="Y126" t="s">
        <v>223</v>
      </c>
      <c r="Z126" t="s">
        <v>223</v>
      </c>
      <c r="AA126" t="s">
        <v>223</v>
      </c>
      <c r="AB126" t="s">
        <v>223</v>
      </c>
      <c r="AC126" t="s">
        <v>223</v>
      </c>
      <c r="AD126" t="s">
        <v>223</v>
      </c>
      <c r="AE126" t="s">
        <v>223</v>
      </c>
      <c r="AF126" t="s">
        <v>223</v>
      </c>
      <c r="AG126" t="s">
        <v>223</v>
      </c>
      <c r="AH126" t="s">
        <v>223</v>
      </c>
      <c r="AI126" t="s">
        <v>223</v>
      </c>
      <c r="AJ126" t="s">
        <v>223</v>
      </c>
      <c r="AK126" t="s">
        <v>223</v>
      </c>
      <c r="AL126" t="s">
        <v>223</v>
      </c>
      <c r="AM126" t="s">
        <v>223</v>
      </c>
      <c r="AN126" s="9">
        <v>18</v>
      </c>
    </row>
    <row r="127" spans="1:40">
      <c r="A127" t="s">
        <v>368</v>
      </c>
      <c r="B127">
        <v>19</v>
      </c>
      <c r="C127" t="s">
        <v>223</v>
      </c>
      <c r="D127" t="s">
        <v>223</v>
      </c>
      <c r="E127" t="s">
        <v>223</v>
      </c>
      <c r="F127" t="s">
        <v>223</v>
      </c>
      <c r="G127" t="s">
        <v>223</v>
      </c>
      <c r="H127" t="s">
        <v>223</v>
      </c>
      <c r="I127" t="s">
        <v>223</v>
      </c>
      <c r="J127" t="s">
        <v>223</v>
      </c>
      <c r="K127" t="s">
        <v>223</v>
      </c>
      <c r="L127" t="s">
        <v>223</v>
      </c>
      <c r="M127" t="s">
        <v>223</v>
      </c>
      <c r="N127" t="s">
        <v>223</v>
      </c>
      <c r="O127" t="s">
        <v>223</v>
      </c>
      <c r="P127" t="s">
        <v>223</v>
      </c>
      <c r="Q127" t="s">
        <v>223</v>
      </c>
      <c r="R127" t="s">
        <v>223</v>
      </c>
      <c r="S127" t="s">
        <v>223</v>
      </c>
      <c r="T127" t="s">
        <v>223</v>
      </c>
      <c r="U127" t="s">
        <v>223</v>
      </c>
      <c r="V127" t="s">
        <v>223</v>
      </c>
      <c r="W127" t="s">
        <v>223</v>
      </c>
      <c r="X127" t="s">
        <v>223</v>
      </c>
      <c r="Y127" t="s">
        <v>223</v>
      </c>
      <c r="Z127" t="s">
        <v>223</v>
      </c>
      <c r="AA127" t="s">
        <v>223</v>
      </c>
      <c r="AB127" t="s">
        <v>223</v>
      </c>
      <c r="AC127" t="s">
        <v>223</v>
      </c>
      <c r="AD127" t="s">
        <v>223</v>
      </c>
      <c r="AE127" t="s">
        <v>223</v>
      </c>
      <c r="AF127" t="s">
        <v>223</v>
      </c>
      <c r="AG127" t="s">
        <v>223</v>
      </c>
      <c r="AH127" t="s">
        <v>223</v>
      </c>
      <c r="AI127" t="s">
        <v>223</v>
      </c>
      <c r="AJ127" t="s">
        <v>223</v>
      </c>
      <c r="AK127" t="s">
        <v>223</v>
      </c>
      <c r="AL127" t="s">
        <v>223</v>
      </c>
      <c r="AM127" t="s">
        <v>223</v>
      </c>
      <c r="AN127" s="9">
        <v>19</v>
      </c>
    </row>
    <row r="128" spans="1:40">
      <c r="A128" t="s">
        <v>368</v>
      </c>
      <c r="B128">
        <v>20</v>
      </c>
      <c r="C128" t="s">
        <v>223</v>
      </c>
      <c r="D128" t="s">
        <v>223</v>
      </c>
      <c r="E128" t="s">
        <v>223</v>
      </c>
      <c r="F128" t="s">
        <v>223</v>
      </c>
      <c r="G128" t="s">
        <v>223</v>
      </c>
      <c r="H128" t="s">
        <v>223</v>
      </c>
      <c r="I128" t="s">
        <v>223</v>
      </c>
      <c r="J128" t="s">
        <v>223</v>
      </c>
      <c r="K128" t="s">
        <v>223</v>
      </c>
      <c r="L128" t="s">
        <v>223</v>
      </c>
      <c r="M128" t="s">
        <v>223</v>
      </c>
      <c r="N128" t="s">
        <v>223</v>
      </c>
      <c r="O128" t="s">
        <v>223</v>
      </c>
      <c r="P128" t="s">
        <v>223</v>
      </c>
      <c r="Q128" t="s">
        <v>223</v>
      </c>
      <c r="R128" t="s">
        <v>223</v>
      </c>
      <c r="S128" t="s">
        <v>223</v>
      </c>
      <c r="T128" t="s">
        <v>223</v>
      </c>
      <c r="U128" t="s">
        <v>223</v>
      </c>
      <c r="V128" t="s">
        <v>223</v>
      </c>
      <c r="W128" t="s">
        <v>223</v>
      </c>
      <c r="X128" t="s">
        <v>223</v>
      </c>
      <c r="Y128" t="s">
        <v>223</v>
      </c>
      <c r="Z128" t="s">
        <v>223</v>
      </c>
      <c r="AA128" t="s">
        <v>223</v>
      </c>
      <c r="AB128" t="s">
        <v>223</v>
      </c>
      <c r="AC128" t="s">
        <v>223</v>
      </c>
      <c r="AD128" t="s">
        <v>223</v>
      </c>
      <c r="AE128" t="s">
        <v>223</v>
      </c>
      <c r="AF128" t="s">
        <v>223</v>
      </c>
      <c r="AG128" t="s">
        <v>223</v>
      </c>
      <c r="AH128" t="s">
        <v>223</v>
      </c>
      <c r="AI128" t="s">
        <v>223</v>
      </c>
      <c r="AJ128" t="s">
        <v>223</v>
      </c>
      <c r="AK128" t="s">
        <v>223</v>
      </c>
      <c r="AL128" t="s">
        <v>223</v>
      </c>
      <c r="AM128" t="s">
        <v>223</v>
      </c>
      <c r="AN128" s="9">
        <v>20</v>
      </c>
    </row>
    <row r="129" spans="1:40">
      <c r="A129" t="s">
        <v>368</v>
      </c>
      <c r="B129">
        <v>21</v>
      </c>
      <c r="C129" t="s">
        <v>223</v>
      </c>
      <c r="D129" t="s">
        <v>223</v>
      </c>
      <c r="E129" t="s">
        <v>223</v>
      </c>
      <c r="F129" t="s">
        <v>223</v>
      </c>
      <c r="G129" t="s">
        <v>223</v>
      </c>
      <c r="H129" t="s">
        <v>223</v>
      </c>
      <c r="I129" t="s">
        <v>223</v>
      </c>
      <c r="J129" t="s">
        <v>223</v>
      </c>
      <c r="K129" t="s">
        <v>223</v>
      </c>
      <c r="L129" t="s">
        <v>223</v>
      </c>
      <c r="M129" t="s">
        <v>223</v>
      </c>
      <c r="N129" t="s">
        <v>223</v>
      </c>
      <c r="O129" t="s">
        <v>223</v>
      </c>
      <c r="P129" t="s">
        <v>223</v>
      </c>
      <c r="Q129" t="s">
        <v>223</v>
      </c>
      <c r="R129" t="s">
        <v>223</v>
      </c>
      <c r="S129" t="s">
        <v>223</v>
      </c>
      <c r="T129" t="s">
        <v>223</v>
      </c>
      <c r="U129" t="s">
        <v>223</v>
      </c>
      <c r="V129" t="s">
        <v>223</v>
      </c>
      <c r="W129" t="s">
        <v>223</v>
      </c>
      <c r="X129" t="s">
        <v>223</v>
      </c>
      <c r="Y129" t="s">
        <v>223</v>
      </c>
      <c r="Z129" t="s">
        <v>223</v>
      </c>
      <c r="AA129" t="s">
        <v>223</v>
      </c>
      <c r="AB129" t="s">
        <v>223</v>
      </c>
      <c r="AC129" t="s">
        <v>223</v>
      </c>
      <c r="AD129" t="s">
        <v>223</v>
      </c>
      <c r="AE129" t="s">
        <v>223</v>
      </c>
      <c r="AF129" t="s">
        <v>223</v>
      </c>
      <c r="AG129" t="s">
        <v>223</v>
      </c>
      <c r="AH129" t="s">
        <v>223</v>
      </c>
      <c r="AI129" t="s">
        <v>223</v>
      </c>
      <c r="AJ129" t="s">
        <v>223</v>
      </c>
      <c r="AK129" t="s">
        <v>223</v>
      </c>
      <c r="AL129" t="s">
        <v>223</v>
      </c>
      <c r="AM129" t="s">
        <v>223</v>
      </c>
      <c r="AN129" s="9">
        <v>21</v>
      </c>
    </row>
    <row r="130" spans="1:40">
      <c r="A130" t="s">
        <v>368</v>
      </c>
      <c r="B130">
        <v>22</v>
      </c>
      <c r="C130" t="s">
        <v>223</v>
      </c>
      <c r="D130" t="s">
        <v>223</v>
      </c>
      <c r="E130" t="s">
        <v>223</v>
      </c>
      <c r="F130" t="s">
        <v>223</v>
      </c>
      <c r="G130" t="s">
        <v>223</v>
      </c>
      <c r="H130" t="s">
        <v>223</v>
      </c>
      <c r="I130" t="s">
        <v>223</v>
      </c>
      <c r="J130" t="s">
        <v>223</v>
      </c>
      <c r="K130" t="s">
        <v>223</v>
      </c>
      <c r="L130" t="s">
        <v>223</v>
      </c>
      <c r="M130" t="s">
        <v>223</v>
      </c>
      <c r="N130" t="s">
        <v>223</v>
      </c>
      <c r="O130" t="s">
        <v>223</v>
      </c>
      <c r="P130" t="s">
        <v>223</v>
      </c>
      <c r="Q130" t="s">
        <v>223</v>
      </c>
      <c r="R130" t="s">
        <v>223</v>
      </c>
      <c r="S130" t="s">
        <v>223</v>
      </c>
      <c r="T130" t="s">
        <v>223</v>
      </c>
      <c r="U130" t="s">
        <v>223</v>
      </c>
      <c r="V130" t="s">
        <v>223</v>
      </c>
      <c r="W130" t="s">
        <v>223</v>
      </c>
      <c r="X130" t="s">
        <v>223</v>
      </c>
      <c r="Y130" t="s">
        <v>223</v>
      </c>
      <c r="Z130" t="s">
        <v>223</v>
      </c>
      <c r="AA130" t="s">
        <v>223</v>
      </c>
      <c r="AB130" t="s">
        <v>223</v>
      </c>
      <c r="AC130" t="s">
        <v>223</v>
      </c>
      <c r="AD130" t="s">
        <v>223</v>
      </c>
      <c r="AE130" t="s">
        <v>223</v>
      </c>
      <c r="AF130" t="s">
        <v>223</v>
      </c>
      <c r="AG130" t="s">
        <v>223</v>
      </c>
      <c r="AH130" t="s">
        <v>223</v>
      </c>
      <c r="AI130" t="s">
        <v>223</v>
      </c>
      <c r="AJ130" t="s">
        <v>223</v>
      </c>
      <c r="AK130" t="s">
        <v>223</v>
      </c>
      <c r="AL130" t="s">
        <v>223</v>
      </c>
      <c r="AM130" t="s">
        <v>223</v>
      </c>
      <c r="AN130" s="9">
        <v>22</v>
      </c>
    </row>
    <row r="131" spans="1:40">
      <c r="A131" t="s">
        <v>368</v>
      </c>
      <c r="B131">
        <v>23</v>
      </c>
      <c r="C131" t="s">
        <v>223</v>
      </c>
      <c r="D131" t="s">
        <v>223</v>
      </c>
      <c r="E131" t="s">
        <v>223</v>
      </c>
      <c r="F131" t="s">
        <v>223</v>
      </c>
      <c r="G131" t="s">
        <v>223</v>
      </c>
      <c r="H131" t="s">
        <v>223</v>
      </c>
      <c r="I131" t="s">
        <v>223</v>
      </c>
      <c r="J131" t="s">
        <v>223</v>
      </c>
      <c r="K131" t="s">
        <v>223</v>
      </c>
      <c r="L131" t="s">
        <v>223</v>
      </c>
      <c r="M131" t="s">
        <v>223</v>
      </c>
      <c r="N131" t="s">
        <v>223</v>
      </c>
      <c r="O131" t="s">
        <v>223</v>
      </c>
      <c r="P131" t="s">
        <v>223</v>
      </c>
      <c r="Q131" t="s">
        <v>223</v>
      </c>
      <c r="R131" t="s">
        <v>223</v>
      </c>
      <c r="S131" t="s">
        <v>223</v>
      </c>
      <c r="T131" t="s">
        <v>223</v>
      </c>
      <c r="U131" t="s">
        <v>223</v>
      </c>
      <c r="V131" t="s">
        <v>223</v>
      </c>
      <c r="W131" t="s">
        <v>223</v>
      </c>
      <c r="X131" t="s">
        <v>223</v>
      </c>
      <c r="Y131" t="s">
        <v>223</v>
      </c>
      <c r="Z131" t="s">
        <v>223</v>
      </c>
      <c r="AA131" t="s">
        <v>223</v>
      </c>
      <c r="AB131" t="s">
        <v>223</v>
      </c>
      <c r="AC131" t="s">
        <v>223</v>
      </c>
      <c r="AD131" t="s">
        <v>223</v>
      </c>
      <c r="AE131" t="s">
        <v>223</v>
      </c>
      <c r="AF131" t="s">
        <v>223</v>
      </c>
      <c r="AG131" t="s">
        <v>223</v>
      </c>
      <c r="AH131" t="s">
        <v>223</v>
      </c>
      <c r="AI131" t="s">
        <v>223</v>
      </c>
      <c r="AJ131" t="s">
        <v>223</v>
      </c>
      <c r="AK131" t="s">
        <v>223</v>
      </c>
      <c r="AL131" t="s">
        <v>223</v>
      </c>
      <c r="AM131" t="s">
        <v>223</v>
      </c>
      <c r="AN131" s="9">
        <v>23</v>
      </c>
    </row>
    <row r="132" spans="1:40">
      <c r="A132" t="s">
        <v>368</v>
      </c>
      <c r="B132">
        <v>24</v>
      </c>
      <c r="C132" t="s">
        <v>223</v>
      </c>
      <c r="D132" t="s">
        <v>223</v>
      </c>
      <c r="E132" t="s">
        <v>223</v>
      </c>
      <c r="F132" t="s">
        <v>223</v>
      </c>
      <c r="G132" t="s">
        <v>223</v>
      </c>
      <c r="H132" t="s">
        <v>223</v>
      </c>
      <c r="I132" t="s">
        <v>223</v>
      </c>
      <c r="J132" t="s">
        <v>223</v>
      </c>
      <c r="K132" t="s">
        <v>223</v>
      </c>
      <c r="L132" t="s">
        <v>223</v>
      </c>
      <c r="M132" t="s">
        <v>223</v>
      </c>
      <c r="N132" t="s">
        <v>223</v>
      </c>
      <c r="O132" t="s">
        <v>223</v>
      </c>
      <c r="P132" t="s">
        <v>223</v>
      </c>
      <c r="Q132" t="s">
        <v>223</v>
      </c>
      <c r="R132" t="s">
        <v>223</v>
      </c>
      <c r="S132" t="s">
        <v>223</v>
      </c>
      <c r="T132" t="s">
        <v>223</v>
      </c>
      <c r="U132" t="s">
        <v>223</v>
      </c>
      <c r="V132" t="s">
        <v>223</v>
      </c>
      <c r="W132" t="s">
        <v>223</v>
      </c>
      <c r="X132" t="s">
        <v>223</v>
      </c>
      <c r="Y132" t="s">
        <v>223</v>
      </c>
      <c r="Z132" t="s">
        <v>223</v>
      </c>
      <c r="AA132" t="s">
        <v>223</v>
      </c>
      <c r="AB132" t="s">
        <v>223</v>
      </c>
      <c r="AC132" t="s">
        <v>223</v>
      </c>
      <c r="AD132" t="s">
        <v>223</v>
      </c>
      <c r="AE132" t="s">
        <v>223</v>
      </c>
      <c r="AF132" t="s">
        <v>223</v>
      </c>
      <c r="AG132" t="s">
        <v>223</v>
      </c>
      <c r="AH132" t="s">
        <v>223</v>
      </c>
      <c r="AI132" t="s">
        <v>223</v>
      </c>
      <c r="AJ132" t="s">
        <v>223</v>
      </c>
      <c r="AK132" t="s">
        <v>223</v>
      </c>
      <c r="AL132" t="s">
        <v>223</v>
      </c>
      <c r="AM132" t="s">
        <v>223</v>
      </c>
      <c r="AN132" s="9">
        <v>24</v>
      </c>
    </row>
    <row r="133" spans="1:40">
      <c r="A133" t="s">
        <v>368</v>
      </c>
      <c r="B133">
        <v>25</v>
      </c>
      <c r="C133" t="s">
        <v>223</v>
      </c>
      <c r="D133" t="s">
        <v>223</v>
      </c>
      <c r="E133" t="s">
        <v>223</v>
      </c>
      <c r="F133" t="s">
        <v>223</v>
      </c>
      <c r="G133" t="s">
        <v>223</v>
      </c>
      <c r="H133" t="s">
        <v>223</v>
      </c>
      <c r="I133" t="s">
        <v>223</v>
      </c>
      <c r="J133" t="s">
        <v>223</v>
      </c>
      <c r="K133" t="s">
        <v>223</v>
      </c>
      <c r="L133" t="s">
        <v>223</v>
      </c>
      <c r="M133" t="s">
        <v>223</v>
      </c>
      <c r="N133" t="s">
        <v>223</v>
      </c>
      <c r="O133" t="s">
        <v>223</v>
      </c>
      <c r="P133" t="s">
        <v>223</v>
      </c>
      <c r="Q133" t="s">
        <v>223</v>
      </c>
      <c r="R133" t="s">
        <v>223</v>
      </c>
      <c r="S133" t="s">
        <v>223</v>
      </c>
      <c r="T133" t="s">
        <v>223</v>
      </c>
      <c r="U133" t="s">
        <v>223</v>
      </c>
      <c r="V133" t="s">
        <v>223</v>
      </c>
      <c r="W133" t="s">
        <v>223</v>
      </c>
      <c r="X133" t="s">
        <v>223</v>
      </c>
      <c r="Y133" t="s">
        <v>223</v>
      </c>
      <c r="Z133" t="s">
        <v>223</v>
      </c>
      <c r="AA133" t="s">
        <v>223</v>
      </c>
      <c r="AB133" t="s">
        <v>223</v>
      </c>
      <c r="AC133" t="s">
        <v>223</v>
      </c>
      <c r="AD133" t="s">
        <v>223</v>
      </c>
      <c r="AE133" t="s">
        <v>223</v>
      </c>
      <c r="AF133" t="s">
        <v>223</v>
      </c>
      <c r="AG133" t="s">
        <v>223</v>
      </c>
      <c r="AH133" t="s">
        <v>223</v>
      </c>
      <c r="AI133" t="s">
        <v>223</v>
      </c>
      <c r="AJ133" t="s">
        <v>223</v>
      </c>
      <c r="AK133" t="s">
        <v>223</v>
      </c>
      <c r="AL133" t="s">
        <v>223</v>
      </c>
      <c r="AM133" t="s">
        <v>223</v>
      </c>
      <c r="AN133" s="9">
        <v>25</v>
      </c>
    </row>
    <row r="134" spans="1:40">
      <c r="A134" t="s">
        <v>368</v>
      </c>
      <c r="B134">
        <v>26</v>
      </c>
      <c r="C134" t="s">
        <v>223</v>
      </c>
      <c r="D134" t="s">
        <v>223</v>
      </c>
      <c r="E134" t="s">
        <v>223</v>
      </c>
      <c r="F134" t="s">
        <v>223</v>
      </c>
      <c r="G134" t="s">
        <v>223</v>
      </c>
      <c r="H134" t="s">
        <v>223</v>
      </c>
      <c r="I134" t="s">
        <v>223</v>
      </c>
      <c r="J134" t="s">
        <v>223</v>
      </c>
      <c r="K134" t="s">
        <v>223</v>
      </c>
      <c r="L134" t="s">
        <v>223</v>
      </c>
      <c r="M134" t="s">
        <v>223</v>
      </c>
      <c r="N134" t="s">
        <v>223</v>
      </c>
      <c r="O134" t="s">
        <v>223</v>
      </c>
      <c r="P134" t="s">
        <v>223</v>
      </c>
      <c r="Q134" t="s">
        <v>223</v>
      </c>
      <c r="R134" t="s">
        <v>223</v>
      </c>
      <c r="S134" t="s">
        <v>223</v>
      </c>
      <c r="T134" t="s">
        <v>223</v>
      </c>
      <c r="U134" t="s">
        <v>223</v>
      </c>
      <c r="V134" t="s">
        <v>223</v>
      </c>
      <c r="W134" t="s">
        <v>223</v>
      </c>
      <c r="X134" t="s">
        <v>223</v>
      </c>
      <c r="Y134" t="s">
        <v>223</v>
      </c>
      <c r="Z134" t="s">
        <v>223</v>
      </c>
      <c r="AA134" t="s">
        <v>223</v>
      </c>
      <c r="AB134" t="s">
        <v>223</v>
      </c>
      <c r="AC134" t="s">
        <v>223</v>
      </c>
      <c r="AD134" t="s">
        <v>223</v>
      </c>
      <c r="AE134" t="s">
        <v>223</v>
      </c>
      <c r="AF134" t="s">
        <v>223</v>
      </c>
      <c r="AG134" t="s">
        <v>223</v>
      </c>
      <c r="AH134" t="s">
        <v>223</v>
      </c>
      <c r="AI134" t="s">
        <v>223</v>
      </c>
      <c r="AJ134" t="s">
        <v>223</v>
      </c>
      <c r="AK134" t="s">
        <v>223</v>
      </c>
      <c r="AL134" t="s">
        <v>223</v>
      </c>
      <c r="AM134" t="s">
        <v>223</v>
      </c>
      <c r="AN134" s="9">
        <v>26</v>
      </c>
    </row>
    <row r="135" spans="1:40">
      <c r="A135" t="s">
        <v>368</v>
      </c>
      <c r="B135">
        <v>27</v>
      </c>
      <c r="C135" t="s">
        <v>223</v>
      </c>
      <c r="D135" t="s">
        <v>223</v>
      </c>
      <c r="E135" t="s">
        <v>223</v>
      </c>
      <c r="F135" t="s">
        <v>223</v>
      </c>
      <c r="G135" t="s">
        <v>223</v>
      </c>
      <c r="H135" t="s">
        <v>223</v>
      </c>
      <c r="I135" t="s">
        <v>223</v>
      </c>
      <c r="J135" t="s">
        <v>223</v>
      </c>
      <c r="K135" t="s">
        <v>223</v>
      </c>
      <c r="L135" t="s">
        <v>223</v>
      </c>
      <c r="M135" t="s">
        <v>223</v>
      </c>
      <c r="N135" t="s">
        <v>223</v>
      </c>
      <c r="O135" t="s">
        <v>223</v>
      </c>
      <c r="P135" t="s">
        <v>223</v>
      </c>
      <c r="Q135" t="s">
        <v>223</v>
      </c>
      <c r="R135" t="s">
        <v>223</v>
      </c>
      <c r="S135" t="s">
        <v>223</v>
      </c>
      <c r="T135" t="s">
        <v>223</v>
      </c>
      <c r="U135" t="s">
        <v>223</v>
      </c>
      <c r="V135" t="s">
        <v>223</v>
      </c>
      <c r="W135" t="s">
        <v>223</v>
      </c>
      <c r="X135" t="s">
        <v>223</v>
      </c>
      <c r="Y135" t="s">
        <v>223</v>
      </c>
      <c r="Z135" t="s">
        <v>223</v>
      </c>
      <c r="AA135" t="s">
        <v>223</v>
      </c>
      <c r="AB135" t="s">
        <v>223</v>
      </c>
      <c r="AC135" t="s">
        <v>223</v>
      </c>
      <c r="AD135" t="s">
        <v>223</v>
      </c>
      <c r="AE135" t="s">
        <v>223</v>
      </c>
      <c r="AF135" t="s">
        <v>223</v>
      </c>
      <c r="AG135" t="s">
        <v>223</v>
      </c>
      <c r="AH135" t="s">
        <v>223</v>
      </c>
      <c r="AI135" t="s">
        <v>223</v>
      </c>
      <c r="AJ135" t="s">
        <v>223</v>
      </c>
      <c r="AK135" t="s">
        <v>223</v>
      </c>
      <c r="AL135" t="s">
        <v>223</v>
      </c>
      <c r="AM135" t="s">
        <v>223</v>
      </c>
      <c r="AN135" s="9">
        <v>27</v>
      </c>
    </row>
    <row r="136" spans="1:40">
      <c r="A136" t="s">
        <v>368</v>
      </c>
      <c r="B136">
        <v>28</v>
      </c>
      <c r="C136" t="s">
        <v>223</v>
      </c>
      <c r="D136" t="s">
        <v>223</v>
      </c>
      <c r="E136" t="s">
        <v>223</v>
      </c>
      <c r="F136" t="s">
        <v>223</v>
      </c>
      <c r="G136" t="s">
        <v>223</v>
      </c>
      <c r="H136" t="s">
        <v>223</v>
      </c>
      <c r="I136" t="s">
        <v>223</v>
      </c>
      <c r="J136" t="s">
        <v>223</v>
      </c>
      <c r="K136" t="s">
        <v>223</v>
      </c>
      <c r="L136" t="s">
        <v>223</v>
      </c>
      <c r="M136" t="s">
        <v>223</v>
      </c>
      <c r="N136" t="s">
        <v>223</v>
      </c>
      <c r="O136" t="s">
        <v>223</v>
      </c>
      <c r="P136" t="s">
        <v>223</v>
      </c>
      <c r="Q136" t="s">
        <v>223</v>
      </c>
      <c r="R136" t="s">
        <v>223</v>
      </c>
      <c r="S136" t="s">
        <v>223</v>
      </c>
      <c r="T136" t="s">
        <v>223</v>
      </c>
      <c r="U136" t="s">
        <v>223</v>
      </c>
      <c r="V136" t="s">
        <v>223</v>
      </c>
      <c r="W136" t="s">
        <v>223</v>
      </c>
      <c r="X136" t="s">
        <v>223</v>
      </c>
      <c r="Y136" t="s">
        <v>223</v>
      </c>
      <c r="Z136" t="s">
        <v>223</v>
      </c>
      <c r="AA136" t="s">
        <v>223</v>
      </c>
      <c r="AB136" t="s">
        <v>223</v>
      </c>
      <c r="AC136" t="s">
        <v>223</v>
      </c>
      <c r="AD136" t="s">
        <v>223</v>
      </c>
      <c r="AE136" t="s">
        <v>223</v>
      </c>
      <c r="AF136" t="s">
        <v>223</v>
      </c>
      <c r="AG136" t="s">
        <v>223</v>
      </c>
      <c r="AH136" t="s">
        <v>223</v>
      </c>
      <c r="AI136" t="s">
        <v>223</v>
      </c>
      <c r="AJ136" t="s">
        <v>223</v>
      </c>
      <c r="AK136" t="s">
        <v>223</v>
      </c>
      <c r="AL136" t="s">
        <v>223</v>
      </c>
      <c r="AM136" t="s">
        <v>223</v>
      </c>
      <c r="AN136" s="9">
        <v>28</v>
      </c>
    </row>
    <row r="137" spans="1:40">
      <c r="A137" t="s">
        <v>368</v>
      </c>
      <c r="B137">
        <v>29</v>
      </c>
      <c r="C137" t="s">
        <v>223</v>
      </c>
      <c r="D137" t="s">
        <v>223</v>
      </c>
      <c r="E137" t="s">
        <v>223</v>
      </c>
      <c r="F137" t="s">
        <v>223</v>
      </c>
      <c r="G137" t="s">
        <v>223</v>
      </c>
      <c r="H137" t="s">
        <v>223</v>
      </c>
      <c r="I137" t="s">
        <v>223</v>
      </c>
      <c r="J137" t="s">
        <v>223</v>
      </c>
      <c r="K137" t="s">
        <v>223</v>
      </c>
      <c r="L137" t="s">
        <v>223</v>
      </c>
      <c r="M137" t="s">
        <v>223</v>
      </c>
      <c r="N137" t="s">
        <v>223</v>
      </c>
      <c r="O137" t="s">
        <v>223</v>
      </c>
      <c r="P137" t="s">
        <v>223</v>
      </c>
      <c r="Q137" t="s">
        <v>223</v>
      </c>
      <c r="R137" t="s">
        <v>223</v>
      </c>
      <c r="S137" t="s">
        <v>223</v>
      </c>
      <c r="T137" t="s">
        <v>223</v>
      </c>
      <c r="U137" t="s">
        <v>223</v>
      </c>
      <c r="V137" t="s">
        <v>223</v>
      </c>
      <c r="W137" t="s">
        <v>223</v>
      </c>
      <c r="X137" t="s">
        <v>223</v>
      </c>
      <c r="Y137" t="s">
        <v>223</v>
      </c>
      <c r="Z137" t="s">
        <v>223</v>
      </c>
      <c r="AA137" t="s">
        <v>223</v>
      </c>
      <c r="AB137" t="s">
        <v>223</v>
      </c>
      <c r="AC137" t="s">
        <v>223</v>
      </c>
      <c r="AD137" t="s">
        <v>223</v>
      </c>
      <c r="AE137" t="s">
        <v>223</v>
      </c>
      <c r="AF137" t="s">
        <v>223</v>
      </c>
      <c r="AG137" t="s">
        <v>223</v>
      </c>
      <c r="AH137" t="s">
        <v>223</v>
      </c>
      <c r="AI137" t="s">
        <v>223</v>
      </c>
      <c r="AJ137" t="s">
        <v>223</v>
      </c>
      <c r="AK137" t="s">
        <v>223</v>
      </c>
      <c r="AL137" t="s">
        <v>223</v>
      </c>
      <c r="AM137" t="s">
        <v>223</v>
      </c>
      <c r="AN137" s="9">
        <v>29</v>
      </c>
    </row>
    <row r="138" spans="1:40">
      <c r="A138" t="s">
        <v>368</v>
      </c>
      <c r="B138">
        <v>30</v>
      </c>
      <c r="C138" t="s">
        <v>223</v>
      </c>
      <c r="D138" t="s">
        <v>223</v>
      </c>
      <c r="E138" t="s">
        <v>223</v>
      </c>
      <c r="F138" t="s">
        <v>223</v>
      </c>
      <c r="G138" t="s">
        <v>223</v>
      </c>
      <c r="H138" t="s">
        <v>223</v>
      </c>
      <c r="I138" t="s">
        <v>223</v>
      </c>
      <c r="J138" t="s">
        <v>223</v>
      </c>
      <c r="K138" t="s">
        <v>223</v>
      </c>
      <c r="L138" t="s">
        <v>223</v>
      </c>
      <c r="M138" t="s">
        <v>223</v>
      </c>
      <c r="N138" t="s">
        <v>223</v>
      </c>
      <c r="O138" t="s">
        <v>223</v>
      </c>
      <c r="P138" t="s">
        <v>223</v>
      </c>
      <c r="Q138" t="s">
        <v>223</v>
      </c>
      <c r="R138" t="s">
        <v>223</v>
      </c>
      <c r="S138" t="s">
        <v>223</v>
      </c>
      <c r="T138" t="s">
        <v>223</v>
      </c>
      <c r="U138" t="s">
        <v>223</v>
      </c>
      <c r="V138" t="s">
        <v>223</v>
      </c>
      <c r="W138" t="s">
        <v>223</v>
      </c>
      <c r="X138" t="s">
        <v>223</v>
      </c>
      <c r="Y138" t="s">
        <v>223</v>
      </c>
      <c r="Z138" t="s">
        <v>223</v>
      </c>
      <c r="AA138" t="s">
        <v>223</v>
      </c>
      <c r="AB138" t="s">
        <v>223</v>
      </c>
      <c r="AC138" t="s">
        <v>223</v>
      </c>
      <c r="AD138" t="s">
        <v>223</v>
      </c>
      <c r="AE138" t="s">
        <v>223</v>
      </c>
      <c r="AF138" t="s">
        <v>223</v>
      </c>
      <c r="AG138" t="s">
        <v>223</v>
      </c>
      <c r="AH138" t="s">
        <v>223</v>
      </c>
      <c r="AI138" t="s">
        <v>223</v>
      </c>
      <c r="AJ138" t="s">
        <v>223</v>
      </c>
      <c r="AK138" t="s">
        <v>223</v>
      </c>
      <c r="AL138" t="s">
        <v>223</v>
      </c>
      <c r="AM138" t="s">
        <v>223</v>
      </c>
      <c r="AN138" s="9">
        <v>30</v>
      </c>
    </row>
    <row r="139" spans="1:40">
      <c r="A139" t="s">
        <v>368</v>
      </c>
      <c r="B139">
        <v>31</v>
      </c>
      <c r="C139" t="s">
        <v>223</v>
      </c>
      <c r="D139" t="s">
        <v>223</v>
      </c>
      <c r="E139" t="s">
        <v>223</v>
      </c>
      <c r="F139" t="s">
        <v>223</v>
      </c>
      <c r="G139" t="s">
        <v>223</v>
      </c>
      <c r="H139" t="s">
        <v>223</v>
      </c>
      <c r="I139" t="s">
        <v>223</v>
      </c>
      <c r="J139" t="s">
        <v>223</v>
      </c>
      <c r="K139" t="s">
        <v>223</v>
      </c>
      <c r="L139" t="s">
        <v>223</v>
      </c>
      <c r="M139" t="s">
        <v>223</v>
      </c>
      <c r="N139" t="s">
        <v>223</v>
      </c>
      <c r="O139" t="s">
        <v>223</v>
      </c>
      <c r="P139" t="s">
        <v>223</v>
      </c>
      <c r="Q139" t="s">
        <v>223</v>
      </c>
      <c r="R139" t="s">
        <v>223</v>
      </c>
      <c r="S139" t="s">
        <v>223</v>
      </c>
      <c r="T139" t="s">
        <v>223</v>
      </c>
      <c r="U139" t="s">
        <v>223</v>
      </c>
      <c r="V139" t="s">
        <v>223</v>
      </c>
      <c r="W139" t="s">
        <v>223</v>
      </c>
      <c r="X139" t="s">
        <v>223</v>
      </c>
      <c r="Y139" t="s">
        <v>223</v>
      </c>
      <c r="Z139" t="s">
        <v>223</v>
      </c>
      <c r="AA139" t="s">
        <v>223</v>
      </c>
      <c r="AB139" t="s">
        <v>223</v>
      </c>
      <c r="AC139" t="s">
        <v>223</v>
      </c>
      <c r="AD139" t="s">
        <v>223</v>
      </c>
      <c r="AE139" t="s">
        <v>223</v>
      </c>
      <c r="AF139" t="s">
        <v>223</v>
      </c>
      <c r="AG139" t="s">
        <v>223</v>
      </c>
      <c r="AH139" t="s">
        <v>223</v>
      </c>
      <c r="AI139" t="s">
        <v>223</v>
      </c>
      <c r="AJ139" t="s">
        <v>223</v>
      </c>
      <c r="AK139" t="s">
        <v>223</v>
      </c>
      <c r="AL139" t="s">
        <v>223</v>
      </c>
      <c r="AM139" t="s">
        <v>223</v>
      </c>
      <c r="AN139" s="9">
        <v>31</v>
      </c>
    </row>
    <row r="140" spans="1:40">
      <c r="A140" t="s">
        <v>368</v>
      </c>
      <c r="B140">
        <v>32</v>
      </c>
      <c r="C140" t="s">
        <v>223</v>
      </c>
      <c r="D140" t="s">
        <v>223</v>
      </c>
      <c r="E140" t="s">
        <v>223</v>
      </c>
      <c r="F140" t="s">
        <v>223</v>
      </c>
      <c r="G140" t="s">
        <v>223</v>
      </c>
      <c r="H140" t="s">
        <v>223</v>
      </c>
      <c r="I140" t="s">
        <v>223</v>
      </c>
      <c r="J140" t="s">
        <v>223</v>
      </c>
      <c r="K140" t="s">
        <v>223</v>
      </c>
      <c r="L140" t="s">
        <v>223</v>
      </c>
      <c r="M140" t="s">
        <v>223</v>
      </c>
      <c r="N140" t="s">
        <v>223</v>
      </c>
      <c r="O140" t="s">
        <v>223</v>
      </c>
      <c r="P140" t="s">
        <v>223</v>
      </c>
      <c r="Q140" t="s">
        <v>223</v>
      </c>
      <c r="R140" t="s">
        <v>223</v>
      </c>
      <c r="S140" t="s">
        <v>223</v>
      </c>
      <c r="T140" t="s">
        <v>223</v>
      </c>
      <c r="U140" t="s">
        <v>223</v>
      </c>
      <c r="V140" t="s">
        <v>223</v>
      </c>
      <c r="W140" t="s">
        <v>223</v>
      </c>
      <c r="X140" t="s">
        <v>223</v>
      </c>
      <c r="Y140" t="s">
        <v>223</v>
      </c>
      <c r="Z140" t="s">
        <v>223</v>
      </c>
      <c r="AA140" t="s">
        <v>223</v>
      </c>
      <c r="AB140" t="s">
        <v>223</v>
      </c>
      <c r="AC140" t="s">
        <v>223</v>
      </c>
      <c r="AD140" t="s">
        <v>223</v>
      </c>
      <c r="AE140" t="s">
        <v>223</v>
      </c>
      <c r="AF140" t="s">
        <v>223</v>
      </c>
      <c r="AG140" t="s">
        <v>223</v>
      </c>
      <c r="AH140" t="s">
        <v>223</v>
      </c>
      <c r="AI140" t="s">
        <v>223</v>
      </c>
      <c r="AJ140" t="s">
        <v>223</v>
      </c>
      <c r="AK140" t="s">
        <v>223</v>
      </c>
      <c r="AL140" t="s">
        <v>223</v>
      </c>
      <c r="AM140" t="s">
        <v>223</v>
      </c>
      <c r="AN140" s="9">
        <v>32</v>
      </c>
    </row>
    <row r="141" spans="1:40">
      <c r="A141" t="s">
        <v>368</v>
      </c>
      <c r="B141">
        <v>33</v>
      </c>
      <c r="C141" t="s">
        <v>223</v>
      </c>
      <c r="D141" t="s">
        <v>223</v>
      </c>
      <c r="E141" t="s">
        <v>223</v>
      </c>
      <c r="F141" t="s">
        <v>223</v>
      </c>
      <c r="G141" t="s">
        <v>223</v>
      </c>
      <c r="H141" t="s">
        <v>223</v>
      </c>
      <c r="I141" t="s">
        <v>223</v>
      </c>
      <c r="J141" t="s">
        <v>223</v>
      </c>
      <c r="K141" t="s">
        <v>223</v>
      </c>
      <c r="L141" t="s">
        <v>223</v>
      </c>
      <c r="M141" t="s">
        <v>223</v>
      </c>
      <c r="N141" t="s">
        <v>223</v>
      </c>
      <c r="O141" t="s">
        <v>223</v>
      </c>
      <c r="P141" t="s">
        <v>223</v>
      </c>
      <c r="Q141" t="s">
        <v>223</v>
      </c>
      <c r="R141" t="s">
        <v>223</v>
      </c>
      <c r="S141" t="s">
        <v>223</v>
      </c>
      <c r="T141" t="s">
        <v>223</v>
      </c>
      <c r="U141" t="s">
        <v>223</v>
      </c>
      <c r="V141" t="s">
        <v>223</v>
      </c>
      <c r="W141" t="s">
        <v>223</v>
      </c>
      <c r="X141" t="s">
        <v>223</v>
      </c>
      <c r="Y141" t="s">
        <v>223</v>
      </c>
      <c r="Z141" t="s">
        <v>223</v>
      </c>
      <c r="AA141" t="s">
        <v>223</v>
      </c>
      <c r="AB141" t="s">
        <v>223</v>
      </c>
      <c r="AC141" t="s">
        <v>223</v>
      </c>
      <c r="AD141" t="s">
        <v>223</v>
      </c>
      <c r="AE141" t="s">
        <v>223</v>
      </c>
      <c r="AF141" t="s">
        <v>223</v>
      </c>
      <c r="AG141" t="s">
        <v>223</v>
      </c>
      <c r="AH141" t="s">
        <v>223</v>
      </c>
      <c r="AI141" t="s">
        <v>223</v>
      </c>
      <c r="AJ141" t="s">
        <v>223</v>
      </c>
      <c r="AK141" t="s">
        <v>223</v>
      </c>
      <c r="AL141" t="s">
        <v>223</v>
      </c>
      <c r="AM141" t="s">
        <v>223</v>
      </c>
      <c r="AN141" s="9">
        <v>33</v>
      </c>
    </row>
    <row r="142" spans="1:40">
      <c r="A142" t="s">
        <v>368</v>
      </c>
      <c r="B142">
        <v>34</v>
      </c>
      <c r="C142" t="s">
        <v>223</v>
      </c>
      <c r="D142" t="s">
        <v>223</v>
      </c>
      <c r="E142" t="s">
        <v>223</v>
      </c>
      <c r="F142" t="s">
        <v>223</v>
      </c>
      <c r="G142" t="s">
        <v>223</v>
      </c>
      <c r="H142" t="s">
        <v>223</v>
      </c>
      <c r="I142" t="s">
        <v>223</v>
      </c>
      <c r="J142" t="s">
        <v>223</v>
      </c>
      <c r="K142" t="s">
        <v>223</v>
      </c>
      <c r="L142" t="s">
        <v>223</v>
      </c>
      <c r="M142" t="s">
        <v>223</v>
      </c>
      <c r="N142" t="s">
        <v>223</v>
      </c>
      <c r="O142" t="s">
        <v>223</v>
      </c>
      <c r="P142" t="s">
        <v>223</v>
      </c>
      <c r="Q142" t="s">
        <v>223</v>
      </c>
      <c r="R142" t="s">
        <v>223</v>
      </c>
      <c r="S142" t="s">
        <v>223</v>
      </c>
      <c r="T142" t="s">
        <v>223</v>
      </c>
      <c r="U142" t="s">
        <v>223</v>
      </c>
      <c r="V142" t="s">
        <v>223</v>
      </c>
      <c r="W142" t="s">
        <v>223</v>
      </c>
      <c r="X142" t="s">
        <v>223</v>
      </c>
      <c r="Y142" t="s">
        <v>223</v>
      </c>
      <c r="Z142" t="s">
        <v>223</v>
      </c>
      <c r="AA142" t="s">
        <v>223</v>
      </c>
      <c r="AB142" t="s">
        <v>223</v>
      </c>
      <c r="AC142" t="s">
        <v>223</v>
      </c>
      <c r="AD142" t="s">
        <v>223</v>
      </c>
      <c r="AE142" t="s">
        <v>223</v>
      </c>
      <c r="AF142" t="s">
        <v>223</v>
      </c>
      <c r="AG142" t="s">
        <v>223</v>
      </c>
      <c r="AH142" t="s">
        <v>223</v>
      </c>
      <c r="AI142" t="s">
        <v>223</v>
      </c>
      <c r="AJ142" t="s">
        <v>223</v>
      </c>
      <c r="AK142" t="s">
        <v>223</v>
      </c>
      <c r="AL142" t="s">
        <v>223</v>
      </c>
      <c r="AM142" t="s">
        <v>223</v>
      </c>
      <c r="AN142" s="9">
        <v>34</v>
      </c>
    </row>
    <row r="143" spans="1:40">
      <c r="A143" t="s">
        <v>368</v>
      </c>
      <c r="B143">
        <v>35</v>
      </c>
      <c r="C143" t="s">
        <v>223</v>
      </c>
      <c r="D143" t="s">
        <v>223</v>
      </c>
      <c r="E143" t="s">
        <v>223</v>
      </c>
      <c r="F143" t="s">
        <v>223</v>
      </c>
      <c r="G143" t="s">
        <v>223</v>
      </c>
      <c r="H143" t="s">
        <v>223</v>
      </c>
      <c r="I143" t="s">
        <v>223</v>
      </c>
      <c r="J143" t="s">
        <v>223</v>
      </c>
      <c r="K143" t="s">
        <v>223</v>
      </c>
      <c r="L143" t="s">
        <v>223</v>
      </c>
      <c r="M143" t="s">
        <v>223</v>
      </c>
      <c r="N143" t="s">
        <v>223</v>
      </c>
      <c r="O143" t="s">
        <v>223</v>
      </c>
      <c r="P143" t="s">
        <v>223</v>
      </c>
      <c r="Q143" t="s">
        <v>223</v>
      </c>
      <c r="R143" t="s">
        <v>223</v>
      </c>
      <c r="S143" t="s">
        <v>223</v>
      </c>
      <c r="T143" t="s">
        <v>223</v>
      </c>
      <c r="U143" t="s">
        <v>223</v>
      </c>
      <c r="V143" t="s">
        <v>223</v>
      </c>
      <c r="W143" t="s">
        <v>223</v>
      </c>
      <c r="X143" t="s">
        <v>223</v>
      </c>
      <c r="Y143" t="s">
        <v>223</v>
      </c>
      <c r="Z143" t="s">
        <v>223</v>
      </c>
      <c r="AA143" t="s">
        <v>223</v>
      </c>
      <c r="AB143" t="s">
        <v>223</v>
      </c>
      <c r="AC143" t="s">
        <v>223</v>
      </c>
      <c r="AD143" t="s">
        <v>223</v>
      </c>
      <c r="AE143" t="s">
        <v>223</v>
      </c>
      <c r="AF143" t="s">
        <v>223</v>
      </c>
      <c r="AG143" t="s">
        <v>223</v>
      </c>
      <c r="AH143" t="s">
        <v>223</v>
      </c>
      <c r="AI143" t="s">
        <v>223</v>
      </c>
      <c r="AJ143" t="s">
        <v>223</v>
      </c>
      <c r="AK143" t="s">
        <v>223</v>
      </c>
      <c r="AL143" t="s">
        <v>223</v>
      </c>
      <c r="AM143" t="s">
        <v>223</v>
      </c>
      <c r="AN143" s="9">
        <v>35</v>
      </c>
    </row>
    <row r="144" spans="1:40">
      <c r="A144" t="s">
        <v>368</v>
      </c>
      <c r="B144">
        <v>36</v>
      </c>
      <c r="C144" t="s">
        <v>223</v>
      </c>
      <c r="D144" t="s">
        <v>223</v>
      </c>
      <c r="E144" t="s">
        <v>223</v>
      </c>
      <c r="F144" t="s">
        <v>223</v>
      </c>
      <c r="G144" t="s">
        <v>223</v>
      </c>
      <c r="H144" t="s">
        <v>223</v>
      </c>
      <c r="I144" t="s">
        <v>223</v>
      </c>
      <c r="J144" t="s">
        <v>223</v>
      </c>
      <c r="K144" t="s">
        <v>223</v>
      </c>
      <c r="L144" t="s">
        <v>223</v>
      </c>
      <c r="M144" t="s">
        <v>223</v>
      </c>
      <c r="N144" t="s">
        <v>223</v>
      </c>
      <c r="O144" t="s">
        <v>223</v>
      </c>
      <c r="P144" t="s">
        <v>223</v>
      </c>
      <c r="Q144" t="s">
        <v>223</v>
      </c>
      <c r="R144" t="s">
        <v>223</v>
      </c>
      <c r="S144" t="s">
        <v>223</v>
      </c>
      <c r="T144" t="s">
        <v>223</v>
      </c>
      <c r="U144" t="s">
        <v>223</v>
      </c>
      <c r="V144" t="s">
        <v>223</v>
      </c>
      <c r="W144" t="s">
        <v>223</v>
      </c>
      <c r="X144" t="s">
        <v>223</v>
      </c>
      <c r="Y144" t="s">
        <v>223</v>
      </c>
      <c r="Z144" t="s">
        <v>223</v>
      </c>
      <c r="AA144" t="s">
        <v>223</v>
      </c>
      <c r="AB144" t="s">
        <v>223</v>
      </c>
      <c r="AC144" t="s">
        <v>223</v>
      </c>
      <c r="AD144" t="s">
        <v>223</v>
      </c>
      <c r="AE144" t="s">
        <v>223</v>
      </c>
      <c r="AF144" t="s">
        <v>223</v>
      </c>
      <c r="AG144" t="s">
        <v>223</v>
      </c>
      <c r="AH144" t="s">
        <v>223</v>
      </c>
      <c r="AI144" t="s">
        <v>223</v>
      </c>
      <c r="AJ144" t="s">
        <v>223</v>
      </c>
      <c r="AK144" t="s">
        <v>223</v>
      </c>
      <c r="AL144" t="s">
        <v>223</v>
      </c>
      <c r="AM144" t="s">
        <v>223</v>
      </c>
      <c r="AN144" s="9">
        <v>36</v>
      </c>
    </row>
    <row r="145" spans="1:40">
      <c r="A145" t="s">
        <v>368</v>
      </c>
      <c r="B145">
        <v>37</v>
      </c>
      <c r="C145" t="s">
        <v>223</v>
      </c>
      <c r="D145" t="s">
        <v>223</v>
      </c>
      <c r="E145" t="s">
        <v>223</v>
      </c>
      <c r="F145" t="s">
        <v>223</v>
      </c>
      <c r="G145" t="s">
        <v>223</v>
      </c>
      <c r="H145" t="s">
        <v>223</v>
      </c>
      <c r="I145" t="s">
        <v>223</v>
      </c>
      <c r="J145" t="s">
        <v>223</v>
      </c>
      <c r="K145" t="s">
        <v>223</v>
      </c>
      <c r="L145" t="s">
        <v>223</v>
      </c>
      <c r="M145" t="s">
        <v>223</v>
      </c>
      <c r="N145" t="s">
        <v>223</v>
      </c>
      <c r="O145" t="s">
        <v>223</v>
      </c>
      <c r="P145" t="s">
        <v>223</v>
      </c>
      <c r="Q145" t="s">
        <v>223</v>
      </c>
      <c r="R145" t="s">
        <v>223</v>
      </c>
      <c r="S145" t="s">
        <v>223</v>
      </c>
      <c r="T145" t="s">
        <v>223</v>
      </c>
      <c r="U145" t="s">
        <v>223</v>
      </c>
      <c r="V145" t="s">
        <v>223</v>
      </c>
      <c r="W145" t="s">
        <v>223</v>
      </c>
      <c r="X145" t="s">
        <v>223</v>
      </c>
      <c r="Y145" t="s">
        <v>223</v>
      </c>
      <c r="Z145" t="s">
        <v>223</v>
      </c>
      <c r="AA145" t="s">
        <v>223</v>
      </c>
      <c r="AB145" t="s">
        <v>223</v>
      </c>
      <c r="AC145" t="s">
        <v>223</v>
      </c>
      <c r="AD145" t="s">
        <v>223</v>
      </c>
      <c r="AE145" t="s">
        <v>223</v>
      </c>
      <c r="AF145" t="s">
        <v>223</v>
      </c>
      <c r="AG145" t="s">
        <v>223</v>
      </c>
      <c r="AH145" t="s">
        <v>223</v>
      </c>
      <c r="AI145" t="s">
        <v>223</v>
      </c>
      <c r="AJ145" t="s">
        <v>223</v>
      </c>
      <c r="AK145" t="s">
        <v>223</v>
      </c>
      <c r="AL145" t="s">
        <v>223</v>
      </c>
      <c r="AM145" t="s">
        <v>223</v>
      </c>
      <c r="AN145" s="9">
        <v>37</v>
      </c>
    </row>
    <row r="146" spans="1:40">
      <c r="A146" t="s">
        <v>368</v>
      </c>
      <c r="B146">
        <v>38</v>
      </c>
      <c r="C146" t="s">
        <v>223</v>
      </c>
      <c r="D146" t="s">
        <v>223</v>
      </c>
      <c r="E146" t="s">
        <v>223</v>
      </c>
      <c r="F146" t="s">
        <v>223</v>
      </c>
      <c r="G146" t="s">
        <v>223</v>
      </c>
      <c r="H146" t="s">
        <v>223</v>
      </c>
      <c r="I146" t="s">
        <v>223</v>
      </c>
      <c r="J146" t="s">
        <v>223</v>
      </c>
      <c r="K146" t="s">
        <v>223</v>
      </c>
      <c r="L146" t="s">
        <v>223</v>
      </c>
      <c r="M146" t="s">
        <v>223</v>
      </c>
      <c r="N146" t="s">
        <v>223</v>
      </c>
      <c r="O146" t="s">
        <v>223</v>
      </c>
      <c r="P146" t="s">
        <v>223</v>
      </c>
      <c r="Q146" t="s">
        <v>223</v>
      </c>
      <c r="R146" t="s">
        <v>223</v>
      </c>
      <c r="S146" t="s">
        <v>223</v>
      </c>
      <c r="T146" t="s">
        <v>223</v>
      </c>
      <c r="U146" t="s">
        <v>223</v>
      </c>
      <c r="V146" t="s">
        <v>223</v>
      </c>
      <c r="W146" t="s">
        <v>223</v>
      </c>
      <c r="X146" t="s">
        <v>223</v>
      </c>
      <c r="Y146" t="s">
        <v>223</v>
      </c>
      <c r="Z146" t="s">
        <v>223</v>
      </c>
      <c r="AA146" t="s">
        <v>223</v>
      </c>
      <c r="AB146" t="s">
        <v>223</v>
      </c>
      <c r="AC146" t="s">
        <v>223</v>
      </c>
      <c r="AD146" t="s">
        <v>223</v>
      </c>
      <c r="AE146" t="s">
        <v>223</v>
      </c>
      <c r="AF146" t="s">
        <v>223</v>
      </c>
      <c r="AG146" t="s">
        <v>223</v>
      </c>
      <c r="AH146" t="s">
        <v>223</v>
      </c>
      <c r="AI146" t="s">
        <v>223</v>
      </c>
      <c r="AJ146" t="s">
        <v>223</v>
      </c>
      <c r="AK146" t="s">
        <v>223</v>
      </c>
      <c r="AL146" t="s">
        <v>223</v>
      </c>
      <c r="AM146" t="s">
        <v>223</v>
      </c>
      <c r="AN146" s="9">
        <v>38</v>
      </c>
    </row>
    <row r="147" spans="1:40">
      <c r="A147" t="s">
        <v>368</v>
      </c>
      <c r="B147">
        <v>39</v>
      </c>
      <c r="C147" t="s">
        <v>223</v>
      </c>
      <c r="D147" t="s">
        <v>223</v>
      </c>
      <c r="E147" t="s">
        <v>223</v>
      </c>
      <c r="F147" t="s">
        <v>223</v>
      </c>
      <c r="G147" t="s">
        <v>223</v>
      </c>
      <c r="H147" t="s">
        <v>223</v>
      </c>
      <c r="I147" t="s">
        <v>223</v>
      </c>
      <c r="J147" t="s">
        <v>223</v>
      </c>
      <c r="K147" t="s">
        <v>223</v>
      </c>
      <c r="L147" t="s">
        <v>223</v>
      </c>
      <c r="M147" t="s">
        <v>223</v>
      </c>
      <c r="N147" t="s">
        <v>223</v>
      </c>
      <c r="O147" t="s">
        <v>223</v>
      </c>
      <c r="P147" t="s">
        <v>223</v>
      </c>
      <c r="Q147" t="s">
        <v>223</v>
      </c>
      <c r="R147" t="s">
        <v>223</v>
      </c>
      <c r="S147" t="s">
        <v>223</v>
      </c>
      <c r="T147" t="s">
        <v>223</v>
      </c>
      <c r="U147" t="s">
        <v>223</v>
      </c>
      <c r="V147" t="s">
        <v>223</v>
      </c>
      <c r="W147" t="s">
        <v>223</v>
      </c>
      <c r="X147" t="s">
        <v>223</v>
      </c>
      <c r="Y147" t="s">
        <v>223</v>
      </c>
      <c r="Z147" t="s">
        <v>223</v>
      </c>
      <c r="AA147" t="s">
        <v>223</v>
      </c>
      <c r="AB147" t="s">
        <v>223</v>
      </c>
      <c r="AC147" t="s">
        <v>223</v>
      </c>
      <c r="AD147" t="s">
        <v>223</v>
      </c>
      <c r="AE147" t="s">
        <v>223</v>
      </c>
      <c r="AF147" t="s">
        <v>223</v>
      </c>
      <c r="AG147" t="s">
        <v>223</v>
      </c>
      <c r="AH147" t="s">
        <v>223</v>
      </c>
      <c r="AI147" t="s">
        <v>223</v>
      </c>
      <c r="AJ147" t="s">
        <v>223</v>
      </c>
      <c r="AK147" t="s">
        <v>223</v>
      </c>
      <c r="AL147" t="s">
        <v>223</v>
      </c>
      <c r="AM147" t="s">
        <v>223</v>
      </c>
      <c r="AN147" s="9">
        <v>39</v>
      </c>
    </row>
    <row r="148" spans="1:40">
      <c r="A148" t="s">
        <v>368</v>
      </c>
      <c r="B148">
        <v>40</v>
      </c>
      <c r="C148" t="s">
        <v>223</v>
      </c>
      <c r="D148" t="s">
        <v>223</v>
      </c>
      <c r="E148" t="s">
        <v>223</v>
      </c>
      <c r="F148" t="s">
        <v>223</v>
      </c>
      <c r="G148" t="s">
        <v>223</v>
      </c>
      <c r="H148" t="s">
        <v>223</v>
      </c>
      <c r="I148" t="s">
        <v>223</v>
      </c>
      <c r="J148" t="s">
        <v>223</v>
      </c>
      <c r="K148" t="s">
        <v>223</v>
      </c>
      <c r="L148" t="s">
        <v>223</v>
      </c>
      <c r="M148" t="s">
        <v>223</v>
      </c>
      <c r="N148" t="s">
        <v>223</v>
      </c>
      <c r="O148" t="s">
        <v>223</v>
      </c>
      <c r="P148" t="s">
        <v>223</v>
      </c>
      <c r="Q148" t="s">
        <v>223</v>
      </c>
      <c r="R148" t="s">
        <v>223</v>
      </c>
      <c r="S148" t="s">
        <v>223</v>
      </c>
      <c r="T148" t="s">
        <v>223</v>
      </c>
      <c r="U148" t="s">
        <v>223</v>
      </c>
      <c r="V148" t="s">
        <v>223</v>
      </c>
      <c r="W148" t="s">
        <v>223</v>
      </c>
      <c r="X148" t="s">
        <v>223</v>
      </c>
      <c r="Y148" t="s">
        <v>223</v>
      </c>
      <c r="Z148" t="s">
        <v>223</v>
      </c>
      <c r="AA148" t="s">
        <v>223</v>
      </c>
      <c r="AB148" t="s">
        <v>223</v>
      </c>
      <c r="AC148" t="s">
        <v>223</v>
      </c>
      <c r="AD148" t="s">
        <v>223</v>
      </c>
      <c r="AE148" t="s">
        <v>223</v>
      </c>
      <c r="AF148" t="s">
        <v>223</v>
      </c>
      <c r="AG148" t="s">
        <v>223</v>
      </c>
      <c r="AH148" t="s">
        <v>223</v>
      </c>
      <c r="AI148" t="s">
        <v>223</v>
      </c>
      <c r="AJ148" t="s">
        <v>223</v>
      </c>
      <c r="AK148" t="s">
        <v>223</v>
      </c>
      <c r="AL148" t="s">
        <v>223</v>
      </c>
      <c r="AM148" t="s">
        <v>223</v>
      </c>
      <c r="AN148" s="9">
        <v>40</v>
      </c>
    </row>
    <row r="149" spans="1:40">
      <c r="A149" t="s">
        <v>368</v>
      </c>
      <c r="B149">
        <v>41</v>
      </c>
      <c r="C149" t="s">
        <v>223</v>
      </c>
      <c r="D149" t="s">
        <v>223</v>
      </c>
      <c r="E149" t="s">
        <v>223</v>
      </c>
      <c r="F149" t="s">
        <v>223</v>
      </c>
      <c r="G149" t="s">
        <v>223</v>
      </c>
      <c r="H149" t="s">
        <v>223</v>
      </c>
      <c r="I149" t="s">
        <v>223</v>
      </c>
      <c r="J149" t="s">
        <v>223</v>
      </c>
      <c r="K149" t="s">
        <v>223</v>
      </c>
      <c r="L149" t="s">
        <v>223</v>
      </c>
      <c r="M149" t="s">
        <v>223</v>
      </c>
      <c r="N149" t="s">
        <v>223</v>
      </c>
      <c r="O149" t="s">
        <v>223</v>
      </c>
      <c r="P149" t="s">
        <v>223</v>
      </c>
      <c r="Q149" t="s">
        <v>223</v>
      </c>
      <c r="R149" t="s">
        <v>223</v>
      </c>
      <c r="S149" t="s">
        <v>223</v>
      </c>
      <c r="T149" t="s">
        <v>223</v>
      </c>
      <c r="U149" t="s">
        <v>223</v>
      </c>
      <c r="V149" t="s">
        <v>223</v>
      </c>
      <c r="W149" t="s">
        <v>223</v>
      </c>
      <c r="X149" t="s">
        <v>223</v>
      </c>
      <c r="Y149" t="s">
        <v>223</v>
      </c>
      <c r="Z149" t="s">
        <v>223</v>
      </c>
      <c r="AA149" t="s">
        <v>223</v>
      </c>
      <c r="AB149" t="s">
        <v>223</v>
      </c>
      <c r="AC149" t="s">
        <v>223</v>
      </c>
      <c r="AD149" t="s">
        <v>223</v>
      </c>
      <c r="AE149" t="s">
        <v>223</v>
      </c>
      <c r="AF149" t="s">
        <v>223</v>
      </c>
      <c r="AG149" t="s">
        <v>223</v>
      </c>
      <c r="AH149" t="s">
        <v>223</v>
      </c>
      <c r="AI149" t="s">
        <v>223</v>
      </c>
      <c r="AJ149" t="s">
        <v>223</v>
      </c>
      <c r="AK149" t="s">
        <v>223</v>
      </c>
      <c r="AL149" t="s">
        <v>223</v>
      </c>
      <c r="AM149" t="s">
        <v>223</v>
      </c>
      <c r="AN149" s="9">
        <v>41</v>
      </c>
    </row>
    <row r="150" spans="1:40">
      <c r="A150" t="s">
        <v>368</v>
      </c>
      <c r="B150">
        <v>42</v>
      </c>
      <c r="C150" t="s">
        <v>223</v>
      </c>
      <c r="D150" t="s">
        <v>223</v>
      </c>
      <c r="E150" t="s">
        <v>223</v>
      </c>
      <c r="F150" t="s">
        <v>223</v>
      </c>
      <c r="G150" t="s">
        <v>223</v>
      </c>
      <c r="H150" t="s">
        <v>223</v>
      </c>
      <c r="I150" t="s">
        <v>223</v>
      </c>
      <c r="J150" t="s">
        <v>223</v>
      </c>
      <c r="K150" t="s">
        <v>223</v>
      </c>
      <c r="L150" t="s">
        <v>223</v>
      </c>
      <c r="M150" t="s">
        <v>223</v>
      </c>
      <c r="N150" t="s">
        <v>223</v>
      </c>
      <c r="O150" t="s">
        <v>223</v>
      </c>
      <c r="P150" t="s">
        <v>223</v>
      </c>
      <c r="Q150" t="s">
        <v>223</v>
      </c>
      <c r="R150" t="s">
        <v>223</v>
      </c>
      <c r="S150" t="s">
        <v>223</v>
      </c>
      <c r="T150" t="s">
        <v>223</v>
      </c>
      <c r="U150" t="s">
        <v>223</v>
      </c>
      <c r="V150" t="s">
        <v>223</v>
      </c>
      <c r="W150" t="s">
        <v>223</v>
      </c>
      <c r="X150" t="s">
        <v>223</v>
      </c>
      <c r="Y150" t="s">
        <v>223</v>
      </c>
      <c r="Z150" t="s">
        <v>223</v>
      </c>
      <c r="AA150" t="s">
        <v>223</v>
      </c>
      <c r="AB150" t="s">
        <v>223</v>
      </c>
      <c r="AC150" t="s">
        <v>223</v>
      </c>
      <c r="AD150" t="s">
        <v>223</v>
      </c>
      <c r="AE150" t="s">
        <v>223</v>
      </c>
      <c r="AF150" t="s">
        <v>223</v>
      </c>
      <c r="AG150" t="s">
        <v>223</v>
      </c>
      <c r="AH150" t="s">
        <v>223</v>
      </c>
      <c r="AI150" t="s">
        <v>223</v>
      </c>
      <c r="AJ150" t="s">
        <v>223</v>
      </c>
      <c r="AK150" t="s">
        <v>223</v>
      </c>
      <c r="AL150" t="s">
        <v>223</v>
      </c>
      <c r="AM150" t="s">
        <v>223</v>
      </c>
      <c r="AN150" s="9">
        <v>42</v>
      </c>
    </row>
    <row r="151" spans="1:40">
      <c r="A151" t="s">
        <v>368</v>
      </c>
      <c r="B151">
        <v>43</v>
      </c>
      <c r="C151" t="s">
        <v>223</v>
      </c>
      <c r="D151" t="s">
        <v>223</v>
      </c>
      <c r="E151" t="s">
        <v>223</v>
      </c>
      <c r="F151" t="s">
        <v>223</v>
      </c>
      <c r="G151" t="s">
        <v>223</v>
      </c>
      <c r="H151" t="s">
        <v>223</v>
      </c>
      <c r="I151" t="s">
        <v>223</v>
      </c>
      <c r="J151" t="s">
        <v>223</v>
      </c>
      <c r="K151" t="s">
        <v>223</v>
      </c>
      <c r="L151" t="s">
        <v>223</v>
      </c>
      <c r="M151" t="s">
        <v>223</v>
      </c>
      <c r="N151" t="s">
        <v>223</v>
      </c>
      <c r="O151" t="s">
        <v>223</v>
      </c>
      <c r="P151" t="s">
        <v>223</v>
      </c>
      <c r="Q151" t="s">
        <v>223</v>
      </c>
      <c r="R151" t="s">
        <v>223</v>
      </c>
      <c r="S151" t="s">
        <v>223</v>
      </c>
      <c r="T151" t="s">
        <v>223</v>
      </c>
      <c r="U151" t="s">
        <v>223</v>
      </c>
      <c r="V151" t="s">
        <v>223</v>
      </c>
      <c r="W151" t="s">
        <v>223</v>
      </c>
      <c r="X151" t="s">
        <v>223</v>
      </c>
      <c r="Y151" t="s">
        <v>223</v>
      </c>
      <c r="Z151" t="s">
        <v>223</v>
      </c>
      <c r="AA151" t="s">
        <v>223</v>
      </c>
      <c r="AB151" t="s">
        <v>223</v>
      </c>
      <c r="AC151" t="s">
        <v>223</v>
      </c>
      <c r="AD151" t="s">
        <v>223</v>
      </c>
      <c r="AE151" t="s">
        <v>223</v>
      </c>
      <c r="AF151" t="s">
        <v>223</v>
      </c>
      <c r="AG151" t="s">
        <v>223</v>
      </c>
      <c r="AH151" t="s">
        <v>223</v>
      </c>
      <c r="AI151" t="s">
        <v>223</v>
      </c>
      <c r="AJ151" t="s">
        <v>223</v>
      </c>
      <c r="AK151" t="s">
        <v>223</v>
      </c>
      <c r="AL151" t="s">
        <v>223</v>
      </c>
      <c r="AM151" t="s">
        <v>223</v>
      </c>
      <c r="AN151" s="9">
        <v>43</v>
      </c>
    </row>
    <row r="152" spans="1:40">
      <c r="A152" t="s">
        <v>368</v>
      </c>
      <c r="B152">
        <v>44</v>
      </c>
      <c r="C152" t="s">
        <v>223</v>
      </c>
      <c r="D152" t="s">
        <v>223</v>
      </c>
      <c r="E152" t="s">
        <v>223</v>
      </c>
      <c r="F152" t="s">
        <v>223</v>
      </c>
      <c r="G152" t="s">
        <v>223</v>
      </c>
      <c r="H152" t="s">
        <v>223</v>
      </c>
      <c r="I152" t="s">
        <v>223</v>
      </c>
      <c r="J152" t="s">
        <v>223</v>
      </c>
      <c r="K152" t="s">
        <v>223</v>
      </c>
      <c r="L152" t="s">
        <v>223</v>
      </c>
      <c r="M152" t="s">
        <v>223</v>
      </c>
      <c r="N152" t="s">
        <v>223</v>
      </c>
      <c r="O152" t="s">
        <v>223</v>
      </c>
      <c r="P152" t="s">
        <v>223</v>
      </c>
      <c r="Q152" t="s">
        <v>223</v>
      </c>
      <c r="R152" t="s">
        <v>223</v>
      </c>
      <c r="S152" t="s">
        <v>223</v>
      </c>
      <c r="T152" t="s">
        <v>223</v>
      </c>
      <c r="U152" t="s">
        <v>223</v>
      </c>
      <c r="V152" t="s">
        <v>223</v>
      </c>
      <c r="W152" t="s">
        <v>223</v>
      </c>
      <c r="X152" t="s">
        <v>223</v>
      </c>
      <c r="Y152" t="s">
        <v>223</v>
      </c>
      <c r="Z152" t="s">
        <v>223</v>
      </c>
      <c r="AA152" t="s">
        <v>223</v>
      </c>
      <c r="AB152" t="s">
        <v>223</v>
      </c>
      <c r="AC152" t="s">
        <v>223</v>
      </c>
      <c r="AD152" t="s">
        <v>223</v>
      </c>
      <c r="AE152" t="s">
        <v>223</v>
      </c>
      <c r="AF152" t="s">
        <v>223</v>
      </c>
      <c r="AG152" t="s">
        <v>223</v>
      </c>
      <c r="AH152" t="s">
        <v>223</v>
      </c>
      <c r="AI152" t="s">
        <v>223</v>
      </c>
      <c r="AJ152" t="s">
        <v>223</v>
      </c>
      <c r="AK152" t="s">
        <v>223</v>
      </c>
      <c r="AL152" t="s">
        <v>223</v>
      </c>
      <c r="AM152" t="s">
        <v>223</v>
      </c>
      <c r="AN152" s="9">
        <v>44</v>
      </c>
    </row>
    <row r="153" spans="1:40">
      <c r="A153" t="s">
        <v>368</v>
      </c>
      <c r="B153">
        <v>45</v>
      </c>
      <c r="C153" t="s">
        <v>223</v>
      </c>
      <c r="D153" t="s">
        <v>223</v>
      </c>
      <c r="E153" t="s">
        <v>223</v>
      </c>
      <c r="F153" t="s">
        <v>223</v>
      </c>
      <c r="G153" t="s">
        <v>223</v>
      </c>
      <c r="H153" t="s">
        <v>223</v>
      </c>
      <c r="I153" t="s">
        <v>223</v>
      </c>
      <c r="J153" t="s">
        <v>223</v>
      </c>
      <c r="K153" t="s">
        <v>223</v>
      </c>
      <c r="L153" t="s">
        <v>223</v>
      </c>
      <c r="M153" t="s">
        <v>223</v>
      </c>
      <c r="N153" t="s">
        <v>223</v>
      </c>
      <c r="O153" t="s">
        <v>223</v>
      </c>
      <c r="P153" t="s">
        <v>223</v>
      </c>
      <c r="Q153" t="s">
        <v>223</v>
      </c>
      <c r="R153" t="s">
        <v>223</v>
      </c>
      <c r="S153" t="s">
        <v>223</v>
      </c>
      <c r="T153" t="s">
        <v>223</v>
      </c>
      <c r="U153" t="s">
        <v>223</v>
      </c>
      <c r="V153" t="s">
        <v>223</v>
      </c>
      <c r="W153" t="s">
        <v>223</v>
      </c>
      <c r="X153" t="s">
        <v>223</v>
      </c>
      <c r="Y153" t="s">
        <v>223</v>
      </c>
      <c r="Z153" t="s">
        <v>223</v>
      </c>
      <c r="AA153" t="s">
        <v>223</v>
      </c>
      <c r="AB153" t="s">
        <v>223</v>
      </c>
      <c r="AC153" t="s">
        <v>223</v>
      </c>
      <c r="AD153" t="s">
        <v>223</v>
      </c>
      <c r="AE153" t="s">
        <v>223</v>
      </c>
      <c r="AF153" t="s">
        <v>223</v>
      </c>
      <c r="AG153" t="s">
        <v>223</v>
      </c>
      <c r="AH153" t="s">
        <v>223</v>
      </c>
      <c r="AI153" t="s">
        <v>223</v>
      </c>
      <c r="AJ153" t="s">
        <v>223</v>
      </c>
      <c r="AK153" t="s">
        <v>223</v>
      </c>
      <c r="AL153" t="s">
        <v>223</v>
      </c>
      <c r="AM153" t="s">
        <v>223</v>
      </c>
      <c r="AN153" s="9">
        <v>45</v>
      </c>
    </row>
    <row r="154" spans="1:40">
      <c r="A154" t="s">
        <v>368</v>
      </c>
      <c r="B154">
        <v>46</v>
      </c>
      <c r="C154" t="s">
        <v>223</v>
      </c>
      <c r="D154" t="s">
        <v>223</v>
      </c>
      <c r="E154" t="s">
        <v>223</v>
      </c>
      <c r="F154" t="s">
        <v>223</v>
      </c>
      <c r="G154" t="s">
        <v>223</v>
      </c>
      <c r="H154" t="s">
        <v>223</v>
      </c>
      <c r="I154" t="s">
        <v>223</v>
      </c>
      <c r="J154" t="s">
        <v>223</v>
      </c>
      <c r="K154" t="s">
        <v>223</v>
      </c>
      <c r="L154" t="s">
        <v>223</v>
      </c>
      <c r="M154" t="s">
        <v>223</v>
      </c>
      <c r="N154" t="s">
        <v>223</v>
      </c>
      <c r="O154" t="s">
        <v>223</v>
      </c>
      <c r="P154" t="s">
        <v>223</v>
      </c>
      <c r="Q154" t="s">
        <v>223</v>
      </c>
      <c r="R154" t="s">
        <v>223</v>
      </c>
      <c r="S154" t="s">
        <v>223</v>
      </c>
      <c r="T154" t="s">
        <v>223</v>
      </c>
      <c r="U154" t="s">
        <v>223</v>
      </c>
      <c r="V154" t="s">
        <v>223</v>
      </c>
      <c r="W154" t="s">
        <v>223</v>
      </c>
      <c r="X154" t="s">
        <v>223</v>
      </c>
      <c r="Y154" t="s">
        <v>223</v>
      </c>
      <c r="Z154" t="s">
        <v>223</v>
      </c>
      <c r="AA154" t="s">
        <v>223</v>
      </c>
      <c r="AB154" t="s">
        <v>223</v>
      </c>
      <c r="AC154" t="s">
        <v>223</v>
      </c>
      <c r="AD154" t="s">
        <v>223</v>
      </c>
      <c r="AE154" t="s">
        <v>223</v>
      </c>
      <c r="AF154" t="s">
        <v>223</v>
      </c>
      <c r="AG154" t="s">
        <v>223</v>
      </c>
      <c r="AH154" t="s">
        <v>223</v>
      </c>
      <c r="AI154" t="s">
        <v>223</v>
      </c>
      <c r="AJ154" t="s">
        <v>223</v>
      </c>
      <c r="AK154" t="s">
        <v>223</v>
      </c>
      <c r="AL154" t="s">
        <v>223</v>
      </c>
      <c r="AM154" t="s">
        <v>223</v>
      </c>
      <c r="AN154" s="9">
        <v>46</v>
      </c>
    </row>
    <row r="155" spans="1:40">
      <c r="A155" t="s">
        <v>368</v>
      </c>
      <c r="B155">
        <v>47</v>
      </c>
      <c r="C155" t="s">
        <v>223</v>
      </c>
      <c r="D155" t="s">
        <v>223</v>
      </c>
      <c r="E155" t="s">
        <v>223</v>
      </c>
      <c r="F155" t="s">
        <v>223</v>
      </c>
      <c r="G155" t="s">
        <v>223</v>
      </c>
      <c r="H155" t="s">
        <v>223</v>
      </c>
      <c r="I155" t="s">
        <v>223</v>
      </c>
      <c r="J155" t="s">
        <v>223</v>
      </c>
      <c r="K155" t="s">
        <v>223</v>
      </c>
      <c r="L155" t="s">
        <v>223</v>
      </c>
      <c r="M155" t="s">
        <v>223</v>
      </c>
      <c r="N155" t="s">
        <v>223</v>
      </c>
      <c r="O155" t="s">
        <v>223</v>
      </c>
      <c r="P155" t="s">
        <v>223</v>
      </c>
      <c r="Q155" t="s">
        <v>223</v>
      </c>
      <c r="R155" t="s">
        <v>223</v>
      </c>
      <c r="S155" t="s">
        <v>223</v>
      </c>
      <c r="T155" t="s">
        <v>223</v>
      </c>
      <c r="U155" t="s">
        <v>223</v>
      </c>
      <c r="V155" t="s">
        <v>223</v>
      </c>
      <c r="W155" t="s">
        <v>223</v>
      </c>
      <c r="X155" t="s">
        <v>223</v>
      </c>
      <c r="Y155" t="s">
        <v>223</v>
      </c>
      <c r="Z155" t="s">
        <v>223</v>
      </c>
      <c r="AA155" t="s">
        <v>223</v>
      </c>
      <c r="AB155" t="s">
        <v>223</v>
      </c>
      <c r="AC155" t="s">
        <v>223</v>
      </c>
      <c r="AD155" t="s">
        <v>223</v>
      </c>
      <c r="AE155" t="s">
        <v>223</v>
      </c>
      <c r="AF155" t="s">
        <v>223</v>
      </c>
      <c r="AG155" t="s">
        <v>223</v>
      </c>
      <c r="AH155" t="s">
        <v>223</v>
      </c>
      <c r="AI155" t="s">
        <v>223</v>
      </c>
      <c r="AJ155" t="s">
        <v>223</v>
      </c>
      <c r="AK155" t="s">
        <v>223</v>
      </c>
      <c r="AL155" t="s">
        <v>223</v>
      </c>
      <c r="AM155" t="s">
        <v>223</v>
      </c>
      <c r="AN155" s="9">
        <v>47</v>
      </c>
    </row>
    <row r="156" spans="1:40">
      <c r="A156" t="s">
        <v>368</v>
      </c>
      <c r="B156">
        <v>48</v>
      </c>
      <c r="C156" t="s">
        <v>223</v>
      </c>
      <c r="D156" t="s">
        <v>223</v>
      </c>
      <c r="E156" t="s">
        <v>223</v>
      </c>
      <c r="F156" t="s">
        <v>223</v>
      </c>
      <c r="G156" t="s">
        <v>223</v>
      </c>
      <c r="H156" t="s">
        <v>223</v>
      </c>
      <c r="I156" t="s">
        <v>223</v>
      </c>
      <c r="J156" t="s">
        <v>223</v>
      </c>
      <c r="K156" t="s">
        <v>223</v>
      </c>
      <c r="L156" t="s">
        <v>223</v>
      </c>
      <c r="M156" t="s">
        <v>223</v>
      </c>
      <c r="N156" t="s">
        <v>223</v>
      </c>
      <c r="O156" t="s">
        <v>223</v>
      </c>
      <c r="P156" t="s">
        <v>223</v>
      </c>
      <c r="Q156" t="s">
        <v>223</v>
      </c>
      <c r="R156" t="s">
        <v>223</v>
      </c>
      <c r="S156" t="s">
        <v>223</v>
      </c>
      <c r="T156" t="s">
        <v>223</v>
      </c>
      <c r="U156" t="s">
        <v>223</v>
      </c>
      <c r="V156" t="s">
        <v>223</v>
      </c>
      <c r="W156" t="s">
        <v>223</v>
      </c>
      <c r="X156" t="s">
        <v>223</v>
      </c>
      <c r="Y156" t="s">
        <v>223</v>
      </c>
      <c r="Z156" t="s">
        <v>223</v>
      </c>
      <c r="AA156" t="s">
        <v>223</v>
      </c>
      <c r="AB156" t="s">
        <v>223</v>
      </c>
      <c r="AC156" t="s">
        <v>223</v>
      </c>
      <c r="AD156" t="s">
        <v>223</v>
      </c>
      <c r="AE156" t="s">
        <v>223</v>
      </c>
      <c r="AF156" t="s">
        <v>223</v>
      </c>
      <c r="AG156" t="s">
        <v>223</v>
      </c>
      <c r="AH156" t="s">
        <v>223</v>
      </c>
      <c r="AI156" t="s">
        <v>223</v>
      </c>
      <c r="AJ156" t="s">
        <v>223</v>
      </c>
      <c r="AK156" t="s">
        <v>223</v>
      </c>
      <c r="AL156" t="s">
        <v>223</v>
      </c>
      <c r="AM156" t="s">
        <v>223</v>
      </c>
      <c r="AN156" s="9">
        <v>48</v>
      </c>
    </row>
    <row r="157" spans="1:40">
      <c r="A157" t="s">
        <v>368</v>
      </c>
      <c r="B157">
        <v>49</v>
      </c>
      <c r="C157" t="s">
        <v>223</v>
      </c>
      <c r="D157" t="s">
        <v>223</v>
      </c>
      <c r="E157" t="s">
        <v>223</v>
      </c>
      <c r="F157" t="s">
        <v>223</v>
      </c>
      <c r="G157" t="s">
        <v>223</v>
      </c>
      <c r="H157" t="s">
        <v>223</v>
      </c>
      <c r="I157" t="s">
        <v>223</v>
      </c>
      <c r="J157" t="s">
        <v>223</v>
      </c>
      <c r="K157" t="s">
        <v>223</v>
      </c>
      <c r="L157" t="s">
        <v>223</v>
      </c>
      <c r="M157" t="s">
        <v>223</v>
      </c>
      <c r="N157" t="s">
        <v>223</v>
      </c>
      <c r="O157" t="s">
        <v>223</v>
      </c>
      <c r="P157" t="s">
        <v>223</v>
      </c>
      <c r="Q157" t="s">
        <v>223</v>
      </c>
      <c r="R157" t="s">
        <v>223</v>
      </c>
      <c r="S157" t="s">
        <v>223</v>
      </c>
      <c r="T157" t="s">
        <v>223</v>
      </c>
      <c r="U157" t="s">
        <v>223</v>
      </c>
      <c r="V157" t="s">
        <v>223</v>
      </c>
      <c r="W157" t="s">
        <v>223</v>
      </c>
      <c r="X157" t="s">
        <v>223</v>
      </c>
      <c r="Y157" t="s">
        <v>223</v>
      </c>
      <c r="Z157" t="s">
        <v>223</v>
      </c>
      <c r="AA157" t="s">
        <v>223</v>
      </c>
      <c r="AB157" t="s">
        <v>223</v>
      </c>
      <c r="AC157" t="s">
        <v>223</v>
      </c>
      <c r="AD157" t="s">
        <v>223</v>
      </c>
      <c r="AE157" t="s">
        <v>223</v>
      </c>
      <c r="AF157" t="s">
        <v>223</v>
      </c>
      <c r="AG157" t="s">
        <v>223</v>
      </c>
      <c r="AH157" t="s">
        <v>223</v>
      </c>
      <c r="AI157" t="s">
        <v>223</v>
      </c>
      <c r="AJ157" t="s">
        <v>223</v>
      </c>
      <c r="AK157" t="s">
        <v>223</v>
      </c>
      <c r="AL157" t="s">
        <v>223</v>
      </c>
      <c r="AM157" t="s">
        <v>223</v>
      </c>
      <c r="AN157" s="9">
        <v>49</v>
      </c>
    </row>
    <row r="158" spans="1:40">
      <c r="A158" t="s">
        <v>368</v>
      </c>
      <c r="B158">
        <v>50</v>
      </c>
      <c r="C158" t="s">
        <v>223</v>
      </c>
      <c r="D158" t="s">
        <v>223</v>
      </c>
      <c r="E158" t="s">
        <v>223</v>
      </c>
      <c r="F158" t="s">
        <v>223</v>
      </c>
      <c r="G158" t="s">
        <v>223</v>
      </c>
      <c r="H158" t="s">
        <v>223</v>
      </c>
      <c r="I158" t="s">
        <v>223</v>
      </c>
      <c r="J158" t="s">
        <v>223</v>
      </c>
      <c r="K158" t="s">
        <v>223</v>
      </c>
      <c r="L158" t="s">
        <v>223</v>
      </c>
      <c r="M158" t="s">
        <v>223</v>
      </c>
      <c r="N158" t="s">
        <v>223</v>
      </c>
      <c r="O158" t="s">
        <v>223</v>
      </c>
      <c r="P158" t="s">
        <v>223</v>
      </c>
      <c r="Q158" t="s">
        <v>223</v>
      </c>
      <c r="R158" t="s">
        <v>223</v>
      </c>
      <c r="S158" t="s">
        <v>223</v>
      </c>
      <c r="T158" t="s">
        <v>223</v>
      </c>
      <c r="U158" t="s">
        <v>223</v>
      </c>
      <c r="V158" t="s">
        <v>223</v>
      </c>
      <c r="W158" t="s">
        <v>223</v>
      </c>
      <c r="X158" t="s">
        <v>223</v>
      </c>
      <c r="Y158" t="s">
        <v>223</v>
      </c>
      <c r="Z158" t="s">
        <v>223</v>
      </c>
      <c r="AA158" t="s">
        <v>223</v>
      </c>
      <c r="AB158" t="s">
        <v>223</v>
      </c>
      <c r="AC158" t="s">
        <v>223</v>
      </c>
      <c r="AD158" t="s">
        <v>223</v>
      </c>
      <c r="AE158" t="s">
        <v>223</v>
      </c>
      <c r="AF158" t="s">
        <v>223</v>
      </c>
      <c r="AG158" t="s">
        <v>223</v>
      </c>
      <c r="AH158" t="s">
        <v>223</v>
      </c>
      <c r="AI158" t="s">
        <v>223</v>
      </c>
      <c r="AJ158" t="s">
        <v>223</v>
      </c>
      <c r="AK158" t="s">
        <v>223</v>
      </c>
      <c r="AL158" t="s">
        <v>223</v>
      </c>
      <c r="AM158" t="s">
        <v>223</v>
      </c>
      <c r="AN158" s="9">
        <v>50</v>
      </c>
    </row>
    <row r="159" spans="1:40">
      <c r="A159" t="s">
        <v>368</v>
      </c>
      <c r="B159">
        <v>51</v>
      </c>
      <c r="C159" t="s">
        <v>223</v>
      </c>
      <c r="D159" t="s">
        <v>223</v>
      </c>
      <c r="E159" t="s">
        <v>223</v>
      </c>
      <c r="F159" t="s">
        <v>223</v>
      </c>
      <c r="G159" t="s">
        <v>223</v>
      </c>
      <c r="H159" t="s">
        <v>223</v>
      </c>
      <c r="I159" t="s">
        <v>223</v>
      </c>
      <c r="J159" t="s">
        <v>223</v>
      </c>
      <c r="K159" t="s">
        <v>223</v>
      </c>
      <c r="L159" t="s">
        <v>223</v>
      </c>
      <c r="M159" t="s">
        <v>223</v>
      </c>
      <c r="N159" t="s">
        <v>223</v>
      </c>
      <c r="O159" t="s">
        <v>223</v>
      </c>
      <c r="P159" t="s">
        <v>223</v>
      </c>
      <c r="Q159" t="s">
        <v>223</v>
      </c>
      <c r="R159" t="s">
        <v>223</v>
      </c>
      <c r="S159" t="s">
        <v>223</v>
      </c>
      <c r="T159" t="s">
        <v>223</v>
      </c>
      <c r="U159" t="s">
        <v>223</v>
      </c>
      <c r="V159" t="s">
        <v>223</v>
      </c>
      <c r="W159" t="s">
        <v>223</v>
      </c>
      <c r="X159" t="s">
        <v>223</v>
      </c>
      <c r="Y159" t="s">
        <v>223</v>
      </c>
      <c r="Z159" t="s">
        <v>223</v>
      </c>
      <c r="AA159" t="s">
        <v>223</v>
      </c>
      <c r="AB159" t="s">
        <v>223</v>
      </c>
      <c r="AC159" t="s">
        <v>223</v>
      </c>
      <c r="AD159" t="s">
        <v>223</v>
      </c>
      <c r="AE159" t="s">
        <v>223</v>
      </c>
      <c r="AF159" t="s">
        <v>223</v>
      </c>
      <c r="AG159" t="s">
        <v>223</v>
      </c>
      <c r="AH159" t="s">
        <v>223</v>
      </c>
      <c r="AI159" t="s">
        <v>223</v>
      </c>
      <c r="AJ159" t="s">
        <v>223</v>
      </c>
      <c r="AK159" t="s">
        <v>223</v>
      </c>
      <c r="AL159" t="s">
        <v>223</v>
      </c>
      <c r="AM159" t="s">
        <v>223</v>
      </c>
      <c r="AN159" s="9">
        <v>51</v>
      </c>
    </row>
    <row r="160" spans="1:40">
      <c r="A160" t="s">
        <v>368</v>
      </c>
      <c r="B160">
        <v>52</v>
      </c>
      <c r="C160" t="s">
        <v>223</v>
      </c>
      <c r="D160" t="s">
        <v>223</v>
      </c>
      <c r="E160" t="s">
        <v>223</v>
      </c>
      <c r="F160" t="s">
        <v>223</v>
      </c>
      <c r="G160" t="s">
        <v>223</v>
      </c>
      <c r="H160" t="s">
        <v>223</v>
      </c>
      <c r="I160" t="s">
        <v>223</v>
      </c>
      <c r="J160" t="s">
        <v>223</v>
      </c>
      <c r="K160" t="s">
        <v>223</v>
      </c>
      <c r="L160" t="s">
        <v>223</v>
      </c>
      <c r="M160" t="s">
        <v>223</v>
      </c>
      <c r="N160" t="s">
        <v>223</v>
      </c>
      <c r="O160" t="s">
        <v>223</v>
      </c>
      <c r="P160" t="s">
        <v>223</v>
      </c>
      <c r="Q160" t="s">
        <v>223</v>
      </c>
      <c r="R160" t="s">
        <v>223</v>
      </c>
      <c r="S160" t="s">
        <v>223</v>
      </c>
      <c r="T160" t="s">
        <v>223</v>
      </c>
      <c r="U160" t="s">
        <v>223</v>
      </c>
      <c r="V160" t="s">
        <v>223</v>
      </c>
      <c r="W160" t="s">
        <v>223</v>
      </c>
      <c r="X160" t="s">
        <v>223</v>
      </c>
      <c r="Y160" t="s">
        <v>223</v>
      </c>
      <c r="Z160" t="s">
        <v>223</v>
      </c>
      <c r="AA160" t="s">
        <v>223</v>
      </c>
      <c r="AB160" t="s">
        <v>223</v>
      </c>
      <c r="AC160" t="s">
        <v>223</v>
      </c>
      <c r="AD160" t="s">
        <v>223</v>
      </c>
      <c r="AE160" t="s">
        <v>223</v>
      </c>
      <c r="AF160" t="s">
        <v>223</v>
      </c>
      <c r="AG160" t="s">
        <v>223</v>
      </c>
      <c r="AH160" t="s">
        <v>223</v>
      </c>
      <c r="AI160" t="s">
        <v>223</v>
      </c>
      <c r="AJ160" t="s">
        <v>223</v>
      </c>
      <c r="AK160" t="s">
        <v>223</v>
      </c>
      <c r="AL160" t="s">
        <v>223</v>
      </c>
      <c r="AM160" t="s">
        <v>223</v>
      </c>
      <c r="AN160" s="9">
        <v>52</v>
      </c>
    </row>
    <row r="161" spans="1:40">
      <c r="A161" t="s">
        <v>368</v>
      </c>
      <c r="B161">
        <v>53</v>
      </c>
      <c r="C161" t="s">
        <v>223</v>
      </c>
      <c r="D161" t="s">
        <v>223</v>
      </c>
      <c r="E161" t="s">
        <v>223</v>
      </c>
      <c r="F161" t="s">
        <v>223</v>
      </c>
      <c r="G161" t="s">
        <v>223</v>
      </c>
      <c r="H161" t="s">
        <v>223</v>
      </c>
      <c r="I161" t="s">
        <v>223</v>
      </c>
      <c r="J161" t="s">
        <v>223</v>
      </c>
      <c r="K161" t="s">
        <v>223</v>
      </c>
      <c r="L161" t="s">
        <v>223</v>
      </c>
      <c r="M161" t="s">
        <v>223</v>
      </c>
      <c r="N161" t="s">
        <v>223</v>
      </c>
      <c r="O161" t="s">
        <v>223</v>
      </c>
      <c r="P161" t="s">
        <v>223</v>
      </c>
      <c r="Q161" t="s">
        <v>223</v>
      </c>
      <c r="R161" t="s">
        <v>223</v>
      </c>
      <c r="S161" t="s">
        <v>223</v>
      </c>
      <c r="T161" t="s">
        <v>223</v>
      </c>
      <c r="U161" t="s">
        <v>223</v>
      </c>
      <c r="V161" t="s">
        <v>223</v>
      </c>
      <c r="W161" t="s">
        <v>223</v>
      </c>
      <c r="X161" t="s">
        <v>223</v>
      </c>
      <c r="Y161" t="s">
        <v>223</v>
      </c>
      <c r="Z161" t="s">
        <v>223</v>
      </c>
      <c r="AA161" t="s">
        <v>223</v>
      </c>
      <c r="AB161" t="s">
        <v>223</v>
      </c>
      <c r="AC161" t="s">
        <v>223</v>
      </c>
      <c r="AD161" t="s">
        <v>223</v>
      </c>
      <c r="AE161" t="s">
        <v>223</v>
      </c>
      <c r="AF161" t="s">
        <v>223</v>
      </c>
      <c r="AG161" t="s">
        <v>223</v>
      </c>
      <c r="AH161" t="s">
        <v>223</v>
      </c>
      <c r="AI161" t="s">
        <v>223</v>
      </c>
      <c r="AJ161" t="s">
        <v>223</v>
      </c>
      <c r="AK161" t="s">
        <v>223</v>
      </c>
      <c r="AL161" t="s">
        <v>223</v>
      </c>
      <c r="AM161" t="s">
        <v>223</v>
      </c>
      <c r="AN161" s="9">
        <v>53</v>
      </c>
    </row>
    <row r="162" spans="1:40">
      <c r="A162" t="s">
        <v>369</v>
      </c>
      <c r="B162">
        <v>10</v>
      </c>
      <c r="C162">
        <v>11</v>
      </c>
      <c r="D162" t="s">
        <v>223</v>
      </c>
      <c r="E162" t="s">
        <v>223</v>
      </c>
      <c r="F162" t="s">
        <v>223</v>
      </c>
      <c r="G162" t="s">
        <v>223</v>
      </c>
      <c r="H162" t="s">
        <v>223</v>
      </c>
      <c r="I162" t="s">
        <v>223</v>
      </c>
      <c r="J162" t="s">
        <v>223</v>
      </c>
      <c r="K162" t="s">
        <v>223</v>
      </c>
      <c r="L162" t="s">
        <v>223</v>
      </c>
      <c r="M162" t="s">
        <v>223</v>
      </c>
      <c r="N162" t="s">
        <v>223</v>
      </c>
      <c r="O162" t="s">
        <v>223</v>
      </c>
      <c r="P162" t="s">
        <v>223</v>
      </c>
      <c r="Q162" t="s">
        <v>223</v>
      </c>
      <c r="R162" t="s">
        <v>223</v>
      </c>
      <c r="S162" t="s">
        <v>223</v>
      </c>
      <c r="T162" t="s">
        <v>223</v>
      </c>
      <c r="U162" t="s">
        <v>223</v>
      </c>
      <c r="V162" t="s">
        <v>223</v>
      </c>
      <c r="W162" t="s">
        <v>223</v>
      </c>
      <c r="X162" t="s">
        <v>223</v>
      </c>
      <c r="Y162" t="s">
        <v>223</v>
      </c>
      <c r="Z162" t="s">
        <v>223</v>
      </c>
      <c r="AA162" t="s">
        <v>223</v>
      </c>
      <c r="AB162" t="s">
        <v>223</v>
      </c>
      <c r="AC162" t="s">
        <v>223</v>
      </c>
      <c r="AD162" t="s">
        <v>223</v>
      </c>
      <c r="AE162" t="s">
        <v>223</v>
      </c>
      <c r="AF162" t="s">
        <v>223</v>
      </c>
      <c r="AG162" t="s">
        <v>223</v>
      </c>
      <c r="AH162" t="s">
        <v>223</v>
      </c>
      <c r="AI162" t="s">
        <v>223</v>
      </c>
      <c r="AJ162" t="s">
        <v>223</v>
      </c>
      <c r="AK162" t="s">
        <v>223</v>
      </c>
      <c r="AL162" t="s">
        <v>223</v>
      </c>
      <c r="AM162" t="s">
        <v>223</v>
      </c>
      <c r="AN162" s="9" t="s">
        <v>407</v>
      </c>
    </row>
    <row r="163" spans="1:40">
      <c r="A163" t="s">
        <v>369</v>
      </c>
      <c r="B163">
        <v>14</v>
      </c>
      <c r="C163">
        <v>15</v>
      </c>
      <c r="D163" t="s">
        <v>223</v>
      </c>
      <c r="E163" t="s">
        <v>223</v>
      </c>
      <c r="F163" t="s">
        <v>223</v>
      </c>
      <c r="G163" t="s">
        <v>223</v>
      </c>
      <c r="H163" t="s">
        <v>223</v>
      </c>
      <c r="I163" t="s">
        <v>223</v>
      </c>
      <c r="J163" t="s">
        <v>223</v>
      </c>
      <c r="K163" t="s">
        <v>223</v>
      </c>
      <c r="L163" t="s">
        <v>223</v>
      </c>
      <c r="M163" t="s">
        <v>223</v>
      </c>
      <c r="N163" t="s">
        <v>223</v>
      </c>
      <c r="O163" t="s">
        <v>223</v>
      </c>
      <c r="P163" t="s">
        <v>223</v>
      </c>
      <c r="Q163" t="s">
        <v>223</v>
      </c>
      <c r="R163" t="s">
        <v>223</v>
      </c>
      <c r="S163" t="s">
        <v>223</v>
      </c>
      <c r="T163" t="s">
        <v>223</v>
      </c>
      <c r="U163" t="s">
        <v>223</v>
      </c>
      <c r="V163" t="s">
        <v>223</v>
      </c>
      <c r="W163" t="s">
        <v>223</v>
      </c>
      <c r="X163" t="s">
        <v>223</v>
      </c>
      <c r="Y163" t="s">
        <v>223</v>
      </c>
      <c r="Z163" t="s">
        <v>223</v>
      </c>
      <c r="AA163" t="s">
        <v>223</v>
      </c>
      <c r="AB163" t="s">
        <v>223</v>
      </c>
      <c r="AC163" t="s">
        <v>223</v>
      </c>
      <c r="AD163" t="s">
        <v>223</v>
      </c>
      <c r="AE163" t="s">
        <v>223</v>
      </c>
      <c r="AF163" t="s">
        <v>223</v>
      </c>
      <c r="AG163" t="s">
        <v>223</v>
      </c>
      <c r="AH163" t="s">
        <v>223</v>
      </c>
      <c r="AI163" t="s">
        <v>223</v>
      </c>
      <c r="AJ163" t="s">
        <v>223</v>
      </c>
      <c r="AK163" t="s">
        <v>223</v>
      </c>
      <c r="AL163" t="s">
        <v>223</v>
      </c>
      <c r="AM163" t="s">
        <v>223</v>
      </c>
      <c r="AN163" s="9" t="s">
        <v>408</v>
      </c>
    </row>
    <row r="164" spans="1:40">
      <c r="A164" t="s">
        <v>369</v>
      </c>
      <c r="B164">
        <v>18</v>
      </c>
      <c r="C164">
        <v>19</v>
      </c>
      <c r="D164" t="s">
        <v>223</v>
      </c>
      <c r="E164" t="s">
        <v>223</v>
      </c>
      <c r="F164" t="s">
        <v>223</v>
      </c>
      <c r="G164" t="s">
        <v>223</v>
      </c>
      <c r="H164" t="s">
        <v>223</v>
      </c>
      <c r="I164" t="s">
        <v>223</v>
      </c>
      <c r="J164" t="s">
        <v>223</v>
      </c>
      <c r="K164" t="s">
        <v>223</v>
      </c>
      <c r="L164" t="s">
        <v>223</v>
      </c>
      <c r="M164" t="s">
        <v>223</v>
      </c>
      <c r="N164" t="s">
        <v>223</v>
      </c>
      <c r="O164" t="s">
        <v>223</v>
      </c>
      <c r="P164" t="s">
        <v>223</v>
      </c>
      <c r="Q164" t="s">
        <v>223</v>
      </c>
      <c r="R164" t="s">
        <v>223</v>
      </c>
      <c r="S164" t="s">
        <v>223</v>
      </c>
      <c r="T164" t="s">
        <v>223</v>
      </c>
      <c r="U164" t="s">
        <v>223</v>
      </c>
      <c r="V164" t="s">
        <v>223</v>
      </c>
      <c r="W164" t="s">
        <v>223</v>
      </c>
      <c r="X164" t="s">
        <v>223</v>
      </c>
      <c r="Y164" t="s">
        <v>223</v>
      </c>
      <c r="Z164" t="s">
        <v>223</v>
      </c>
      <c r="AA164" t="s">
        <v>223</v>
      </c>
      <c r="AB164" t="s">
        <v>223</v>
      </c>
      <c r="AC164" t="s">
        <v>223</v>
      </c>
      <c r="AD164" t="s">
        <v>223</v>
      </c>
      <c r="AE164" t="s">
        <v>223</v>
      </c>
      <c r="AF164" t="s">
        <v>223</v>
      </c>
      <c r="AG164" t="s">
        <v>223</v>
      </c>
      <c r="AH164" t="s">
        <v>223</v>
      </c>
      <c r="AI164" t="s">
        <v>223</v>
      </c>
      <c r="AJ164" t="s">
        <v>223</v>
      </c>
      <c r="AK164" t="s">
        <v>223</v>
      </c>
      <c r="AL164" t="s">
        <v>223</v>
      </c>
      <c r="AM164" t="s">
        <v>223</v>
      </c>
      <c r="AN164" s="9" t="s">
        <v>409</v>
      </c>
    </row>
    <row r="165" spans="1:40">
      <c r="A165" t="s">
        <v>369</v>
      </c>
      <c r="B165">
        <v>22</v>
      </c>
      <c r="C165">
        <v>23</v>
      </c>
      <c r="D165" t="s">
        <v>223</v>
      </c>
      <c r="E165" t="s">
        <v>223</v>
      </c>
      <c r="F165" t="s">
        <v>223</v>
      </c>
      <c r="G165" t="s">
        <v>223</v>
      </c>
      <c r="H165" t="s">
        <v>223</v>
      </c>
      <c r="I165" t="s">
        <v>223</v>
      </c>
      <c r="J165" t="s">
        <v>223</v>
      </c>
      <c r="K165" t="s">
        <v>223</v>
      </c>
      <c r="L165" t="s">
        <v>223</v>
      </c>
      <c r="M165" t="s">
        <v>223</v>
      </c>
      <c r="N165" t="s">
        <v>223</v>
      </c>
      <c r="O165" t="s">
        <v>223</v>
      </c>
      <c r="P165" t="s">
        <v>223</v>
      </c>
      <c r="Q165" t="s">
        <v>223</v>
      </c>
      <c r="R165" t="s">
        <v>223</v>
      </c>
      <c r="S165" t="s">
        <v>223</v>
      </c>
      <c r="T165" t="s">
        <v>223</v>
      </c>
      <c r="U165" t="s">
        <v>223</v>
      </c>
      <c r="V165" t="s">
        <v>223</v>
      </c>
      <c r="W165" t="s">
        <v>223</v>
      </c>
      <c r="X165" t="s">
        <v>223</v>
      </c>
      <c r="Y165" t="s">
        <v>223</v>
      </c>
      <c r="Z165" t="s">
        <v>223</v>
      </c>
      <c r="AA165" t="s">
        <v>223</v>
      </c>
      <c r="AB165" t="s">
        <v>223</v>
      </c>
      <c r="AC165" t="s">
        <v>223</v>
      </c>
      <c r="AD165" t="s">
        <v>223</v>
      </c>
      <c r="AE165" t="s">
        <v>223</v>
      </c>
      <c r="AF165" t="s">
        <v>223</v>
      </c>
      <c r="AG165" t="s">
        <v>223</v>
      </c>
      <c r="AH165" t="s">
        <v>223</v>
      </c>
      <c r="AI165" t="s">
        <v>223</v>
      </c>
      <c r="AJ165" t="s">
        <v>223</v>
      </c>
      <c r="AK165" t="s">
        <v>223</v>
      </c>
      <c r="AL165" t="s">
        <v>223</v>
      </c>
      <c r="AM165" t="s">
        <v>223</v>
      </c>
      <c r="AN165" s="9" t="s">
        <v>410</v>
      </c>
    </row>
    <row r="166" spans="1:40">
      <c r="A166" t="s">
        <v>369</v>
      </c>
      <c r="B166">
        <v>26</v>
      </c>
      <c r="C166">
        <v>27</v>
      </c>
      <c r="D166" t="s">
        <v>223</v>
      </c>
      <c r="E166" t="s">
        <v>223</v>
      </c>
      <c r="F166" t="s">
        <v>223</v>
      </c>
      <c r="G166" t="s">
        <v>223</v>
      </c>
      <c r="H166" t="s">
        <v>223</v>
      </c>
      <c r="I166" t="s">
        <v>223</v>
      </c>
      <c r="J166" t="s">
        <v>223</v>
      </c>
      <c r="K166" t="s">
        <v>223</v>
      </c>
      <c r="L166" t="s">
        <v>223</v>
      </c>
      <c r="M166" t="s">
        <v>223</v>
      </c>
      <c r="N166" t="s">
        <v>223</v>
      </c>
      <c r="O166" t="s">
        <v>223</v>
      </c>
      <c r="P166" t="s">
        <v>223</v>
      </c>
      <c r="Q166" t="s">
        <v>223</v>
      </c>
      <c r="R166" t="s">
        <v>223</v>
      </c>
      <c r="S166" t="s">
        <v>223</v>
      </c>
      <c r="T166" t="s">
        <v>223</v>
      </c>
      <c r="U166" t="s">
        <v>223</v>
      </c>
      <c r="V166" t="s">
        <v>223</v>
      </c>
      <c r="W166" t="s">
        <v>223</v>
      </c>
      <c r="X166" t="s">
        <v>223</v>
      </c>
      <c r="Y166" t="s">
        <v>223</v>
      </c>
      <c r="Z166" t="s">
        <v>223</v>
      </c>
      <c r="AA166" t="s">
        <v>223</v>
      </c>
      <c r="AB166" t="s">
        <v>223</v>
      </c>
      <c r="AC166" t="s">
        <v>223</v>
      </c>
      <c r="AD166" t="s">
        <v>223</v>
      </c>
      <c r="AE166" t="s">
        <v>223</v>
      </c>
      <c r="AF166" t="s">
        <v>223</v>
      </c>
      <c r="AG166" t="s">
        <v>223</v>
      </c>
      <c r="AH166" t="s">
        <v>223</v>
      </c>
      <c r="AI166" t="s">
        <v>223</v>
      </c>
      <c r="AJ166" t="s">
        <v>223</v>
      </c>
      <c r="AK166" t="s">
        <v>223</v>
      </c>
      <c r="AL166" t="s">
        <v>223</v>
      </c>
      <c r="AM166" t="s">
        <v>223</v>
      </c>
      <c r="AN166" s="9" t="s">
        <v>411</v>
      </c>
    </row>
    <row r="167" spans="1:40">
      <c r="A167" t="s">
        <v>369</v>
      </c>
      <c r="B167">
        <v>30</v>
      </c>
      <c r="C167">
        <v>31</v>
      </c>
      <c r="D167" t="s">
        <v>223</v>
      </c>
      <c r="E167" t="s">
        <v>223</v>
      </c>
      <c r="F167" t="s">
        <v>223</v>
      </c>
      <c r="G167" t="s">
        <v>223</v>
      </c>
      <c r="H167" t="s">
        <v>223</v>
      </c>
      <c r="I167" t="s">
        <v>223</v>
      </c>
      <c r="J167" t="s">
        <v>223</v>
      </c>
      <c r="K167" t="s">
        <v>223</v>
      </c>
      <c r="L167" t="s">
        <v>223</v>
      </c>
      <c r="M167" t="s">
        <v>223</v>
      </c>
      <c r="N167" t="s">
        <v>223</v>
      </c>
      <c r="O167" t="s">
        <v>223</v>
      </c>
      <c r="P167" t="s">
        <v>223</v>
      </c>
      <c r="Q167" t="s">
        <v>223</v>
      </c>
      <c r="R167" t="s">
        <v>223</v>
      </c>
      <c r="S167" t="s">
        <v>223</v>
      </c>
      <c r="T167" t="s">
        <v>223</v>
      </c>
      <c r="U167" t="s">
        <v>223</v>
      </c>
      <c r="V167" t="s">
        <v>223</v>
      </c>
      <c r="W167" t="s">
        <v>223</v>
      </c>
      <c r="X167" t="s">
        <v>223</v>
      </c>
      <c r="Y167" t="s">
        <v>223</v>
      </c>
      <c r="Z167" t="s">
        <v>223</v>
      </c>
      <c r="AA167" t="s">
        <v>223</v>
      </c>
      <c r="AB167" t="s">
        <v>223</v>
      </c>
      <c r="AC167" t="s">
        <v>223</v>
      </c>
      <c r="AD167" t="s">
        <v>223</v>
      </c>
      <c r="AE167" t="s">
        <v>223</v>
      </c>
      <c r="AF167" t="s">
        <v>223</v>
      </c>
      <c r="AG167" t="s">
        <v>223</v>
      </c>
      <c r="AH167" t="s">
        <v>223</v>
      </c>
      <c r="AI167" t="s">
        <v>223</v>
      </c>
      <c r="AJ167" t="s">
        <v>223</v>
      </c>
      <c r="AK167" t="s">
        <v>223</v>
      </c>
      <c r="AL167" t="s">
        <v>223</v>
      </c>
      <c r="AM167" t="s">
        <v>223</v>
      </c>
      <c r="AN167" s="9" t="s">
        <v>412</v>
      </c>
    </row>
    <row r="168" spans="1:40">
      <c r="A168" t="s">
        <v>369</v>
      </c>
      <c r="B168">
        <v>34</v>
      </c>
      <c r="C168">
        <v>35</v>
      </c>
      <c r="D168" t="s">
        <v>223</v>
      </c>
      <c r="E168" t="s">
        <v>223</v>
      </c>
      <c r="F168" t="s">
        <v>223</v>
      </c>
      <c r="G168" t="s">
        <v>223</v>
      </c>
      <c r="H168" t="s">
        <v>223</v>
      </c>
      <c r="I168" t="s">
        <v>223</v>
      </c>
      <c r="J168" t="s">
        <v>223</v>
      </c>
      <c r="K168" t="s">
        <v>223</v>
      </c>
      <c r="L168" t="s">
        <v>223</v>
      </c>
      <c r="M168" t="s">
        <v>223</v>
      </c>
      <c r="N168" t="s">
        <v>223</v>
      </c>
      <c r="O168" t="s">
        <v>223</v>
      </c>
      <c r="P168" t="s">
        <v>223</v>
      </c>
      <c r="Q168" t="s">
        <v>223</v>
      </c>
      <c r="R168" t="s">
        <v>223</v>
      </c>
      <c r="S168" t="s">
        <v>223</v>
      </c>
      <c r="T168" t="s">
        <v>223</v>
      </c>
      <c r="U168" t="s">
        <v>223</v>
      </c>
      <c r="V168" t="s">
        <v>223</v>
      </c>
      <c r="W168" t="s">
        <v>223</v>
      </c>
      <c r="X168" t="s">
        <v>223</v>
      </c>
      <c r="Y168" t="s">
        <v>223</v>
      </c>
      <c r="Z168" t="s">
        <v>223</v>
      </c>
      <c r="AA168" t="s">
        <v>223</v>
      </c>
      <c r="AB168" t="s">
        <v>223</v>
      </c>
      <c r="AC168" t="s">
        <v>223</v>
      </c>
      <c r="AD168" t="s">
        <v>223</v>
      </c>
      <c r="AE168" t="s">
        <v>223</v>
      </c>
      <c r="AF168" t="s">
        <v>223</v>
      </c>
      <c r="AG168" t="s">
        <v>223</v>
      </c>
      <c r="AH168" t="s">
        <v>223</v>
      </c>
      <c r="AI168" t="s">
        <v>223</v>
      </c>
      <c r="AJ168" t="s">
        <v>223</v>
      </c>
      <c r="AK168" t="s">
        <v>223</v>
      </c>
      <c r="AL168" t="s">
        <v>223</v>
      </c>
      <c r="AM168" t="s">
        <v>223</v>
      </c>
      <c r="AN168" s="9" t="s">
        <v>413</v>
      </c>
    </row>
    <row r="169" spans="1:40">
      <c r="A169" t="s">
        <v>369</v>
      </c>
      <c r="B169">
        <v>38</v>
      </c>
      <c r="C169">
        <v>39</v>
      </c>
      <c r="D169" t="s">
        <v>223</v>
      </c>
      <c r="E169" t="s">
        <v>223</v>
      </c>
      <c r="F169" t="s">
        <v>223</v>
      </c>
      <c r="G169" t="s">
        <v>223</v>
      </c>
      <c r="H169" t="s">
        <v>223</v>
      </c>
      <c r="I169" t="s">
        <v>223</v>
      </c>
      <c r="J169" t="s">
        <v>223</v>
      </c>
      <c r="K169" t="s">
        <v>223</v>
      </c>
      <c r="L169" t="s">
        <v>223</v>
      </c>
      <c r="M169" t="s">
        <v>223</v>
      </c>
      <c r="N169" t="s">
        <v>223</v>
      </c>
      <c r="O169" t="s">
        <v>223</v>
      </c>
      <c r="P169" t="s">
        <v>223</v>
      </c>
      <c r="Q169" t="s">
        <v>223</v>
      </c>
      <c r="R169" t="s">
        <v>223</v>
      </c>
      <c r="S169" t="s">
        <v>223</v>
      </c>
      <c r="T169" t="s">
        <v>223</v>
      </c>
      <c r="U169" t="s">
        <v>223</v>
      </c>
      <c r="V169" t="s">
        <v>223</v>
      </c>
      <c r="W169" t="s">
        <v>223</v>
      </c>
      <c r="X169" t="s">
        <v>223</v>
      </c>
      <c r="Y169" t="s">
        <v>223</v>
      </c>
      <c r="Z169" t="s">
        <v>223</v>
      </c>
      <c r="AA169" t="s">
        <v>223</v>
      </c>
      <c r="AB169" t="s">
        <v>223</v>
      </c>
      <c r="AC169" t="s">
        <v>223</v>
      </c>
      <c r="AD169" t="s">
        <v>223</v>
      </c>
      <c r="AE169" t="s">
        <v>223</v>
      </c>
      <c r="AF169" t="s">
        <v>223</v>
      </c>
      <c r="AG169" t="s">
        <v>223</v>
      </c>
      <c r="AH169" t="s">
        <v>223</v>
      </c>
      <c r="AI169" t="s">
        <v>223</v>
      </c>
      <c r="AJ169" t="s">
        <v>223</v>
      </c>
      <c r="AK169" t="s">
        <v>223</v>
      </c>
      <c r="AL169" t="s">
        <v>223</v>
      </c>
      <c r="AM169" t="s">
        <v>223</v>
      </c>
      <c r="AN169" s="9" t="s">
        <v>414</v>
      </c>
    </row>
    <row r="170" spans="1:40">
      <c r="A170" t="s">
        <v>369</v>
      </c>
      <c r="B170">
        <v>42</v>
      </c>
      <c r="C170">
        <v>43</v>
      </c>
      <c r="D170" t="s">
        <v>223</v>
      </c>
      <c r="E170" t="s">
        <v>223</v>
      </c>
      <c r="F170" t="s">
        <v>223</v>
      </c>
      <c r="G170" t="s">
        <v>223</v>
      </c>
      <c r="H170" t="s">
        <v>223</v>
      </c>
      <c r="I170" t="s">
        <v>223</v>
      </c>
      <c r="J170" t="s">
        <v>223</v>
      </c>
      <c r="K170" t="s">
        <v>223</v>
      </c>
      <c r="L170" t="s">
        <v>223</v>
      </c>
      <c r="M170" t="s">
        <v>223</v>
      </c>
      <c r="N170" t="s">
        <v>223</v>
      </c>
      <c r="O170" t="s">
        <v>223</v>
      </c>
      <c r="P170" t="s">
        <v>223</v>
      </c>
      <c r="Q170" t="s">
        <v>223</v>
      </c>
      <c r="R170" t="s">
        <v>223</v>
      </c>
      <c r="S170" t="s">
        <v>223</v>
      </c>
      <c r="T170" t="s">
        <v>223</v>
      </c>
      <c r="U170" t="s">
        <v>223</v>
      </c>
      <c r="V170" t="s">
        <v>223</v>
      </c>
      <c r="W170" t="s">
        <v>223</v>
      </c>
      <c r="X170" t="s">
        <v>223</v>
      </c>
      <c r="Y170" t="s">
        <v>223</v>
      </c>
      <c r="Z170" t="s">
        <v>223</v>
      </c>
      <c r="AA170" t="s">
        <v>223</v>
      </c>
      <c r="AB170" t="s">
        <v>223</v>
      </c>
      <c r="AC170" t="s">
        <v>223</v>
      </c>
      <c r="AD170" t="s">
        <v>223</v>
      </c>
      <c r="AE170" t="s">
        <v>223</v>
      </c>
      <c r="AF170" t="s">
        <v>223</v>
      </c>
      <c r="AG170" t="s">
        <v>223</v>
      </c>
      <c r="AH170" t="s">
        <v>223</v>
      </c>
      <c r="AI170" t="s">
        <v>223</v>
      </c>
      <c r="AJ170" t="s">
        <v>223</v>
      </c>
      <c r="AK170" t="s">
        <v>223</v>
      </c>
      <c r="AL170" t="s">
        <v>223</v>
      </c>
      <c r="AM170" t="s">
        <v>223</v>
      </c>
      <c r="AN170" s="9" t="s">
        <v>415</v>
      </c>
    </row>
    <row r="171" spans="1:40">
      <c r="A171" t="s">
        <v>369</v>
      </c>
      <c r="B171">
        <v>46</v>
      </c>
      <c r="C171">
        <v>47</v>
      </c>
      <c r="D171" t="s">
        <v>223</v>
      </c>
      <c r="E171" t="s">
        <v>223</v>
      </c>
      <c r="F171" t="s">
        <v>223</v>
      </c>
      <c r="G171" t="s">
        <v>223</v>
      </c>
      <c r="H171" t="s">
        <v>223</v>
      </c>
      <c r="I171" t="s">
        <v>223</v>
      </c>
      <c r="J171" t="s">
        <v>223</v>
      </c>
      <c r="K171" t="s">
        <v>223</v>
      </c>
      <c r="L171" t="s">
        <v>223</v>
      </c>
      <c r="M171" t="s">
        <v>223</v>
      </c>
      <c r="N171" t="s">
        <v>223</v>
      </c>
      <c r="O171" t="s">
        <v>223</v>
      </c>
      <c r="P171" t="s">
        <v>223</v>
      </c>
      <c r="Q171" t="s">
        <v>223</v>
      </c>
      <c r="R171" t="s">
        <v>223</v>
      </c>
      <c r="S171" t="s">
        <v>223</v>
      </c>
      <c r="T171" t="s">
        <v>223</v>
      </c>
      <c r="U171" t="s">
        <v>223</v>
      </c>
      <c r="V171" t="s">
        <v>223</v>
      </c>
      <c r="W171" t="s">
        <v>223</v>
      </c>
      <c r="X171" t="s">
        <v>223</v>
      </c>
      <c r="Y171" t="s">
        <v>223</v>
      </c>
      <c r="Z171" t="s">
        <v>223</v>
      </c>
      <c r="AA171" t="s">
        <v>223</v>
      </c>
      <c r="AB171" t="s">
        <v>223</v>
      </c>
      <c r="AC171" t="s">
        <v>223</v>
      </c>
      <c r="AD171" t="s">
        <v>223</v>
      </c>
      <c r="AE171" t="s">
        <v>223</v>
      </c>
      <c r="AF171" t="s">
        <v>223</v>
      </c>
      <c r="AG171" t="s">
        <v>223</v>
      </c>
      <c r="AH171" t="s">
        <v>223</v>
      </c>
      <c r="AI171" t="s">
        <v>223</v>
      </c>
      <c r="AJ171" t="s">
        <v>223</v>
      </c>
      <c r="AK171" t="s">
        <v>223</v>
      </c>
      <c r="AL171" t="s">
        <v>223</v>
      </c>
      <c r="AM171" t="s">
        <v>223</v>
      </c>
      <c r="AN171" s="9" t="s">
        <v>416</v>
      </c>
    </row>
    <row r="172" spans="1:40">
      <c r="A172" t="s">
        <v>369</v>
      </c>
      <c r="B172">
        <v>50</v>
      </c>
      <c r="C172">
        <v>51</v>
      </c>
      <c r="D172" t="s">
        <v>223</v>
      </c>
      <c r="E172" t="s">
        <v>223</v>
      </c>
      <c r="F172" t="s">
        <v>223</v>
      </c>
      <c r="G172" t="s">
        <v>223</v>
      </c>
      <c r="H172" t="s">
        <v>223</v>
      </c>
      <c r="I172" t="s">
        <v>223</v>
      </c>
      <c r="J172" t="s">
        <v>223</v>
      </c>
      <c r="K172" t="s">
        <v>223</v>
      </c>
      <c r="L172" t="s">
        <v>223</v>
      </c>
      <c r="M172" t="s">
        <v>223</v>
      </c>
      <c r="N172" t="s">
        <v>223</v>
      </c>
      <c r="O172" t="s">
        <v>223</v>
      </c>
      <c r="P172" t="s">
        <v>223</v>
      </c>
      <c r="Q172" t="s">
        <v>223</v>
      </c>
      <c r="R172" t="s">
        <v>223</v>
      </c>
      <c r="S172" t="s">
        <v>223</v>
      </c>
      <c r="T172" t="s">
        <v>223</v>
      </c>
      <c r="U172" t="s">
        <v>223</v>
      </c>
      <c r="V172" t="s">
        <v>223</v>
      </c>
      <c r="W172" t="s">
        <v>223</v>
      </c>
      <c r="X172" t="s">
        <v>223</v>
      </c>
      <c r="Y172" t="s">
        <v>223</v>
      </c>
      <c r="Z172" t="s">
        <v>223</v>
      </c>
      <c r="AA172" t="s">
        <v>223</v>
      </c>
      <c r="AB172" t="s">
        <v>223</v>
      </c>
      <c r="AC172" t="s">
        <v>223</v>
      </c>
      <c r="AD172" t="s">
        <v>223</v>
      </c>
      <c r="AE172" t="s">
        <v>223</v>
      </c>
      <c r="AF172" t="s">
        <v>223</v>
      </c>
      <c r="AG172" t="s">
        <v>223</v>
      </c>
      <c r="AH172" t="s">
        <v>223</v>
      </c>
      <c r="AI172" t="s">
        <v>223</v>
      </c>
      <c r="AJ172" t="s">
        <v>223</v>
      </c>
      <c r="AK172" t="s">
        <v>223</v>
      </c>
      <c r="AL172" t="s">
        <v>223</v>
      </c>
      <c r="AM172" t="s">
        <v>223</v>
      </c>
      <c r="AN172" s="9" t="s">
        <v>417</v>
      </c>
    </row>
    <row r="173" spans="1:40">
      <c r="A173" t="s">
        <v>370</v>
      </c>
      <c r="B173">
        <v>8</v>
      </c>
      <c r="C173">
        <v>9</v>
      </c>
      <c r="D173" t="s">
        <v>223</v>
      </c>
      <c r="E173" t="s">
        <v>223</v>
      </c>
      <c r="F173" t="s">
        <v>223</v>
      </c>
      <c r="G173" t="s">
        <v>223</v>
      </c>
      <c r="H173" t="s">
        <v>223</v>
      </c>
      <c r="I173" t="s">
        <v>223</v>
      </c>
      <c r="J173" t="s">
        <v>223</v>
      </c>
      <c r="K173" t="s">
        <v>223</v>
      </c>
      <c r="L173" t="s">
        <v>223</v>
      </c>
      <c r="M173" t="s">
        <v>223</v>
      </c>
      <c r="N173" t="s">
        <v>223</v>
      </c>
      <c r="O173" t="s">
        <v>223</v>
      </c>
      <c r="P173" t="s">
        <v>223</v>
      </c>
      <c r="Q173" t="s">
        <v>223</v>
      </c>
      <c r="R173" t="s">
        <v>223</v>
      </c>
      <c r="S173" t="s">
        <v>223</v>
      </c>
      <c r="T173" t="s">
        <v>223</v>
      </c>
      <c r="U173" t="s">
        <v>223</v>
      </c>
      <c r="V173" t="s">
        <v>223</v>
      </c>
      <c r="W173" t="s">
        <v>223</v>
      </c>
      <c r="X173" t="s">
        <v>223</v>
      </c>
      <c r="Y173" t="s">
        <v>223</v>
      </c>
      <c r="Z173" t="s">
        <v>223</v>
      </c>
      <c r="AA173" t="s">
        <v>223</v>
      </c>
      <c r="AB173" t="s">
        <v>223</v>
      </c>
      <c r="AC173" t="s">
        <v>223</v>
      </c>
      <c r="AD173" t="s">
        <v>223</v>
      </c>
      <c r="AE173" t="s">
        <v>223</v>
      </c>
      <c r="AF173" t="s">
        <v>223</v>
      </c>
      <c r="AG173" t="s">
        <v>223</v>
      </c>
      <c r="AH173" t="s">
        <v>223</v>
      </c>
      <c r="AI173" t="s">
        <v>223</v>
      </c>
      <c r="AJ173" t="s">
        <v>223</v>
      </c>
      <c r="AK173" t="s">
        <v>223</v>
      </c>
      <c r="AL173" t="s">
        <v>223</v>
      </c>
      <c r="AM173" t="s">
        <v>223</v>
      </c>
      <c r="AN173" s="9" t="s">
        <v>436</v>
      </c>
    </row>
    <row r="174" spans="1:40">
      <c r="A174" t="s">
        <v>370</v>
      </c>
      <c r="B174">
        <v>12</v>
      </c>
      <c r="C174">
        <v>13</v>
      </c>
      <c r="D174" t="s">
        <v>223</v>
      </c>
      <c r="E174" t="s">
        <v>223</v>
      </c>
      <c r="F174" t="s">
        <v>223</v>
      </c>
      <c r="G174" t="s">
        <v>223</v>
      </c>
      <c r="H174" t="s">
        <v>223</v>
      </c>
      <c r="I174" t="s">
        <v>223</v>
      </c>
      <c r="J174" t="s">
        <v>223</v>
      </c>
      <c r="K174" t="s">
        <v>223</v>
      </c>
      <c r="L174" t="s">
        <v>223</v>
      </c>
      <c r="M174" t="s">
        <v>223</v>
      </c>
      <c r="N174" t="s">
        <v>223</v>
      </c>
      <c r="O174" t="s">
        <v>223</v>
      </c>
      <c r="P174" t="s">
        <v>223</v>
      </c>
      <c r="Q174" t="s">
        <v>223</v>
      </c>
      <c r="R174" t="s">
        <v>223</v>
      </c>
      <c r="S174" t="s">
        <v>223</v>
      </c>
      <c r="T174" t="s">
        <v>223</v>
      </c>
      <c r="U174" t="s">
        <v>223</v>
      </c>
      <c r="V174" t="s">
        <v>223</v>
      </c>
      <c r="W174" t="s">
        <v>223</v>
      </c>
      <c r="X174" t="s">
        <v>223</v>
      </c>
      <c r="Y174" t="s">
        <v>223</v>
      </c>
      <c r="Z174" t="s">
        <v>223</v>
      </c>
      <c r="AA174" t="s">
        <v>223</v>
      </c>
      <c r="AB174" t="s">
        <v>223</v>
      </c>
      <c r="AC174" t="s">
        <v>223</v>
      </c>
      <c r="AD174" t="s">
        <v>223</v>
      </c>
      <c r="AE174" t="s">
        <v>223</v>
      </c>
      <c r="AF174" t="s">
        <v>223</v>
      </c>
      <c r="AG174" t="s">
        <v>223</v>
      </c>
      <c r="AH174" t="s">
        <v>223</v>
      </c>
      <c r="AI174" t="s">
        <v>223</v>
      </c>
      <c r="AJ174" t="s">
        <v>223</v>
      </c>
      <c r="AK174" t="s">
        <v>223</v>
      </c>
      <c r="AL174" t="s">
        <v>223</v>
      </c>
      <c r="AM174" t="s">
        <v>223</v>
      </c>
      <c r="AN174" s="9" t="s">
        <v>418</v>
      </c>
    </row>
    <row r="175" spans="1:40">
      <c r="A175" t="s">
        <v>370</v>
      </c>
      <c r="B175">
        <v>16</v>
      </c>
      <c r="C175">
        <v>17</v>
      </c>
      <c r="D175" t="s">
        <v>223</v>
      </c>
      <c r="E175" t="s">
        <v>223</v>
      </c>
      <c r="F175" t="s">
        <v>223</v>
      </c>
      <c r="G175" t="s">
        <v>223</v>
      </c>
      <c r="H175" t="s">
        <v>223</v>
      </c>
      <c r="I175" t="s">
        <v>223</v>
      </c>
      <c r="J175" t="s">
        <v>223</v>
      </c>
      <c r="K175" t="s">
        <v>223</v>
      </c>
      <c r="L175" t="s">
        <v>223</v>
      </c>
      <c r="M175" t="s">
        <v>223</v>
      </c>
      <c r="N175" t="s">
        <v>223</v>
      </c>
      <c r="O175" t="s">
        <v>223</v>
      </c>
      <c r="P175" t="s">
        <v>223</v>
      </c>
      <c r="Q175" t="s">
        <v>223</v>
      </c>
      <c r="R175" t="s">
        <v>223</v>
      </c>
      <c r="S175" t="s">
        <v>223</v>
      </c>
      <c r="T175" t="s">
        <v>223</v>
      </c>
      <c r="U175" t="s">
        <v>223</v>
      </c>
      <c r="V175" t="s">
        <v>223</v>
      </c>
      <c r="W175" t="s">
        <v>223</v>
      </c>
      <c r="X175" t="s">
        <v>223</v>
      </c>
      <c r="Y175" t="s">
        <v>223</v>
      </c>
      <c r="Z175" t="s">
        <v>223</v>
      </c>
      <c r="AA175" t="s">
        <v>223</v>
      </c>
      <c r="AB175" t="s">
        <v>223</v>
      </c>
      <c r="AC175" t="s">
        <v>223</v>
      </c>
      <c r="AD175" t="s">
        <v>223</v>
      </c>
      <c r="AE175" t="s">
        <v>223</v>
      </c>
      <c r="AF175" t="s">
        <v>223</v>
      </c>
      <c r="AG175" t="s">
        <v>223</v>
      </c>
      <c r="AH175" t="s">
        <v>223</v>
      </c>
      <c r="AI175" t="s">
        <v>223</v>
      </c>
      <c r="AJ175" t="s">
        <v>223</v>
      </c>
      <c r="AK175" t="s">
        <v>223</v>
      </c>
      <c r="AL175" t="s">
        <v>223</v>
      </c>
      <c r="AM175" t="s">
        <v>223</v>
      </c>
      <c r="AN175" s="9" t="s">
        <v>419</v>
      </c>
    </row>
    <row r="176" spans="1:40">
      <c r="A176" t="s">
        <v>370</v>
      </c>
      <c r="B176">
        <v>20</v>
      </c>
      <c r="C176">
        <v>21</v>
      </c>
      <c r="D176" t="s">
        <v>223</v>
      </c>
      <c r="E176" t="s">
        <v>223</v>
      </c>
      <c r="F176" t="s">
        <v>223</v>
      </c>
      <c r="G176" t="s">
        <v>223</v>
      </c>
      <c r="H176" t="s">
        <v>223</v>
      </c>
      <c r="I176" t="s">
        <v>223</v>
      </c>
      <c r="J176" t="s">
        <v>223</v>
      </c>
      <c r="K176" t="s">
        <v>223</v>
      </c>
      <c r="L176" t="s">
        <v>223</v>
      </c>
      <c r="M176" t="s">
        <v>223</v>
      </c>
      <c r="N176" t="s">
        <v>223</v>
      </c>
      <c r="O176" t="s">
        <v>223</v>
      </c>
      <c r="P176" t="s">
        <v>223</v>
      </c>
      <c r="Q176" t="s">
        <v>223</v>
      </c>
      <c r="R176" t="s">
        <v>223</v>
      </c>
      <c r="S176" t="s">
        <v>223</v>
      </c>
      <c r="T176" t="s">
        <v>223</v>
      </c>
      <c r="U176" t="s">
        <v>223</v>
      </c>
      <c r="V176" t="s">
        <v>223</v>
      </c>
      <c r="W176" t="s">
        <v>223</v>
      </c>
      <c r="X176" t="s">
        <v>223</v>
      </c>
      <c r="Y176" t="s">
        <v>223</v>
      </c>
      <c r="Z176" t="s">
        <v>223</v>
      </c>
      <c r="AA176" t="s">
        <v>223</v>
      </c>
      <c r="AB176" t="s">
        <v>223</v>
      </c>
      <c r="AC176" t="s">
        <v>223</v>
      </c>
      <c r="AD176" t="s">
        <v>223</v>
      </c>
      <c r="AE176" t="s">
        <v>223</v>
      </c>
      <c r="AF176" t="s">
        <v>223</v>
      </c>
      <c r="AG176" t="s">
        <v>223</v>
      </c>
      <c r="AH176" t="s">
        <v>223</v>
      </c>
      <c r="AI176" t="s">
        <v>223</v>
      </c>
      <c r="AJ176" t="s">
        <v>223</v>
      </c>
      <c r="AK176" t="s">
        <v>223</v>
      </c>
      <c r="AL176" t="s">
        <v>223</v>
      </c>
      <c r="AM176" t="s">
        <v>223</v>
      </c>
      <c r="AN176" s="9" t="s">
        <v>420</v>
      </c>
    </row>
    <row r="177" spans="1:40">
      <c r="A177" t="s">
        <v>370</v>
      </c>
      <c r="B177">
        <v>24</v>
      </c>
      <c r="C177">
        <v>25</v>
      </c>
      <c r="D177" t="s">
        <v>223</v>
      </c>
      <c r="E177" t="s">
        <v>223</v>
      </c>
      <c r="F177" t="s">
        <v>223</v>
      </c>
      <c r="G177" t="s">
        <v>223</v>
      </c>
      <c r="H177" t="s">
        <v>223</v>
      </c>
      <c r="I177" t="s">
        <v>223</v>
      </c>
      <c r="J177" t="s">
        <v>223</v>
      </c>
      <c r="K177" t="s">
        <v>223</v>
      </c>
      <c r="L177" t="s">
        <v>223</v>
      </c>
      <c r="M177" t="s">
        <v>223</v>
      </c>
      <c r="N177" t="s">
        <v>223</v>
      </c>
      <c r="O177" t="s">
        <v>223</v>
      </c>
      <c r="P177" t="s">
        <v>223</v>
      </c>
      <c r="Q177" t="s">
        <v>223</v>
      </c>
      <c r="R177" t="s">
        <v>223</v>
      </c>
      <c r="S177" t="s">
        <v>223</v>
      </c>
      <c r="T177" t="s">
        <v>223</v>
      </c>
      <c r="U177" t="s">
        <v>223</v>
      </c>
      <c r="V177" t="s">
        <v>223</v>
      </c>
      <c r="W177" t="s">
        <v>223</v>
      </c>
      <c r="X177" t="s">
        <v>223</v>
      </c>
      <c r="Y177" t="s">
        <v>223</v>
      </c>
      <c r="Z177" t="s">
        <v>223</v>
      </c>
      <c r="AA177" t="s">
        <v>223</v>
      </c>
      <c r="AB177" t="s">
        <v>223</v>
      </c>
      <c r="AC177" t="s">
        <v>223</v>
      </c>
      <c r="AD177" t="s">
        <v>223</v>
      </c>
      <c r="AE177" t="s">
        <v>223</v>
      </c>
      <c r="AF177" t="s">
        <v>223</v>
      </c>
      <c r="AG177" t="s">
        <v>223</v>
      </c>
      <c r="AH177" t="s">
        <v>223</v>
      </c>
      <c r="AI177" t="s">
        <v>223</v>
      </c>
      <c r="AJ177" t="s">
        <v>223</v>
      </c>
      <c r="AK177" t="s">
        <v>223</v>
      </c>
      <c r="AL177" t="s">
        <v>223</v>
      </c>
      <c r="AM177" t="s">
        <v>223</v>
      </c>
      <c r="AN177" s="9" t="s">
        <v>421</v>
      </c>
    </row>
    <row r="178" spans="1:40">
      <c r="A178" t="s">
        <v>370</v>
      </c>
      <c r="B178">
        <v>28</v>
      </c>
      <c r="C178">
        <v>29</v>
      </c>
      <c r="D178" t="s">
        <v>223</v>
      </c>
      <c r="E178" t="s">
        <v>223</v>
      </c>
      <c r="F178" t="s">
        <v>223</v>
      </c>
      <c r="G178" t="s">
        <v>223</v>
      </c>
      <c r="H178" t="s">
        <v>223</v>
      </c>
      <c r="I178" t="s">
        <v>223</v>
      </c>
      <c r="J178" t="s">
        <v>223</v>
      </c>
      <c r="K178" t="s">
        <v>223</v>
      </c>
      <c r="L178" t="s">
        <v>223</v>
      </c>
      <c r="M178" t="s">
        <v>223</v>
      </c>
      <c r="N178" t="s">
        <v>223</v>
      </c>
      <c r="O178" t="s">
        <v>223</v>
      </c>
      <c r="P178" t="s">
        <v>223</v>
      </c>
      <c r="Q178" t="s">
        <v>223</v>
      </c>
      <c r="R178" t="s">
        <v>223</v>
      </c>
      <c r="S178" t="s">
        <v>223</v>
      </c>
      <c r="T178" t="s">
        <v>223</v>
      </c>
      <c r="U178" t="s">
        <v>223</v>
      </c>
      <c r="V178" t="s">
        <v>223</v>
      </c>
      <c r="W178" t="s">
        <v>223</v>
      </c>
      <c r="X178" t="s">
        <v>223</v>
      </c>
      <c r="Y178" t="s">
        <v>223</v>
      </c>
      <c r="Z178" t="s">
        <v>223</v>
      </c>
      <c r="AA178" t="s">
        <v>223</v>
      </c>
      <c r="AB178" t="s">
        <v>223</v>
      </c>
      <c r="AC178" t="s">
        <v>223</v>
      </c>
      <c r="AD178" t="s">
        <v>223</v>
      </c>
      <c r="AE178" t="s">
        <v>223</v>
      </c>
      <c r="AF178" t="s">
        <v>223</v>
      </c>
      <c r="AG178" t="s">
        <v>223</v>
      </c>
      <c r="AH178" t="s">
        <v>223</v>
      </c>
      <c r="AI178" t="s">
        <v>223</v>
      </c>
      <c r="AJ178" t="s">
        <v>223</v>
      </c>
      <c r="AK178" t="s">
        <v>223</v>
      </c>
      <c r="AL178" t="s">
        <v>223</v>
      </c>
      <c r="AM178" t="s">
        <v>223</v>
      </c>
      <c r="AN178" s="9" t="s">
        <v>422</v>
      </c>
    </row>
    <row r="179" spans="1:40">
      <c r="A179" t="s">
        <v>370</v>
      </c>
      <c r="B179">
        <v>32</v>
      </c>
      <c r="C179">
        <v>33</v>
      </c>
      <c r="D179" t="s">
        <v>223</v>
      </c>
      <c r="E179" t="s">
        <v>223</v>
      </c>
      <c r="F179" t="s">
        <v>223</v>
      </c>
      <c r="G179" t="s">
        <v>223</v>
      </c>
      <c r="H179" t="s">
        <v>223</v>
      </c>
      <c r="I179" t="s">
        <v>223</v>
      </c>
      <c r="J179" t="s">
        <v>223</v>
      </c>
      <c r="K179" t="s">
        <v>223</v>
      </c>
      <c r="L179" t="s">
        <v>223</v>
      </c>
      <c r="M179" t="s">
        <v>223</v>
      </c>
      <c r="N179" t="s">
        <v>223</v>
      </c>
      <c r="O179" t="s">
        <v>223</v>
      </c>
      <c r="P179" t="s">
        <v>223</v>
      </c>
      <c r="Q179" t="s">
        <v>223</v>
      </c>
      <c r="R179" t="s">
        <v>223</v>
      </c>
      <c r="S179" t="s">
        <v>223</v>
      </c>
      <c r="T179" t="s">
        <v>223</v>
      </c>
      <c r="U179" t="s">
        <v>223</v>
      </c>
      <c r="V179" t="s">
        <v>223</v>
      </c>
      <c r="W179" t="s">
        <v>223</v>
      </c>
      <c r="X179" t="s">
        <v>223</v>
      </c>
      <c r="Y179" t="s">
        <v>223</v>
      </c>
      <c r="Z179" t="s">
        <v>223</v>
      </c>
      <c r="AA179" t="s">
        <v>223</v>
      </c>
      <c r="AB179" t="s">
        <v>223</v>
      </c>
      <c r="AC179" t="s">
        <v>223</v>
      </c>
      <c r="AD179" t="s">
        <v>223</v>
      </c>
      <c r="AE179" t="s">
        <v>223</v>
      </c>
      <c r="AF179" t="s">
        <v>223</v>
      </c>
      <c r="AG179" t="s">
        <v>223</v>
      </c>
      <c r="AH179" t="s">
        <v>223</v>
      </c>
      <c r="AI179" t="s">
        <v>223</v>
      </c>
      <c r="AJ179" t="s">
        <v>223</v>
      </c>
      <c r="AK179" t="s">
        <v>223</v>
      </c>
      <c r="AL179" t="s">
        <v>223</v>
      </c>
      <c r="AM179" t="s">
        <v>223</v>
      </c>
      <c r="AN179" s="9" t="s">
        <v>423</v>
      </c>
    </row>
    <row r="180" spans="1:40">
      <c r="A180" t="s">
        <v>370</v>
      </c>
      <c r="B180">
        <v>36</v>
      </c>
      <c r="C180">
        <v>37</v>
      </c>
      <c r="D180" t="s">
        <v>223</v>
      </c>
      <c r="E180" t="s">
        <v>223</v>
      </c>
      <c r="F180" t="s">
        <v>223</v>
      </c>
      <c r="G180" t="s">
        <v>223</v>
      </c>
      <c r="H180" t="s">
        <v>223</v>
      </c>
      <c r="I180" t="s">
        <v>223</v>
      </c>
      <c r="J180" t="s">
        <v>223</v>
      </c>
      <c r="K180" t="s">
        <v>223</v>
      </c>
      <c r="L180" t="s">
        <v>223</v>
      </c>
      <c r="M180" t="s">
        <v>223</v>
      </c>
      <c r="N180" t="s">
        <v>223</v>
      </c>
      <c r="O180" t="s">
        <v>223</v>
      </c>
      <c r="P180" t="s">
        <v>223</v>
      </c>
      <c r="Q180" t="s">
        <v>223</v>
      </c>
      <c r="R180" t="s">
        <v>223</v>
      </c>
      <c r="S180" t="s">
        <v>223</v>
      </c>
      <c r="T180" t="s">
        <v>223</v>
      </c>
      <c r="U180" t="s">
        <v>223</v>
      </c>
      <c r="V180" t="s">
        <v>223</v>
      </c>
      <c r="W180" t="s">
        <v>223</v>
      </c>
      <c r="X180" t="s">
        <v>223</v>
      </c>
      <c r="Y180" t="s">
        <v>223</v>
      </c>
      <c r="Z180" t="s">
        <v>223</v>
      </c>
      <c r="AA180" t="s">
        <v>223</v>
      </c>
      <c r="AB180" t="s">
        <v>223</v>
      </c>
      <c r="AC180" t="s">
        <v>223</v>
      </c>
      <c r="AD180" t="s">
        <v>223</v>
      </c>
      <c r="AE180" t="s">
        <v>223</v>
      </c>
      <c r="AF180" t="s">
        <v>223</v>
      </c>
      <c r="AG180" t="s">
        <v>223</v>
      </c>
      <c r="AH180" t="s">
        <v>223</v>
      </c>
      <c r="AI180" t="s">
        <v>223</v>
      </c>
      <c r="AJ180" t="s">
        <v>223</v>
      </c>
      <c r="AK180" t="s">
        <v>223</v>
      </c>
      <c r="AL180" t="s">
        <v>223</v>
      </c>
      <c r="AM180" t="s">
        <v>223</v>
      </c>
      <c r="AN180" s="9" t="s">
        <v>424</v>
      </c>
    </row>
    <row r="181" spans="1:40">
      <c r="A181" t="s">
        <v>370</v>
      </c>
      <c r="B181">
        <v>40</v>
      </c>
      <c r="C181">
        <v>41</v>
      </c>
      <c r="D181" t="s">
        <v>223</v>
      </c>
      <c r="E181" t="s">
        <v>223</v>
      </c>
      <c r="F181" t="s">
        <v>223</v>
      </c>
      <c r="G181" t="s">
        <v>223</v>
      </c>
      <c r="H181" t="s">
        <v>223</v>
      </c>
      <c r="I181" t="s">
        <v>223</v>
      </c>
      <c r="J181" t="s">
        <v>223</v>
      </c>
      <c r="K181" t="s">
        <v>223</v>
      </c>
      <c r="L181" t="s">
        <v>223</v>
      </c>
      <c r="M181" t="s">
        <v>223</v>
      </c>
      <c r="N181" t="s">
        <v>223</v>
      </c>
      <c r="O181" t="s">
        <v>223</v>
      </c>
      <c r="P181" t="s">
        <v>223</v>
      </c>
      <c r="Q181" t="s">
        <v>223</v>
      </c>
      <c r="R181" t="s">
        <v>223</v>
      </c>
      <c r="S181" t="s">
        <v>223</v>
      </c>
      <c r="T181" t="s">
        <v>223</v>
      </c>
      <c r="U181" t="s">
        <v>223</v>
      </c>
      <c r="V181" t="s">
        <v>223</v>
      </c>
      <c r="W181" t="s">
        <v>223</v>
      </c>
      <c r="X181" t="s">
        <v>223</v>
      </c>
      <c r="Y181" t="s">
        <v>223</v>
      </c>
      <c r="Z181" t="s">
        <v>223</v>
      </c>
      <c r="AA181" t="s">
        <v>223</v>
      </c>
      <c r="AB181" t="s">
        <v>223</v>
      </c>
      <c r="AC181" t="s">
        <v>223</v>
      </c>
      <c r="AD181" t="s">
        <v>223</v>
      </c>
      <c r="AE181" t="s">
        <v>223</v>
      </c>
      <c r="AF181" t="s">
        <v>223</v>
      </c>
      <c r="AG181" t="s">
        <v>223</v>
      </c>
      <c r="AH181" t="s">
        <v>223</v>
      </c>
      <c r="AI181" t="s">
        <v>223</v>
      </c>
      <c r="AJ181" t="s">
        <v>223</v>
      </c>
      <c r="AK181" t="s">
        <v>223</v>
      </c>
      <c r="AL181" t="s">
        <v>223</v>
      </c>
      <c r="AM181" t="s">
        <v>223</v>
      </c>
      <c r="AN181" s="9" t="s">
        <v>425</v>
      </c>
    </row>
    <row r="182" spans="1:40">
      <c r="A182" t="s">
        <v>370</v>
      </c>
      <c r="B182">
        <v>44</v>
      </c>
      <c r="C182">
        <v>45</v>
      </c>
      <c r="D182" t="s">
        <v>223</v>
      </c>
      <c r="E182" t="s">
        <v>223</v>
      </c>
      <c r="F182" t="s">
        <v>223</v>
      </c>
      <c r="G182" t="s">
        <v>223</v>
      </c>
      <c r="H182" t="s">
        <v>223</v>
      </c>
      <c r="I182" t="s">
        <v>223</v>
      </c>
      <c r="J182" t="s">
        <v>223</v>
      </c>
      <c r="K182" t="s">
        <v>223</v>
      </c>
      <c r="L182" t="s">
        <v>223</v>
      </c>
      <c r="M182" t="s">
        <v>223</v>
      </c>
      <c r="N182" t="s">
        <v>223</v>
      </c>
      <c r="O182" t="s">
        <v>223</v>
      </c>
      <c r="P182" t="s">
        <v>223</v>
      </c>
      <c r="Q182" t="s">
        <v>223</v>
      </c>
      <c r="R182" t="s">
        <v>223</v>
      </c>
      <c r="S182" t="s">
        <v>223</v>
      </c>
      <c r="T182" t="s">
        <v>223</v>
      </c>
      <c r="U182" t="s">
        <v>223</v>
      </c>
      <c r="V182" t="s">
        <v>223</v>
      </c>
      <c r="W182" t="s">
        <v>223</v>
      </c>
      <c r="X182" t="s">
        <v>223</v>
      </c>
      <c r="Y182" t="s">
        <v>223</v>
      </c>
      <c r="Z182" t="s">
        <v>223</v>
      </c>
      <c r="AA182" t="s">
        <v>223</v>
      </c>
      <c r="AB182" t="s">
        <v>223</v>
      </c>
      <c r="AC182" t="s">
        <v>223</v>
      </c>
      <c r="AD182" t="s">
        <v>223</v>
      </c>
      <c r="AE182" t="s">
        <v>223</v>
      </c>
      <c r="AF182" t="s">
        <v>223</v>
      </c>
      <c r="AG182" t="s">
        <v>223</v>
      </c>
      <c r="AH182" t="s">
        <v>223</v>
      </c>
      <c r="AI182" t="s">
        <v>223</v>
      </c>
      <c r="AJ182" t="s">
        <v>223</v>
      </c>
      <c r="AK182" t="s">
        <v>223</v>
      </c>
      <c r="AL182" t="s">
        <v>223</v>
      </c>
      <c r="AM182" t="s">
        <v>223</v>
      </c>
      <c r="AN182" s="9" t="s">
        <v>426</v>
      </c>
    </row>
    <row r="183" spans="1:40">
      <c r="A183" t="s">
        <v>370</v>
      </c>
      <c r="B183">
        <v>48</v>
      </c>
      <c r="C183">
        <v>49</v>
      </c>
      <c r="D183" t="s">
        <v>223</v>
      </c>
      <c r="E183" t="s">
        <v>223</v>
      </c>
      <c r="F183" t="s">
        <v>223</v>
      </c>
      <c r="G183" t="s">
        <v>223</v>
      </c>
      <c r="H183" t="s">
        <v>223</v>
      </c>
      <c r="I183" t="s">
        <v>223</v>
      </c>
      <c r="J183" t="s">
        <v>223</v>
      </c>
      <c r="K183" t="s">
        <v>223</v>
      </c>
      <c r="L183" t="s">
        <v>223</v>
      </c>
      <c r="M183" t="s">
        <v>223</v>
      </c>
      <c r="N183" t="s">
        <v>223</v>
      </c>
      <c r="O183" t="s">
        <v>223</v>
      </c>
      <c r="P183" t="s">
        <v>223</v>
      </c>
      <c r="Q183" t="s">
        <v>223</v>
      </c>
      <c r="R183" t="s">
        <v>223</v>
      </c>
      <c r="S183" t="s">
        <v>223</v>
      </c>
      <c r="T183" t="s">
        <v>223</v>
      </c>
      <c r="U183" t="s">
        <v>223</v>
      </c>
      <c r="V183" t="s">
        <v>223</v>
      </c>
      <c r="W183" t="s">
        <v>223</v>
      </c>
      <c r="X183" t="s">
        <v>223</v>
      </c>
      <c r="Y183" t="s">
        <v>223</v>
      </c>
      <c r="Z183" t="s">
        <v>223</v>
      </c>
      <c r="AA183" t="s">
        <v>223</v>
      </c>
      <c r="AB183" t="s">
        <v>223</v>
      </c>
      <c r="AC183" t="s">
        <v>223</v>
      </c>
      <c r="AD183" t="s">
        <v>223</v>
      </c>
      <c r="AE183" t="s">
        <v>223</v>
      </c>
      <c r="AF183" t="s">
        <v>223</v>
      </c>
      <c r="AG183" t="s">
        <v>223</v>
      </c>
      <c r="AH183" t="s">
        <v>223</v>
      </c>
      <c r="AI183" t="s">
        <v>223</v>
      </c>
      <c r="AJ183" t="s">
        <v>223</v>
      </c>
      <c r="AK183" t="s">
        <v>223</v>
      </c>
      <c r="AL183" t="s">
        <v>223</v>
      </c>
      <c r="AM183" t="s">
        <v>223</v>
      </c>
      <c r="AN183" s="9" t="s">
        <v>427</v>
      </c>
    </row>
    <row r="184" spans="1:40">
      <c r="A184" t="s">
        <v>370</v>
      </c>
      <c r="B184">
        <v>52</v>
      </c>
      <c r="C184">
        <v>53</v>
      </c>
      <c r="D184" t="s">
        <v>223</v>
      </c>
      <c r="E184" t="s">
        <v>223</v>
      </c>
      <c r="F184" t="s">
        <v>223</v>
      </c>
      <c r="G184" t="s">
        <v>223</v>
      </c>
      <c r="H184" t="s">
        <v>223</v>
      </c>
      <c r="I184" t="s">
        <v>223</v>
      </c>
      <c r="J184" t="s">
        <v>223</v>
      </c>
      <c r="K184" t="s">
        <v>223</v>
      </c>
      <c r="L184" t="s">
        <v>223</v>
      </c>
      <c r="M184" t="s">
        <v>223</v>
      </c>
      <c r="N184" t="s">
        <v>223</v>
      </c>
      <c r="O184" t="s">
        <v>223</v>
      </c>
      <c r="P184" t="s">
        <v>223</v>
      </c>
      <c r="Q184" t="s">
        <v>223</v>
      </c>
      <c r="R184" t="s">
        <v>223</v>
      </c>
      <c r="S184" t="s">
        <v>223</v>
      </c>
      <c r="T184" t="s">
        <v>223</v>
      </c>
      <c r="U184" t="s">
        <v>223</v>
      </c>
      <c r="V184" t="s">
        <v>223</v>
      </c>
      <c r="W184" t="s">
        <v>223</v>
      </c>
      <c r="X184" t="s">
        <v>223</v>
      </c>
      <c r="Y184" t="s">
        <v>223</v>
      </c>
      <c r="Z184" t="s">
        <v>223</v>
      </c>
      <c r="AA184" t="s">
        <v>223</v>
      </c>
      <c r="AB184" t="s">
        <v>223</v>
      </c>
      <c r="AC184" t="s">
        <v>223</v>
      </c>
      <c r="AD184" t="s">
        <v>223</v>
      </c>
      <c r="AE184" t="s">
        <v>223</v>
      </c>
      <c r="AF184" t="s">
        <v>223</v>
      </c>
      <c r="AG184" t="s">
        <v>223</v>
      </c>
      <c r="AH184" t="s">
        <v>223</v>
      </c>
      <c r="AI184" t="s">
        <v>223</v>
      </c>
      <c r="AJ184" t="s">
        <v>223</v>
      </c>
      <c r="AK184" t="s">
        <v>223</v>
      </c>
      <c r="AL184" t="s">
        <v>223</v>
      </c>
      <c r="AM184" t="s">
        <v>223</v>
      </c>
      <c r="AN184" s="9" t="s">
        <v>428</v>
      </c>
    </row>
    <row r="185" spans="1:40">
      <c r="A185" t="s">
        <v>371</v>
      </c>
      <c r="B185">
        <v>18</v>
      </c>
      <c r="C185">
        <v>19</v>
      </c>
      <c r="D185" t="s">
        <v>223</v>
      </c>
      <c r="E185" t="s">
        <v>223</v>
      </c>
      <c r="F185" t="s">
        <v>223</v>
      </c>
      <c r="G185" t="s">
        <v>223</v>
      </c>
      <c r="H185" t="s">
        <v>223</v>
      </c>
      <c r="I185" t="s">
        <v>223</v>
      </c>
      <c r="J185" t="s">
        <v>223</v>
      </c>
      <c r="K185" t="s">
        <v>223</v>
      </c>
      <c r="L185" t="s">
        <v>223</v>
      </c>
      <c r="M185" t="s">
        <v>223</v>
      </c>
      <c r="N185" t="s">
        <v>223</v>
      </c>
      <c r="O185" t="s">
        <v>223</v>
      </c>
      <c r="P185" t="s">
        <v>223</v>
      </c>
      <c r="Q185" t="s">
        <v>223</v>
      </c>
      <c r="R185" t="s">
        <v>223</v>
      </c>
      <c r="S185" t="s">
        <v>223</v>
      </c>
      <c r="T185" t="s">
        <v>223</v>
      </c>
      <c r="U185" t="s">
        <v>223</v>
      </c>
      <c r="V185" t="s">
        <v>223</v>
      </c>
      <c r="W185" t="s">
        <v>223</v>
      </c>
      <c r="X185" t="s">
        <v>223</v>
      </c>
      <c r="Y185" t="s">
        <v>223</v>
      </c>
      <c r="Z185" t="s">
        <v>223</v>
      </c>
      <c r="AA185" t="s">
        <v>223</v>
      </c>
      <c r="AB185" t="s">
        <v>223</v>
      </c>
      <c r="AC185" t="s">
        <v>223</v>
      </c>
      <c r="AD185" t="s">
        <v>223</v>
      </c>
      <c r="AE185" t="s">
        <v>223</v>
      </c>
      <c r="AF185" t="s">
        <v>223</v>
      </c>
      <c r="AG185" t="s">
        <v>223</v>
      </c>
      <c r="AH185" t="s">
        <v>223</v>
      </c>
      <c r="AI185" t="s">
        <v>223</v>
      </c>
      <c r="AJ185" t="s">
        <v>223</v>
      </c>
      <c r="AK185" t="s">
        <v>223</v>
      </c>
      <c r="AL185" t="s">
        <v>223</v>
      </c>
      <c r="AM185" t="s">
        <v>223</v>
      </c>
      <c r="AN185" s="9" t="s">
        <v>409</v>
      </c>
    </row>
    <row r="186" spans="1:40">
      <c r="A186" t="s">
        <v>371</v>
      </c>
      <c r="B186">
        <v>30</v>
      </c>
      <c r="C186">
        <v>31</v>
      </c>
      <c r="D186" t="s">
        <v>223</v>
      </c>
      <c r="E186" t="s">
        <v>223</v>
      </c>
      <c r="F186" t="s">
        <v>223</v>
      </c>
      <c r="G186" t="s">
        <v>223</v>
      </c>
      <c r="H186" t="s">
        <v>223</v>
      </c>
      <c r="I186" t="s">
        <v>223</v>
      </c>
      <c r="J186" t="s">
        <v>223</v>
      </c>
      <c r="K186" t="s">
        <v>223</v>
      </c>
      <c r="L186" t="s">
        <v>223</v>
      </c>
      <c r="M186" t="s">
        <v>223</v>
      </c>
      <c r="N186" t="s">
        <v>223</v>
      </c>
      <c r="O186" t="s">
        <v>223</v>
      </c>
      <c r="P186" t="s">
        <v>223</v>
      </c>
      <c r="Q186" t="s">
        <v>223</v>
      </c>
      <c r="R186" t="s">
        <v>223</v>
      </c>
      <c r="S186" t="s">
        <v>223</v>
      </c>
      <c r="T186" t="s">
        <v>223</v>
      </c>
      <c r="U186" t="s">
        <v>223</v>
      </c>
      <c r="V186" t="s">
        <v>223</v>
      </c>
      <c r="W186" t="s">
        <v>223</v>
      </c>
      <c r="X186" t="s">
        <v>223</v>
      </c>
      <c r="Y186" t="s">
        <v>223</v>
      </c>
      <c r="Z186" t="s">
        <v>223</v>
      </c>
      <c r="AA186" t="s">
        <v>223</v>
      </c>
      <c r="AB186" t="s">
        <v>223</v>
      </c>
      <c r="AC186" t="s">
        <v>223</v>
      </c>
      <c r="AD186" t="s">
        <v>223</v>
      </c>
      <c r="AE186" t="s">
        <v>223</v>
      </c>
      <c r="AF186" t="s">
        <v>223</v>
      </c>
      <c r="AG186" t="s">
        <v>223</v>
      </c>
      <c r="AH186" t="s">
        <v>223</v>
      </c>
      <c r="AI186" t="s">
        <v>223</v>
      </c>
      <c r="AJ186" t="s">
        <v>223</v>
      </c>
      <c r="AK186" t="s">
        <v>223</v>
      </c>
      <c r="AL186" t="s">
        <v>223</v>
      </c>
      <c r="AM186" t="s">
        <v>223</v>
      </c>
      <c r="AN186" s="9" t="s">
        <v>412</v>
      </c>
    </row>
    <row r="187" spans="1:40">
      <c r="A187" t="s">
        <v>371</v>
      </c>
      <c r="B187">
        <v>42</v>
      </c>
      <c r="C187">
        <v>43</v>
      </c>
      <c r="D187" t="s">
        <v>223</v>
      </c>
      <c r="E187" t="s">
        <v>223</v>
      </c>
      <c r="F187" t="s">
        <v>223</v>
      </c>
      <c r="G187" t="s">
        <v>223</v>
      </c>
      <c r="H187" t="s">
        <v>223</v>
      </c>
      <c r="I187" t="s">
        <v>223</v>
      </c>
      <c r="J187" t="s">
        <v>223</v>
      </c>
      <c r="K187" t="s">
        <v>223</v>
      </c>
      <c r="L187" t="s">
        <v>223</v>
      </c>
      <c r="M187" t="s">
        <v>223</v>
      </c>
      <c r="N187" t="s">
        <v>223</v>
      </c>
      <c r="O187" t="s">
        <v>223</v>
      </c>
      <c r="P187" t="s">
        <v>223</v>
      </c>
      <c r="Q187" t="s">
        <v>223</v>
      </c>
      <c r="R187" t="s">
        <v>223</v>
      </c>
      <c r="S187" t="s">
        <v>223</v>
      </c>
      <c r="T187" t="s">
        <v>223</v>
      </c>
      <c r="U187" t="s">
        <v>223</v>
      </c>
      <c r="V187" t="s">
        <v>223</v>
      </c>
      <c r="W187" t="s">
        <v>223</v>
      </c>
      <c r="X187" t="s">
        <v>223</v>
      </c>
      <c r="Y187" t="s">
        <v>223</v>
      </c>
      <c r="Z187" t="s">
        <v>223</v>
      </c>
      <c r="AA187" t="s">
        <v>223</v>
      </c>
      <c r="AB187" t="s">
        <v>223</v>
      </c>
      <c r="AC187" t="s">
        <v>223</v>
      </c>
      <c r="AD187" t="s">
        <v>223</v>
      </c>
      <c r="AE187" t="s">
        <v>223</v>
      </c>
      <c r="AF187" t="s">
        <v>223</v>
      </c>
      <c r="AG187" t="s">
        <v>223</v>
      </c>
      <c r="AH187" t="s">
        <v>223</v>
      </c>
      <c r="AI187" t="s">
        <v>223</v>
      </c>
      <c r="AJ187" t="s">
        <v>223</v>
      </c>
      <c r="AK187" t="s">
        <v>223</v>
      </c>
      <c r="AL187" t="s">
        <v>223</v>
      </c>
      <c r="AM187" t="s">
        <v>223</v>
      </c>
      <c r="AN187" s="9" t="s">
        <v>415</v>
      </c>
    </row>
    <row r="188" spans="1:40">
      <c r="A188" t="s">
        <v>372</v>
      </c>
      <c r="B188">
        <v>16</v>
      </c>
      <c r="C188">
        <v>17</v>
      </c>
      <c r="D188" t="s">
        <v>223</v>
      </c>
      <c r="E188" t="s">
        <v>223</v>
      </c>
      <c r="F188" t="s">
        <v>223</v>
      </c>
      <c r="G188" t="s">
        <v>223</v>
      </c>
      <c r="H188" t="s">
        <v>223</v>
      </c>
      <c r="I188" t="s">
        <v>223</v>
      </c>
      <c r="J188" t="s">
        <v>223</v>
      </c>
      <c r="K188" t="s">
        <v>223</v>
      </c>
      <c r="L188" t="s">
        <v>223</v>
      </c>
      <c r="M188" t="s">
        <v>223</v>
      </c>
      <c r="N188" t="s">
        <v>223</v>
      </c>
      <c r="O188" t="s">
        <v>223</v>
      </c>
      <c r="P188" t="s">
        <v>223</v>
      </c>
      <c r="Q188" t="s">
        <v>223</v>
      </c>
      <c r="R188" t="s">
        <v>223</v>
      </c>
      <c r="S188" t="s">
        <v>223</v>
      </c>
      <c r="T188" t="s">
        <v>223</v>
      </c>
      <c r="U188" t="s">
        <v>223</v>
      </c>
      <c r="V188" t="s">
        <v>223</v>
      </c>
      <c r="W188" t="s">
        <v>223</v>
      </c>
      <c r="X188" t="s">
        <v>223</v>
      </c>
      <c r="Y188" t="s">
        <v>223</v>
      </c>
      <c r="Z188" t="s">
        <v>223</v>
      </c>
      <c r="AA188" t="s">
        <v>223</v>
      </c>
      <c r="AB188" t="s">
        <v>223</v>
      </c>
      <c r="AC188" t="s">
        <v>223</v>
      </c>
      <c r="AD188" t="s">
        <v>223</v>
      </c>
      <c r="AE188" t="s">
        <v>223</v>
      </c>
      <c r="AF188" t="s">
        <v>223</v>
      </c>
      <c r="AG188" t="s">
        <v>223</v>
      </c>
      <c r="AH188" t="s">
        <v>223</v>
      </c>
      <c r="AI188" t="s">
        <v>223</v>
      </c>
      <c r="AJ188" t="s">
        <v>223</v>
      </c>
      <c r="AK188" t="s">
        <v>223</v>
      </c>
      <c r="AL188" t="s">
        <v>223</v>
      </c>
      <c r="AM188" t="s">
        <v>223</v>
      </c>
      <c r="AN188" s="9" t="s">
        <v>419</v>
      </c>
    </row>
    <row r="189" spans="1:40">
      <c r="A189" t="s">
        <v>372</v>
      </c>
      <c r="B189">
        <v>28</v>
      </c>
      <c r="C189">
        <v>29</v>
      </c>
      <c r="D189" t="s">
        <v>223</v>
      </c>
      <c r="E189" t="s">
        <v>223</v>
      </c>
      <c r="F189" t="s">
        <v>223</v>
      </c>
      <c r="G189" t="s">
        <v>223</v>
      </c>
      <c r="H189" t="s">
        <v>223</v>
      </c>
      <c r="I189" t="s">
        <v>223</v>
      </c>
      <c r="J189" t="s">
        <v>223</v>
      </c>
      <c r="K189" t="s">
        <v>223</v>
      </c>
      <c r="L189" t="s">
        <v>223</v>
      </c>
      <c r="M189" t="s">
        <v>223</v>
      </c>
      <c r="N189" t="s">
        <v>223</v>
      </c>
      <c r="O189" t="s">
        <v>223</v>
      </c>
      <c r="P189" t="s">
        <v>223</v>
      </c>
      <c r="Q189" t="s">
        <v>223</v>
      </c>
      <c r="R189" t="s">
        <v>223</v>
      </c>
      <c r="S189" t="s">
        <v>223</v>
      </c>
      <c r="T189" t="s">
        <v>223</v>
      </c>
      <c r="U189" t="s">
        <v>223</v>
      </c>
      <c r="V189" t="s">
        <v>223</v>
      </c>
      <c r="W189" t="s">
        <v>223</v>
      </c>
      <c r="X189" t="s">
        <v>223</v>
      </c>
      <c r="Y189" t="s">
        <v>223</v>
      </c>
      <c r="Z189" t="s">
        <v>223</v>
      </c>
      <c r="AA189" t="s">
        <v>223</v>
      </c>
      <c r="AB189" t="s">
        <v>223</v>
      </c>
      <c r="AC189" t="s">
        <v>223</v>
      </c>
      <c r="AD189" t="s">
        <v>223</v>
      </c>
      <c r="AE189" t="s">
        <v>223</v>
      </c>
      <c r="AF189" t="s">
        <v>223</v>
      </c>
      <c r="AG189" t="s">
        <v>223</v>
      </c>
      <c r="AH189" t="s">
        <v>223</v>
      </c>
      <c r="AI189" t="s">
        <v>223</v>
      </c>
      <c r="AJ189" t="s">
        <v>223</v>
      </c>
      <c r="AK189" t="s">
        <v>223</v>
      </c>
      <c r="AL189" t="s">
        <v>223</v>
      </c>
      <c r="AM189" t="s">
        <v>223</v>
      </c>
      <c r="AN189" s="9" t="s">
        <v>422</v>
      </c>
    </row>
    <row r="190" spans="1:40">
      <c r="A190" t="s">
        <v>372</v>
      </c>
      <c r="B190">
        <v>40</v>
      </c>
      <c r="C190">
        <v>41</v>
      </c>
      <c r="D190" t="s">
        <v>223</v>
      </c>
      <c r="E190" t="s">
        <v>223</v>
      </c>
      <c r="F190" t="s">
        <v>223</v>
      </c>
      <c r="G190" t="s">
        <v>223</v>
      </c>
      <c r="H190" t="s">
        <v>223</v>
      </c>
      <c r="I190" t="s">
        <v>223</v>
      </c>
      <c r="J190" t="s">
        <v>223</v>
      </c>
      <c r="K190" t="s">
        <v>223</v>
      </c>
      <c r="L190" t="s">
        <v>223</v>
      </c>
      <c r="M190" t="s">
        <v>223</v>
      </c>
      <c r="N190" t="s">
        <v>223</v>
      </c>
      <c r="O190" t="s">
        <v>223</v>
      </c>
      <c r="P190" t="s">
        <v>223</v>
      </c>
      <c r="Q190" t="s">
        <v>223</v>
      </c>
      <c r="R190" t="s">
        <v>223</v>
      </c>
      <c r="S190" t="s">
        <v>223</v>
      </c>
      <c r="T190" t="s">
        <v>223</v>
      </c>
      <c r="U190" t="s">
        <v>223</v>
      </c>
      <c r="V190" t="s">
        <v>223</v>
      </c>
      <c r="W190" t="s">
        <v>223</v>
      </c>
      <c r="X190" t="s">
        <v>223</v>
      </c>
      <c r="Y190" t="s">
        <v>223</v>
      </c>
      <c r="Z190" t="s">
        <v>223</v>
      </c>
      <c r="AA190" t="s">
        <v>223</v>
      </c>
      <c r="AB190" t="s">
        <v>223</v>
      </c>
      <c r="AC190" t="s">
        <v>223</v>
      </c>
      <c r="AD190" t="s">
        <v>223</v>
      </c>
      <c r="AE190" t="s">
        <v>223</v>
      </c>
      <c r="AF190" t="s">
        <v>223</v>
      </c>
      <c r="AG190" t="s">
        <v>223</v>
      </c>
      <c r="AH190" t="s">
        <v>223</v>
      </c>
      <c r="AI190" t="s">
        <v>223</v>
      </c>
      <c r="AJ190" t="s">
        <v>223</v>
      </c>
      <c r="AK190" t="s">
        <v>223</v>
      </c>
      <c r="AL190" t="s">
        <v>223</v>
      </c>
      <c r="AM190" t="s">
        <v>223</v>
      </c>
      <c r="AN190" s="9" t="s">
        <v>425</v>
      </c>
    </row>
    <row r="191" spans="1:40">
      <c r="A191" t="s">
        <v>373</v>
      </c>
      <c r="B191">
        <v>14</v>
      </c>
      <c r="C191">
        <v>15</v>
      </c>
      <c r="D191" t="s">
        <v>223</v>
      </c>
      <c r="E191" t="s">
        <v>223</v>
      </c>
      <c r="F191" t="s">
        <v>223</v>
      </c>
      <c r="G191" t="s">
        <v>223</v>
      </c>
      <c r="H191" t="s">
        <v>223</v>
      </c>
      <c r="I191" t="s">
        <v>223</v>
      </c>
      <c r="J191" t="s">
        <v>223</v>
      </c>
      <c r="K191" t="s">
        <v>223</v>
      </c>
      <c r="L191" t="s">
        <v>223</v>
      </c>
      <c r="M191" t="s">
        <v>223</v>
      </c>
      <c r="N191" t="s">
        <v>223</v>
      </c>
      <c r="O191" t="s">
        <v>223</v>
      </c>
      <c r="P191" t="s">
        <v>223</v>
      </c>
      <c r="Q191" t="s">
        <v>223</v>
      </c>
      <c r="R191" t="s">
        <v>223</v>
      </c>
      <c r="S191" t="s">
        <v>223</v>
      </c>
      <c r="T191" t="s">
        <v>223</v>
      </c>
      <c r="U191" t="s">
        <v>223</v>
      </c>
      <c r="V191" t="s">
        <v>223</v>
      </c>
      <c r="W191" t="s">
        <v>223</v>
      </c>
      <c r="X191" t="s">
        <v>223</v>
      </c>
      <c r="Y191" t="s">
        <v>223</v>
      </c>
      <c r="Z191" t="s">
        <v>223</v>
      </c>
      <c r="AA191" t="s">
        <v>223</v>
      </c>
      <c r="AB191" t="s">
        <v>223</v>
      </c>
      <c r="AC191" t="s">
        <v>223</v>
      </c>
      <c r="AD191" t="s">
        <v>223</v>
      </c>
      <c r="AE191" t="s">
        <v>223</v>
      </c>
      <c r="AF191" t="s">
        <v>223</v>
      </c>
      <c r="AG191" t="s">
        <v>223</v>
      </c>
      <c r="AH191" t="s">
        <v>223</v>
      </c>
      <c r="AI191" t="s">
        <v>223</v>
      </c>
      <c r="AJ191" t="s">
        <v>223</v>
      </c>
      <c r="AK191" t="s">
        <v>223</v>
      </c>
      <c r="AL191" t="s">
        <v>223</v>
      </c>
      <c r="AM191" t="s">
        <v>223</v>
      </c>
      <c r="AN191" s="9" t="s">
        <v>408</v>
      </c>
    </row>
    <row r="192" spans="1:40">
      <c r="A192" t="s">
        <v>373</v>
      </c>
      <c r="B192">
        <v>26</v>
      </c>
      <c r="C192">
        <v>27</v>
      </c>
      <c r="D192" t="s">
        <v>223</v>
      </c>
      <c r="E192" t="s">
        <v>223</v>
      </c>
      <c r="F192" t="s">
        <v>223</v>
      </c>
      <c r="G192" t="s">
        <v>223</v>
      </c>
      <c r="H192" t="s">
        <v>223</v>
      </c>
      <c r="I192" t="s">
        <v>223</v>
      </c>
      <c r="J192" t="s">
        <v>223</v>
      </c>
      <c r="K192" t="s">
        <v>223</v>
      </c>
      <c r="L192" t="s">
        <v>223</v>
      </c>
      <c r="M192" t="s">
        <v>223</v>
      </c>
      <c r="N192" t="s">
        <v>223</v>
      </c>
      <c r="O192" t="s">
        <v>223</v>
      </c>
      <c r="P192" t="s">
        <v>223</v>
      </c>
      <c r="Q192" t="s">
        <v>223</v>
      </c>
      <c r="R192" t="s">
        <v>223</v>
      </c>
      <c r="S192" t="s">
        <v>223</v>
      </c>
      <c r="T192" t="s">
        <v>223</v>
      </c>
      <c r="U192" t="s">
        <v>223</v>
      </c>
      <c r="V192" t="s">
        <v>223</v>
      </c>
      <c r="W192" t="s">
        <v>223</v>
      </c>
      <c r="X192" t="s">
        <v>223</v>
      </c>
      <c r="Y192" t="s">
        <v>223</v>
      </c>
      <c r="Z192" t="s">
        <v>223</v>
      </c>
      <c r="AA192" t="s">
        <v>223</v>
      </c>
      <c r="AB192" t="s">
        <v>223</v>
      </c>
      <c r="AC192" t="s">
        <v>223</v>
      </c>
      <c r="AD192" t="s">
        <v>223</v>
      </c>
      <c r="AE192" t="s">
        <v>223</v>
      </c>
      <c r="AF192" t="s">
        <v>223</v>
      </c>
      <c r="AG192" t="s">
        <v>223</v>
      </c>
      <c r="AH192" t="s">
        <v>223</v>
      </c>
      <c r="AI192" t="s">
        <v>223</v>
      </c>
      <c r="AJ192" t="s">
        <v>223</v>
      </c>
      <c r="AK192" t="s">
        <v>223</v>
      </c>
      <c r="AL192" t="s">
        <v>223</v>
      </c>
      <c r="AM192" t="s">
        <v>223</v>
      </c>
      <c r="AN192" s="9" t="s">
        <v>411</v>
      </c>
    </row>
    <row r="193" spans="1:40">
      <c r="A193" t="s">
        <v>373</v>
      </c>
      <c r="B193">
        <v>38</v>
      </c>
      <c r="C193">
        <v>39</v>
      </c>
      <c r="D193" t="s">
        <v>223</v>
      </c>
      <c r="E193" t="s">
        <v>223</v>
      </c>
      <c r="F193" t="s">
        <v>223</v>
      </c>
      <c r="G193" t="s">
        <v>223</v>
      </c>
      <c r="H193" t="s">
        <v>223</v>
      </c>
      <c r="I193" t="s">
        <v>223</v>
      </c>
      <c r="J193" t="s">
        <v>223</v>
      </c>
      <c r="K193" t="s">
        <v>223</v>
      </c>
      <c r="L193" t="s">
        <v>223</v>
      </c>
      <c r="M193" t="s">
        <v>223</v>
      </c>
      <c r="N193" t="s">
        <v>223</v>
      </c>
      <c r="O193" t="s">
        <v>223</v>
      </c>
      <c r="P193" t="s">
        <v>223</v>
      </c>
      <c r="Q193" t="s">
        <v>223</v>
      </c>
      <c r="R193" t="s">
        <v>223</v>
      </c>
      <c r="S193" t="s">
        <v>223</v>
      </c>
      <c r="T193" t="s">
        <v>223</v>
      </c>
      <c r="U193" t="s">
        <v>223</v>
      </c>
      <c r="V193" t="s">
        <v>223</v>
      </c>
      <c r="W193" t="s">
        <v>223</v>
      </c>
      <c r="X193" t="s">
        <v>223</v>
      </c>
      <c r="Y193" t="s">
        <v>223</v>
      </c>
      <c r="Z193" t="s">
        <v>223</v>
      </c>
      <c r="AA193" t="s">
        <v>223</v>
      </c>
      <c r="AB193" t="s">
        <v>223</v>
      </c>
      <c r="AC193" t="s">
        <v>223</v>
      </c>
      <c r="AD193" t="s">
        <v>223</v>
      </c>
      <c r="AE193" t="s">
        <v>223</v>
      </c>
      <c r="AF193" t="s">
        <v>223</v>
      </c>
      <c r="AG193" t="s">
        <v>223</v>
      </c>
      <c r="AH193" t="s">
        <v>223</v>
      </c>
      <c r="AI193" t="s">
        <v>223</v>
      </c>
      <c r="AJ193" t="s">
        <v>223</v>
      </c>
      <c r="AK193" t="s">
        <v>223</v>
      </c>
      <c r="AL193" t="s">
        <v>223</v>
      </c>
      <c r="AM193" t="s">
        <v>223</v>
      </c>
      <c r="AN193" s="9" t="s">
        <v>414</v>
      </c>
    </row>
    <row r="194" spans="1:40">
      <c r="A194" t="s">
        <v>373</v>
      </c>
      <c r="B194">
        <v>50</v>
      </c>
      <c r="C194">
        <v>51</v>
      </c>
      <c r="D194" t="s">
        <v>223</v>
      </c>
      <c r="E194" t="s">
        <v>223</v>
      </c>
      <c r="F194" t="s">
        <v>223</v>
      </c>
      <c r="G194" t="s">
        <v>223</v>
      </c>
      <c r="H194" t="s">
        <v>223</v>
      </c>
      <c r="I194" t="s">
        <v>223</v>
      </c>
      <c r="J194" t="s">
        <v>223</v>
      </c>
      <c r="K194" t="s">
        <v>223</v>
      </c>
      <c r="L194" t="s">
        <v>223</v>
      </c>
      <c r="M194" t="s">
        <v>223</v>
      </c>
      <c r="N194" t="s">
        <v>223</v>
      </c>
      <c r="O194" t="s">
        <v>223</v>
      </c>
      <c r="P194" t="s">
        <v>223</v>
      </c>
      <c r="Q194" t="s">
        <v>223</v>
      </c>
      <c r="R194" t="s">
        <v>223</v>
      </c>
      <c r="S194" t="s">
        <v>223</v>
      </c>
      <c r="T194" t="s">
        <v>223</v>
      </c>
      <c r="U194" t="s">
        <v>223</v>
      </c>
      <c r="V194" t="s">
        <v>223</v>
      </c>
      <c r="W194" t="s">
        <v>223</v>
      </c>
      <c r="X194" t="s">
        <v>223</v>
      </c>
      <c r="Y194" t="s">
        <v>223</v>
      </c>
      <c r="Z194" t="s">
        <v>223</v>
      </c>
      <c r="AA194" t="s">
        <v>223</v>
      </c>
      <c r="AB194" t="s">
        <v>223</v>
      </c>
      <c r="AC194" t="s">
        <v>223</v>
      </c>
      <c r="AD194" t="s">
        <v>223</v>
      </c>
      <c r="AE194" t="s">
        <v>223</v>
      </c>
      <c r="AF194" t="s">
        <v>223</v>
      </c>
      <c r="AG194" t="s">
        <v>223</v>
      </c>
      <c r="AH194" t="s">
        <v>223</v>
      </c>
      <c r="AI194" t="s">
        <v>223</v>
      </c>
      <c r="AJ194" t="s">
        <v>223</v>
      </c>
      <c r="AK194" t="s">
        <v>223</v>
      </c>
      <c r="AL194" t="s">
        <v>223</v>
      </c>
      <c r="AM194" t="s">
        <v>223</v>
      </c>
      <c r="AN194" s="9" t="s">
        <v>417</v>
      </c>
    </row>
    <row r="195" spans="1:40">
      <c r="A195" t="s">
        <v>373</v>
      </c>
      <c r="B195">
        <v>52</v>
      </c>
      <c r="C195">
        <v>53</v>
      </c>
      <c r="D195" t="s">
        <v>223</v>
      </c>
      <c r="E195" t="s">
        <v>223</v>
      </c>
      <c r="F195" t="s">
        <v>223</v>
      </c>
      <c r="G195" t="s">
        <v>223</v>
      </c>
      <c r="H195" t="s">
        <v>223</v>
      </c>
      <c r="I195" t="s">
        <v>223</v>
      </c>
      <c r="J195" t="s">
        <v>223</v>
      </c>
      <c r="K195" t="s">
        <v>223</v>
      </c>
      <c r="L195" t="s">
        <v>223</v>
      </c>
      <c r="M195" t="s">
        <v>223</v>
      </c>
      <c r="N195" t="s">
        <v>223</v>
      </c>
      <c r="O195" t="s">
        <v>223</v>
      </c>
      <c r="P195" t="s">
        <v>223</v>
      </c>
      <c r="Q195" t="s">
        <v>223</v>
      </c>
      <c r="R195" t="s">
        <v>223</v>
      </c>
      <c r="S195" t="s">
        <v>223</v>
      </c>
      <c r="T195" t="s">
        <v>223</v>
      </c>
      <c r="U195" t="s">
        <v>223</v>
      </c>
      <c r="V195" t="s">
        <v>223</v>
      </c>
      <c r="W195" t="s">
        <v>223</v>
      </c>
      <c r="X195" t="s">
        <v>223</v>
      </c>
      <c r="Y195" t="s">
        <v>223</v>
      </c>
      <c r="Z195" t="s">
        <v>223</v>
      </c>
      <c r="AA195" t="s">
        <v>223</v>
      </c>
      <c r="AB195" t="s">
        <v>223</v>
      </c>
      <c r="AC195" t="s">
        <v>223</v>
      </c>
      <c r="AD195" t="s">
        <v>223</v>
      </c>
      <c r="AE195" t="s">
        <v>223</v>
      </c>
      <c r="AF195" t="s">
        <v>223</v>
      </c>
      <c r="AG195" t="s">
        <v>223</v>
      </c>
      <c r="AH195" t="s">
        <v>223</v>
      </c>
      <c r="AI195" t="s">
        <v>223</v>
      </c>
      <c r="AJ195" t="s">
        <v>223</v>
      </c>
      <c r="AK195" t="s">
        <v>223</v>
      </c>
      <c r="AL195" t="s">
        <v>223</v>
      </c>
      <c r="AM195" t="s">
        <v>223</v>
      </c>
      <c r="AN195" s="9" t="s">
        <v>428</v>
      </c>
    </row>
    <row r="196" spans="1:40">
      <c r="A196" t="s">
        <v>374</v>
      </c>
      <c r="B196">
        <v>10</v>
      </c>
      <c r="C196">
        <v>11</v>
      </c>
      <c r="D196">
        <v>12</v>
      </c>
      <c r="E196">
        <v>13</v>
      </c>
      <c r="F196" t="s">
        <v>223</v>
      </c>
      <c r="G196" t="s">
        <v>223</v>
      </c>
      <c r="H196" t="s">
        <v>223</v>
      </c>
      <c r="I196" t="s">
        <v>223</v>
      </c>
      <c r="J196" t="s">
        <v>223</v>
      </c>
      <c r="K196" t="s">
        <v>223</v>
      </c>
      <c r="L196" t="s">
        <v>223</v>
      </c>
      <c r="M196" t="s">
        <v>223</v>
      </c>
      <c r="N196" t="s">
        <v>223</v>
      </c>
      <c r="O196" t="s">
        <v>223</v>
      </c>
      <c r="P196" t="s">
        <v>223</v>
      </c>
      <c r="Q196" t="s">
        <v>223</v>
      </c>
      <c r="R196" t="s">
        <v>223</v>
      </c>
      <c r="S196" t="s">
        <v>223</v>
      </c>
      <c r="T196" t="s">
        <v>223</v>
      </c>
      <c r="U196" t="s">
        <v>223</v>
      </c>
      <c r="V196" t="s">
        <v>223</v>
      </c>
      <c r="W196" t="s">
        <v>223</v>
      </c>
      <c r="X196" t="s">
        <v>223</v>
      </c>
      <c r="Y196" t="s">
        <v>223</v>
      </c>
      <c r="Z196" t="s">
        <v>223</v>
      </c>
      <c r="AA196" t="s">
        <v>223</v>
      </c>
      <c r="AB196" t="s">
        <v>223</v>
      </c>
      <c r="AC196" t="s">
        <v>223</v>
      </c>
      <c r="AD196" t="s">
        <v>223</v>
      </c>
      <c r="AE196" t="s">
        <v>223</v>
      </c>
      <c r="AF196" t="s">
        <v>223</v>
      </c>
      <c r="AG196" t="s">
        <v>223</v>
      </c>
      <c r="AH196" t="s">
        <v>223</v>
      </c>
      <c r="AI196" t="s">
        <v>223</v>
      </c>
      <c r="AJ196" t="s">
        <v>223</v>
      </c>
      <c r="AK196" t="s">
        <v>223</v>
      </c>
      <c r="AL196" t="s">
        <v>223</v>
      </c>
      <c r="AM196" t="s">
        <v>223</v>
      </c>
      <c r="AN196" s="9" t="s">
        <v>437</v>
      </c>
    </row>
    <row r="197" spans="1:40">
      <c r="A197" t="s">
        <v>374</v>
      </c>
      <c r="B197">
        <v>22</v>
      </c>
      <c r="C197">
        <v>23</v>
      </c>
      <c r="D197">
        <v>24</v>
      </c>
      <c r="E197">
        <v>25</v>
      </c>
      <c r="F197" t="s">
        <v>223</v>
      </c>
      <c r="G197" t="s">
        <v>223</v>
      </c>
      <c r="H197" t="s">
        <v>223</v>
      </c>
      <c r="I197" t="s">
        <v>223</v>
      </c>
      <c r="J197" t="s">
        <v>223</v>
      </c>
      <c r="K197" t="s">
        <v>223</v>
      </c>
      <c r="L197" t="s">
        <v>223</v>
      </c>
      <c r="M197" t="s">
        <v>223</v>
      </c>
      <c r="N197" t="s">
        <v>223</v>
      </c>
      <c r="O197" t="s">
        <v>223</v>
      </c>
      <c r="P197" t="s">
        <v>223</v>
      </c>
      <c r="Q197" t="s">
        <v>223</v>
      </c>
      <c r="R197" t="s">
        <v>223</v>
      </c>
      <c r="S197" t="s">
        <v>223</v>
      </c>
      <c r="T197" t="s">
        <v>223</v>
      </c>
      <c r="U197" t="s">
        <v>223</v>
      </c>
      <c r="V197" t="s">
        <v>223</v>
      </c>
      <c r="W197" t="s">
        <v>223</v>
      </c>
      <c r="X197" t="s">
        <v>223</v>
      </c>
      <c r="Y197" t="s">
        <v>223</v>
      </c>
      <c r="Z197" t="s">
        <v>223</v>
      </c>
      <c r="AA197" t="s">
        <v>223</v>
      </c>
      <c r="AB197" t="s">
        <v>223</v>
      </c>
      <c r="AC197" t="s">
        <v>223</v>
      </c>
      <c r="AD197" t="s">
        <v>223</v>
      </c>
      <c r="AE197" t="s">
        <v>223</v>
      </c>
      <c r="AF197" t="s">
        <v>223</v>
      </c>
      <c r="AG197" t="s">
        <v>223</v>
      </c>
      <c r="AH197" t="s">
        <v>223</v>
      </c>
      <c r="AI197" t="s">
        <v>223</v>
      </c>
      <c r="AJ197" t="s">
        <v>223</v>
      </c>
      <c r="AK197" t="s">
        <v>223</v>
      </c>
      <c r="AL197" t="s">
        <v>223</v>
      </c>
      <c r="AM197" t="s">
        <v>223</v>
      </c>
      <c r="AN197" s="9" t="s">
        <v>438</v>
      </c>
    </row>
    <row r="198" spans="1:40">
      <c r="A198" t="s">
        <v>374</v>
      </c>
      <c r="B198">
        <v>34</v>
      </c>
      <c r="C198">
        <v>35</v>
      </c>
      <c r="D198">
        <v>36</v>
      </c>
      <c r="E198">
        <v>37</v>
      </c>
      <c r="F198" t="s">
        <v>223</v>
      </c>
      <c r="G198" t="s">
        <v>223</v>
      </c>
      <c r="H198" t="s">
        <v>223</v>
      </c>
      <c r="I198" t="s">
        <v>223</v>
      </c>
      <c r="J198" t="s">
        <v>223</v>
      </c>
      <c r="K198" t="s">
        <v>223</v>
      </c>
      <c r="L198" t="s">
        <v>223</v>
      </c>
      <c r="M198" t="s">
        <v>223</v>
      </c>
      <c r="N198" t="s">
        <v>223</v>
      </c>
      <c r="O198" t="s">
        <v>223</v>
      </c>
      <c r="P198" t="s">
        <v>223</v>
      </c>
      <c r="Q198" t="s">
        <v>223</v>
      </c>
      <c r="R198" t="s">
        <v>223</v>
      </c>
      <c r="S198" t="s">
        <v>223</v>
      </c>
      <c r="T198" t="s">
        <v>223</v>
      </c>
      <c r="U198" t="s">
        <v>223</v>
      </c>
      <c r="V198" t="s">
        <v>223</v>
      </c>
      <c r="W198" t="s">
        <v>223</v>
      </c>
      <c r="X198" t="s">
        <v>223</v>
      </c>
      <c r="Y198" t="s">
        <v>223</v>
      </c>
      <c r="Z198" t="s">
        <v>223</v>
      </c>
      <c r="AA198" t="s">
        <v>223</v>
      </c>
      <c r="AB198" t="s">
        <v>223</v>
      </c>
      <c r="AC198" t="s">
        <v>223</v>
      </c>
      <c r="AD198" t="s">
        <v>223</v>
      </c>
      <c r="AE198" t="s">
        <v>223</v>
      </c>
      <c r="AF198" t="s">
        <v>223</v>
      </c>
      <c r="AG198" t="s">
        <v>223</v>
      </c>
      <c r="AH198" t="s">
        <v>223</v>
      </c>
      <c r="AI198" t="s">
        <v>223</v>
      </c>
      <c r="AJ198" t="s">
        <v>223</v>
      </c>
      <c r="AK198" t="s">
        <v>223</v>
      </c>
      <c r="AL198" t="s">
        <v>223</v>
      </c>
      <c r="AM198" t="s">
        <v>223</v>
      </c>
      <c r="AN198" s="9" t="s">
        <v>439</v>
      </c>
    </row>
    <row r="199" spans="1:40">
      <c r="A199" t="s">
        <v>374</v>
      </c>
      <c r="B199">
        <v>46</v>
      </c>
      <c r="C199">
        <v>47</v>
      </c>
      <c r="D199">
        <v>48</v>
      </c>
      <c r="E199">
        <v>49</v>
      </c>
      <c r="F199" t="s">
        <v>223</v>
      </c>
      <c r="G199" t="s">
        <v>223</v>
      </c>
      <c r="H199" t="s">
        <v>223</v>
      </c>
      <c r="I199" t="s">
        <v>223</v>
      </c>
      <c r="J199" t="s">
        <v>223</v>
      </c>
      <c r="K199" t="s">
        <v>223</v>
      </c>
      <c r="L199" t="s">
        <v>223</v>
      </c>
      <c r="M199" t="s">
        <v>223</v>
      </c>
      <c r="N199" t="s">
        <v>223</v>
      </c>
      <c r="O199" t="s">
        <v>223</v>
      </c>
      <c r="P199" t="s">
        <v>223</v>
      </c>
      <c r="Q199" t="s">
        <v>223</v>
      </c>
      <c r="R199" t="s">
        <v>223</v>
      </c>
      <c r="S199" t="s">
        <v>223</v>
      </c>
      <c r="T199" t="s">
        <v>223</v>
      </c>
      <c r="U199" t="s">
        <v>223</v>
      </c>
      <c r="V199" t="s">
        <v>223</v>
      </c>
      <c r="W199" t="s">
        <v>223</v>
      </c>
      <c r="X199" t="s">
        <v>223</v>
      </c>
      <c r="Y199" t="s">
        <v>223</v>
      </c>
      <c r="Z199" t="s">
        <v>223</v>
      </c>
      <c r="AA199" t="s">
        <v>223</v>
      </c>
      <c r="AB199" t="s">
        <v>223</v>
      </c>
      <c r="AC199" t="s">
        <v>223</v>
      </c>
      <c r="AD199" t="s">
        <v>223</v>
      </c>
      <c r="AE199" t="s">
        <v>223</v>
      </c>
      <c r="AF199" t="s">
        <v>223</v>
      </c>
      <c r="AG199" t="s">
        <v>223</v>
      </c>
      <c r="AH199" t="s">
        <v>223</v>
      </c>
      <c r="AI199" t="s">
        <v>223</v>
      </c>
      <c r="AJ199" t="s">
        <v>223</v>
      </c>
      <c r="AK199" t="s">
        <v>223</v>
      </c>
      <c r="AL199" t="s">
        <v>223</v>
      </c>
      <c r="AM199" t="s">
        <v>223</v>
      </c>
      <c r="AN199" s="9" t="s">
        <v>440</v>
      </c>
    </row>
    <row r="200" spans="1:40">
      <c r="A200" t="s">
        <v>375</v>
      </c>
      <c r="B200">
        <v>12</v>
      </c>
      <c r="C200">
        <v>13</v>
      </c>
      <c r="D200" t="s">
        <v>223</v>
      </c>
      <c r="E200" t="s">
        <v>223</v>
      </c>
      <c r="F200" t="s">
        <v>223</v>
      </c>
      <c r="G200" t="s">
        <v>223</v>
      </c>
      <c r="H200" t="s">
        <v>223</v>
      </c>
      <c r="I200" t="s">
        <v>223</v>
      </c>
      <c r="J200" t="s">
        <v>223</v>
      </c>
      <c r="K200" t="s">
        <v>223</v>
      </c>
      <c r="L200" t="s">
        <v>223</v>
      </c>
      <c r="M200" t="s">
        <v>223</v>
      </c>
      <c r="N200" t="s">
        <v>223</v>
      </c>
      <c r="O200" t="s">
        <v>223</v>
      </c>
      <c r="P200" t="s">
        <v>223</v>
      </c>
      <c r="Q200" t="s">
        <v>223</v>
      </c>
      <c r="R200" t="s">
        <v>223</v>
      </c>
      <c r="S200" t="s">
        <v>223</v>
      </c>
      <c r="T200" t="s">
        <v>223</v>
      </c>
      <c r="U200" t="s">
        <v>223</v>
      </c>
      <c r="V200" t="s">
        <v>223</v>
      </c>
      <c r="W200" t="s">
        <v>223</v>
      </c>
      <c r="X200" t="s">
        <v>223</v>
      </c>
      <c r="Y200" t="s">
        <v>223</v>
      </c>
      <c r="Z200" t="s">
        <v>223</v>
      </c>
      <c r="AA200" t="s">
        <v>223</v>
      </c>
      <c r="AB200" t="s">
        <v>223</v>
      </c>
      <c r="AC200" t="s">
        <v>223</v>
      </c>
      <c r="AD200" t="s">
        <v>223</v>
      </c>
      <c r="AE200" t="s">
        <v>223</v>
      </c>
      <c r="AF200" t="s">
        <v>223</v>
      </c>
      <c r="AG200" t="s">
        <v>223</v>
      </c>
      <c r="AH200" t="s">
        <v>223</v>
      </c>
      <c r="AI200" t="s">
        <v>223</v>
      </c>
      <c r="AJ200" t="s">
        <v>223</v>
      </c>
      <c r="AK200" t="s">
        <v>223</v>
      </c>
      <c r="AL200" t="s">
        <v>223</v>
      </c>
      <c r="AM200" t="s">
        <v>223</v>
      </c>
      <c r="AN200" s="9" t="s">
        <v>418</v>
      </c>
    </row>
    <row r="201" spans="1:40">
      <c r="A201" t="s">
        <v>375</v>
      </c>
      <c r="B201">
        <v>24</v>
      </c>
      <c r="C201">
        <v>25</v>
      </c>
      <c r="D201" t="s">
        <v>223</v>
      </c>
      <c r="E201" t="s">
        <v>223</v>
      </c>
      <c r="F201" t="s">
        <v>223</v>
      </c>
      <c r="G201" t="s">
        <v>223</v>
      </c>
      <c r="H201" t="s">
        <v>223</v>
      </c>
      <c r="I201" t="s">
        <v>223</v>
      </c>
      <c r="J201" t="s">
        <v>223</v>
      </c>
      <c r="K201" t="s">
        <v>223</v>
      </c>
      <c r="L201" t="s">
        <v>223</v>
      </c>
      <c r="M201" t="s">
        <v>223</v>
      </c>
      <c r="N201" t="s">
        <v>223</v>
      </c>
      <c r="O201" t="s">
        <v>223</v>
      </c>
      <c r="P201" t="s">
        <v>223</v>
      </c>
      <c r="Q201" t="s">
        <v>223</v>
      </c>
      <c r="R201" t="s">
        <v>223</v>
      </c>
      <c r="S201" t="s">
        <v>223</v>
      </c>
      <c r="T201" t="s">
        <v>223</v>
      </c>
      <c r="U201" t="s">
        <v>223</v>
      </c>
      <c r="V201" t="s">
        <v>223</v>
      </c>
      <c r="W201" t="s">
        <v>223</v>
      </c>
      <c r="X201" t="s">
        <v>223</v>
      </c>
      <c r="Y201" t="s">
        <v>223</v>
      </c>
      <c r="Z201" t="s">
        <v>223</v>
      </c>
      <c r="AA201" t="s">
        <v>223</v>
      </c>
      <c r="AB201" t="s">
        <v>223</v>
      </c>
      <c r="AC201" t="s">
        <v>223</v>
      </c>
      <c r="AD201" t="s">
        <v>223</v>
      </c>
      <c r="AE201" t="s">
        <v>223</v>
      </c>
      <c r="AF201" t="s">
        <v>223</v>
      </c>
      <c r="AG201" t="s">
        <v>223</v>
      </c>
      <c r="AH201" t="s">
        <v>223</v>
      </c>
      <c r="AI201" t="s">
        <v>223</v>
      </c>
      <c r="AJ201" t="s">
        <v>223</v>
      </c>
      <c r="AK201" t="s">
        <v>223</v>
      </c>
      <c r="AL201" t="s">
        <v>223</v>
      </c>
      <c r="AM201" t="s">
        <v>223</v>
      </c>
      <c r="AN201" s="9" t="s">
        <v>421</v>
      </c>
    </row>
    <row r="202" spans="1:40">
      <c r="A202" t="s">
        <v>376</v>
      </c>
      <c r="B202">
        <v>14</v>
      </c>
      <c r="C202" t="s">
        <v>223</v>
      </c>
      <c r="D202" t="s">
        <v>223</v>
      </c>
      <c r="E202" t="s">
        <v>223</v>
      </c>
      <c r="F202" t="s">
        <v>223</v>
      </c>
      <c r="G202" t="s">
        <v>223</v>
      </c>
      <c r="H202" t="s">
        <v>223</v>
      </c>
      <c r="I202" t="s">
        <v>223</v>
      </c>
      <c r="J202" t="s">
        <v>223</v>
      </c>
      <c r="K202" t="s">
        <v>223</v>
      </c>
      <c r="L202" t="s">
        <v>223</v>
      </c>
      <c r="M202" t="s">
        <v>223</v>
      </c>
      <c r="N202" t="s">
        <v>223</v>
      </c>
      <c r="O202" t="s">
        <v>223</v>
      </c>
      <c r="P202" t="s">
        <v>223</v>
      </c>
      <c r="Q202" t="s">
        <v>223</v>
      </c>
      <c r="R202" t="s">
        <v>223</v>
      </c>
      <c r="S202" t="s">
        <v>223</v>
      </c>
      <c r="T202" t="s">
        <v>223</v>
      </c>
      <c r="U202" t="s">
        <v>223</v>
      </c>
      <c r="V202" t="s">
        <v>223</v>
      </c>
      <c r="W202" t="s">
        <v>223</v>
      </c>
      <c r="X202" t="s">
        <v>223</v>
      </c>
      <c r="Y202" t="s">
        <v>223</v>
      </c>
      <c r="Z202" t="s">
        <v>223</v>
      </c>
      <c r="AA202" t="s">
        <v>223</v>
      </c>
      <c r="AB202" t="s">
        <v>223</v>
      </c>
      <c r="AC202" t="s">
        <v>223</v>
      </c>
      <c r="AD202" t="s">
        <v>223</v>
      </c>
      <c r="AE202" t="s">
        <v>223</v>
      </c>
      <c r="AF202" t="s">
        <v>223</v>
      </c>
      <c r="AG202" t="s">
        <v>223</v>
      </c>
      <c r="AH202" t="s">
        <v>223</v>
      </c>
      <c r="AI202" t="s">
        <v>223</v>
      </c>
      <c r="AJ202" t="s">
        <v>223</v>
      </c>
      <c r="AK202" t="s">
        <v>223</v>
      </c>
      <c r="AL202" t="s">
        <v>223</v>
      </c>
      <c r="AM202" t="s">
        <v>223</v>
      </c>
      <c r="AN202" s="9">
        <v>14</v>
      </c>
    </row>
    <row r="203" spans="1:40">
      <c r="A203" t="s">
        <v>376</v>
      </c>
      <c r="B203">
        <v>26</v>
      </c>
      <c r="C203" t="s">
        <v>223</v>
      </c>
      <c r="D203" t="s">
        <v>223</v>
      </c>
      <c r="E203" t="s">
        <v>223</v>
      </c>
      <c r="F203" t="s">
        <v>223</v>
      </c>
      <c r="G203" t="s">
        <v>223</v>
      </c>
      <c r="H203" t="s">
        <v>223</v>
      </c>
      <c r="I203" t="s">
        <v>223</v>
      </c>
      <c r="J203" t="s">
        <v>223</v>
      </c>
      <c r="K203" t="s">
        <v>223</v>
      </c>
      <c r="L203" t="s">
        <v>223</v>
      </c>
      <c r="M203" t="s">
        <v>223</v>
      </c>
      <c r="N203" t="s">
        <v>223</v>
      </c>
      <c r="O203" t="s">
        <v>223</v>
      </c>
      <c r="P203" t="s">
        <v>223</v>
      </c>
      <c r="Q203" t="s">
        <v>223</v>
      </c>
      <c r="R203" t="s">
        <v>223</v>
      </c>
      <c r="S203" t="s">
        <v>223</v>
      </c>
      <c r="T203" t="s">
        <v>223</v>
      </c>
      <c r="U203" t="s">
        <v>223</v>
      </c>
      <c r="V203" t="s">
        <v>223</v>
      </c>
      <c r="W203" t="s">
        <v>223</v>
      </c>
      <c r="X203" t="s">
        <v>223</v>
      </c>
      <c r="Y203" t="s">
        <v>223</v>
      </c>
      <c r="Z203" t="s">
        <v>223</v>
      </c>
      <c r="AA203" t="s">
        <v>223</v>
      </c>
      <c r="AB203" t="s">
        <v>223</v>
      </c>
      <c r="AC203" t="s">
        <v>223</v>
      </c>
      <c r="AD203" t="s">
        <v>223</v>
      </c>
      <c r="AE203" t="s">
        <v>223</v>
      </c>
      <c r="AF203" t="s">
        <v>223</v>
      </c>
      <c r="AG203" t="s">
        <v>223</v>
      </c>
      <c r="AH203" t="s">
        <v>223</v>
      </c>
      <c r="AI203" t="s">
        <v>223</v>
      </c>
      <c r="AJ203" t="s">
        <v>223</v>
      </c>
      <c r="AK203" t="s">
        <v>223</v>
      </c>
      <c r="AL203" t="s">
        <v>223</v>
      </c>
      <c r="AM203" t="s">
        <v>223</v>
      </c>
      <c r="AN203" s="9">
        <v>26</v>
      </c>
    </row>
    <row r="204" spans="1:40">
      <c r="A204" t="s">
        <v>376</v>
      </c>
      <c r="B204">
        <v>14</v>
      </c>
      <c r="C204">
        <v>15</v>
      </c>
      <c r="D204" t="s">
        <v>223</v>
      </c>
      <c r="E204" t="s">
        <v>223</v>
      </c>
      <c r="F204" t="s">
        <v>223</v>
      </c>
      <c r="G204" t="s">
        <v>223</v>
      </c>
      <c r="H204" t="s">
        <v>223</v>
      </c>
      <c r="I204" t="s">
        <v>223</v>
      </c>
      <c r="J204" t="s">
        <v>223</v>
      </c>
      <c r="K204" t="s">
        <v>223</v>
      </c>
      <c r="L204" t="s">
        <v>223</v>
      </c>
      <c r="M204" t="s">
        <v>223</v>
      </c>
      <c r="N204" t="s">
        <v>223</v>
      </c>
      <c r="O204" t="s">
        <v>223</v>
      </c>
      <c r="P204" t="s">
        <v>223</v>
      </c>
      <c r="Q204" t="s">
        <v>223</v>
      </c>
      <c r="R204" t="s">
        <v>223</v>
      </c>
      <c r="S204" t="s">
        <v>223</v>
      </c>
      <c r="T204" t="s">
        <v>223</v>
      </c>
      <c r="U204" t="s">
        <v>223</v>
      </c>
      <c r="V204" t="s">
        <v>223</v>
      </c>
      <c r="W204" t="s">
        <v>223</v>
      </c>
      <c r="X204" t="s">
        <v>223</v>
      </c>
      <c r="Y204" t="s">
        <v>223</v>
      </c>
      <c r="Z204" t="s">
        <v>223</v>
      </c>
      <c r="AA204" t="s">
        <v>223</v>
      </c>
      <c r="AB204" t="s">
        <v>223</v>
      </c>
      <c r="AC204" t="s">
        <v>223</v>
      </c>
      <c r="AD204" t="s">
        <v>223</v>
      </c>
      <c r="AE204" t="s">
        <v>223</v>
      </c>
      <c r="AF204" t="s">
        <v>223</v>
      </c>
      <c r="AG204" t="s">
        <v>223</v>
      </c>
      <c r="AH204" t="s">
        <v>223</v>
      </c>
      <c r="AI204" t="s">
        <v>223</v>
      </c>
      <c r="AJ204" t="s">
        <v>223</v>
      </c>
      <c r="AK204" t="s">
        <v>223</v>
      </c>
      <c r="AL204" t="s">
        <v>223</v>
      </c>
      <c r="AM204" t="s">
        <v>223</v>
      </c>
      <c r="AN204" s="9" t="s">
        <v>408</v>
      </c>
    </row>
    <row r="205" spans="1:40">
      <c r="A205" t="s">
        <v>376</v>
      </c>
      <c r="B205">
        <v>26</v>
      </c>
      <c r="C205">
        <v>27</v>
      </c>
      <c r="D205" t="s">
        <v>223</v>
      </c>
      <c r="E205" t="s">
        <v>223</v>
      </c>
      <c r="F205" t="s">
        <v>223</v>
      </c>
      <c r="G205" t="s">
        <v>223</v>
      </c>
      <c r="H205" t="s">
        <v>223</v>
      </c>
      <c r="I205" t="s">
        <v>223</v>
      </c>
      <c r="J205" t="s">
        <v>223</v>
      </c>
      <c r="K205" t="s">
        <v>223</v>
      </c>
      <c r="L205" t="s">
        <v>223</v>
      </c>
      <c r="M205" t="s">
        <v>223</v>
      </c>
      <c r="N205" t="s">
        <v>223</v>
      </c>
      <c r="O205" t="s">
        <v>223</v>
      </c>
      <c r="P205" t="s">
        <v>223</v>
      </c>
      <c r="Q205" t="s">
        <v>223</v>
      </c>
      <c r="R205" t="s">
        <v>223</v>
      </c>
      <c r="S205" t="s">
        <v>223</v>
      </c>
      <c r="T205" t="s">
        <v>223</v>
      </c>
      <c r="U205" t="s">
        <v>223</v>
      </c>
      <c r="V205" t="s">
        <v>223</v>
      </c>
      <c r="W205" t="s">
        <v>223</v>
      </c>
      <c r="X205" t="s">
        <v>223</v>
      </c>
      <c r="Y205" t="s">
        <v>223</v>
      </c>
      <c r="Z205" t="s">
        <v>223</v>
      </c>
      <c r="AA205" t="s">
        <v>223</v>
      </c>
      <c r="AB205" t="s">
        <v>223</v>
      </c>
      <c r="AC205" t="s">
        <v>223</v>
      </c>
      <c r="AD205" t="s">
        <v>223</v>
      </c>
      <c r="AE205" t="s">
        <v>223</v>
      </c>
      <c r="AF205" t="s">
        <v>223</v>
      </c>
      <c r="AG205" t="s">
        <v>223</v>
      </c>
      <c r="AH205" t="s">
        <v>223</v>
      </c>
      <c r="AI205" t="s">
        <v>223</v>
      </c>
      <c r="AJ205" t="s">
        <v>223</v>
      </c>
      <c r="AK205" t="s">
        <v>223</v>
      </c>
      <c r="AL205" t="s">
        <v>223</v>
      </c>
      <c r="AM205" t="s">
        <v>223</v>
      </c>
      <c r="AN205" s="9" t="s">
        <v>411</v>
      </c>
    </row>
    <row r="206" spans="1:40">
      <c r="A206" t="s">
        <v>376</v>
      </c>
      <c r="B206">
        <v>14</v>
      </c>
      <c r="C206">
        <v>15</v>
      </c>
      <c r="D206">
        <v>10</v>
      </c>
      <c r="E206">
        <v>11</v>
      </c>
      <c r="F206" t="s">
        <v>223</v>
      </c>
      <c r="G206" t="s">
        <v>223</v>
      </c>
      <c r="H206" t="s">
        <v>223</v>
      </c>
      <c r="I206" t="s">
        <v>223</v>
      </c>
      <c r="J206" t="s">
        <v>223</v>
      </c>
      <c r="K206" t="s">
        <v>223</v>
      </c>
      <c r="L206" t="s">
        <v>223</v>
      </c>
      <c r="M206" t="s">
        <v>223</v>
      </c>
      <c r="N206" t="s">
        <v>223</v>
      </c>
      <c r="O206" t="s">
        <v>223</v>
      </c>
      <c r="P206" t="s">
        <v>223</v>
      </c>
      <c r="Q206" t="s">
        <v>223</v>
      </c>
      <c r="R206" t="s">
        <v>223</v>
      </c>
      <c r="S206" t="s">
        <v>223</v>
      </c>
      <c r="T206" t="s">
        <v>223</v>
      </c>
      <c r="U206" t="s">
        <v>223</v>
      </c>
      <c r="V206" t="s">
        <v>223</v>
      </c>
      <c r="W206" t="s">
        <v>223</v>
      </c>
      <c r="X206" t="s">
        <v>223</v>
      </c>
      <c r="Y206" t="s">
        <v>223</v>
      </c>
      <c r="Z206" t="s">
        <v>223</v>
      </c>
      <c r="AA206" t="s">
        <v>223</v>
      </c>
      <c r="AB206" t="s">
        <v>223</v>
      </c>
      <c r="AC206" t="s">
        <v>223</v>
      </c>
      <c r="AD206" t="s">
        <v>223</v>
      </c>
      <c r="AE206" t="s">
        <v>223</v>
      </c>
      <c r="AF206" t="s">
        <v>223</v>
      </c>
      <c r="AG206" t="s">
        <v>223</v>
      </c>
      <c r="AH206" t="s">
        <v>223</v>
      </c>
      <c r="AI206" t="s">
        <v>223</v>
      </c>
      <c r="AJ206" t="s">
        <v>223</v>
      </c>
      <c r="AK206" t="s">
        <v>223</v>
      </c>
      <c r="AL206" t="s">
        <v>223</v>
      </c>
      <c r="AM206" t="s">
        <v>223</v>
      </c>
      <c r="AN206" s="9" t="s">
        <v>441</v>
      </c>
    </row>
    <row r="207" spans="1:40">
      <c r="A207" t="s">
        <v>376</v>
      </c>
      <c r="B207">
        <v>26</v>
      </c>
      <c r="C207">
        <v>27</v>
      </c>
      <c r="D207">
        <v>22</v>
      </c>
      <c r="E207">
        <v>23</v>
      </c>
      <c r="F207" t="s">
        <v>223</v>
      </c>
      <c r="G207" t="s">
        <v>223</v>
      </c>
      <c r="H207" t="s">
        <v>223</v>
      </c>
      <c r="I207" t="s">
        <v>223</v>
      </c>
      <c r="J207" t="s">
        <v>223</v>
      </c>
      <c r="K207" t="s">
        <v>223</v>
      </c>
      <c r="L207" t="s">
        <v>223</v>
      </c>
      <c r="M207" t="s">
        <v>223</v>
      </c>
      <c r="N207" t="s">
        <v>223</v>
      </c>
      <c r="O207" t="s">
        <v>223</v>
      </c>
      <c r="P207" t="s">
        <v>223</v>
      </c>
      <c r="Q207" t="s">
        <v>223</v>
      </c>
      <c r="R207" t="s">
        <v>223</v>
      </c>
      <c r="S207" t="s">
        <v>223</v>
      </c>
      <c r="T207" t="s">
        <v>223</v>
      </c>
      <c r="U207" t="s">
        <v>223</v>
      </c>
      <c r="V207" t="s">
        <v>223</v>
      </c>
      <c r="W207" t="s">
        <v>223</v>
      </c>
      <c r="X207" t="s">
        <v>223</v>
      </c>
      <c r="Y207" t="s">
        <v>223</v>
      </c>
      <c r="Z207" t="s">
        <v>223</v>
      </c>
      <c r="AA207" t="s">
        <v>223</v>
      </c>
      <c r="AB207" t="s">
        <v>223</v>
      </c>
      <c r="AC207" t="s">
        <v>223</v>
      </c>
      <c r="AD207" t="s">
        <v>223</v>
      </c>
      <c r="AE207" t="s">
        <v>223</v>
      </c>
      <c r="AF207" t="s">
        <v>223</v>
      </c>
      <c r="AG207" t="s">
        <v>223</v>
      </c>
      <c r="AH207" t="s">
        <v>223</v>
      </c>
      <c r="AI207" t="s">
        <v>223</v>
      </c>
      <c r="AJ207" t="s">
        <v>223</v>
      </c>
      <c r="AK207" t="s">
        <v>223</v>
      </c>
      <c r="AL207" t="s">
        <v>223</v>
      </c>
      <c r="AM207" t="s">
        <v>223</v>
      </c>
      <c r="AN207" s="9" t="s">
        <v>442</v>
      </c>
    </row>
    <row r="208" spans="1:40">
      <c r="A208" t="s">
        <v>376</v>
      </c>
      <c r="B208">
        <v>14</v>
      </c>
      <c r="C208">
        <v>15</v>
      </c>
      <c r="D208">
        <v>10</v>
      </c>
      <c r="E208">
        <v>11</v>
      </c>
      <c r="F208">
        <v>16</v>
      </c>
      <c r="G208">
        <v>17</v>
      </c>
      <c r="H208">
        <v>18</v>
      </c>
      <c r="I208">
        <v>19</v>
      </c>
      <c r="J208" t="s">
        <v>223</v>
      </c>
      <c r="K208" t="s">
        <v>223</v>
      </c>
      <c r="L208" t="s">
        <v>223</v>
      </c>
      <c r="M208" t="s">
        <v>223</v>
      </c>
      <c r="N208" t="s">
        <v>223</v>
      </c>
      <c r="O208" t="s">
        <v>223</v>
      </c>
      <c r="P208" t="s">
        <v>223</v>
      </c>
      <c r="Q208" t="s">
        <v>223</v>
      </c>
      <c r="R208" t="s">
        <v>223</v>
      </c>
      <c r="S208" t="s">
        <v>223</v>
      </c>
      <c r="T208" t="s">
        <v>223</v>
      </c>
      <c r="U208" t="s">
        <v>223</v>
      </c>
      <c r="V208" t="s">
        <v>223</v>
      </c>
      <c r="W208" t="s">
        <v>223</v>
      </c>
      <c r="X208" t="s">
        <v>223</v>
      </c>
      <c r="Y208" t="s">
        <v>223</v>
      </c>
      <c r="Z208" t="s">
        <v>223</v>
      </c>
      <c r="AA208" t="s">
        <v>223</v>
      </c>
      <c r="AB208" t="s">
        <v>223</v>
      </c>
      <c r="AC208" t="s">
        <v>223</v>
      </c>
      <c r="AD208" t="s">
        <v>223</v>
      </c>
      <c r="AE208" t="s">
        <v>223</v>
      </c>
      <c r="AF208" t="s">
        <v>223</v>
      </c>
      <c r="AG208" t="s">
        <v>223</v>
      </c>
      <c r="AH208" t="s">
        <v>223</v>
      </c>
      <c r="AI208" t="s">
        <v>223</v>
      </c>
      <c r="AJ208" t="s">
        <v>223</v>
      </c>
      <c r="AK208" t="s">
        <v>223</v>
      </c>
      <c r="AL208" t="s">
        <v>223</v>
      </c>
      <c r="AM208" t="s">
        <v>223</v>
      </c>
      <c r="AN208" s="9" t="s">
        <v>443</v>
      </c>
    </row>
    <row r="209" spans="1:40">
      <c r="A209" t="s">
        <v>376</v>
      </c>
      <c r="B209">
        <v>14</v>
      </c>
      <c r="C209">
        <v>15</v>
      </c>
      <c r="D209">
        <v>10</v>
      </c>
      <c r="E209">
        <v>11</v>
      </c>
      <c r="F209">
        <v>16</v>
      </c>
      <c r="G209">
        <v>17</v>
      </c>
      <c r="H209">
        <v>18</v>
      </c>
      <c r="I209">
        <v>19</v>
      </c>
      <c r="J209">
        <v>2</v>
      </c>
      <c r="K209">
        <v>3</v>
      </c>
      <c r="L209">
        <v>4</v>
      </c>
      <c r="M209">
        <v>5</v>
      </c>
      <c r="N209">
        <v>6</v>
      </c>
      <c r="O209">
        <v>7</v>
      </c>
      <c r="P209">
        <v>8</v>
      </c>
      <c r="Q209">
        <v>9</v>
      </c>
      <c r="R209" t="s">
        <v>223</v>
      </c>
      <c r="S209" t="s">
        <v>223</v>
      </c>
      <c r="T209" t="s">
        <v>223</v>
      </c>
      <c r="U209" t="s">
        <v>223</v>
      </c>
      <c r="V209" t="s">
        <v>223</v>
      </c>
      <c r="W209" t="s">
        <v>223</v>
      </c>
      <c r="X209" t="s">
        <v>223</v>
      </c>
      <c r="Y209" t="s">
        <v>223</v>
      </c>
      <c r="Z209" t="s">
        <v>223</v>
      </c>
      <c r="AA209" t="s">
        <v>223</v>
      </c>
      <c r="AB209" t="s">
        <v>223</v>
      </c>
      <c r="AC209" t="s">
        <v>223</v>
      </c>
      <c r="AD209" t="s">
        <v>223</v>
      </c>
      <c r="AE209" t="s">
        <v>223</v>
      </c>
      <c r="AF209" t="s">
        <v>223</v>
      </c>
      <c r="AG209" t="s">
        <v>223</v>
      </c>
      <c r="AH209" t="s">
        <v>223</v>
      </c>
      <c r="AI209" t="s">
        <v>223</v>
      </c>
      <c r="AJ209" t="s">
        <v>223</v>
      </c>
      <c r="AK209" t="s">
        <v>223</v>
      </c>
      <c r="AL209" t="s">
        <v>223</v>
      </c>
      <c r="AM209" t="s">
        <v>223</v>
      </c>
      <c r="AN209" s="9" t="s">
        <v>444</v>
      </c>
    </row>
    <row r="210" spans="1:40">
      <c r="A210" t="s">
        <v>377</v>
      </c>
      <c r="B210">
        <v>16</v>
      </c>
      <c r="C210">
        <v>17</v>
      </c>
      <c r="D210">
        <v>18</v>
      </c>
      <c r="E210">
        <v>19</v>
      </c>
      <c r="F210">
        <v>20</v>
      </c>
      <c r="G210">
        <v>21</v>
      </c>
      <c r="H210" t="s">
        <v>223</v>
      </c>
      <c r="I210" t="s">
        <v>223</v>
      </c>
      <c r="J210" t="s">
        <v>223</v>
      </c>
      <c r="K210" t="s">
        <v>223</v>
      </c>
      <c r="L210" t="s">
        <v>223</v>
      </c>
      <c r="M210" t="s">
        <v>223</v>
      </c>
      <c r="N210" t="s">
        <v>223</v>
      </c>
      <c r="O210" t="s">
        <v>223</v>
      </c>
      <c r="P210" t="s">
        <v>223</v>
      </c>
      <c r="Q210" t="s">
        <v>223</v>
      </c>
      <c r="R210" t="s">
        <v>223</v>
      </c>
      <c r="S210" t="s">
        <v>223</v>
      </c>
      <c r="T210" t="s">
        <v>223</v>
      </c>
      <c r="U210" t="s">
        <v>223</v>
      </c>
      <c r="V210" t="s">
        <v>223</v>
      </c>
      <c r="W210" t="s">
        <v>223</v>
      </c>
      <c r="X210" t="s">
        <v>223</v>
      </c>
      <c r="Y210" t="s">
        <v>223</v>
      </c>
      <c r="Z210" t="s">
        <v>223</v>
      </c>
      <c r="AA210" t="s">
        <v>223</v>
      </c>
      <c r="AB210" t="s">
        <v>223</v>
      </c>
      <c r="AC210" t="s">
        <v>223</v>
      </c>
      <c r="AD210" t="s">
        <v>223</v>
      </c>
      <c r="AE210" t="s">
        <v>223</v>
      </c>
      <c r="AF210" t="s">
        <v>223</v>
      </c>
      <c r="AG210" t="s">
        <v>223</v>
      </c>
      <c r="AH210" t="s">
        <v>223</v>
      </c>
      <c r="AI210" t="s">
        <v>223</v>
      </c>
      <c r="AJ210" t="s">
        <v>223</v>
      </c>
      <c r="AK210" t="s">
        <v>223</v>
      </c>
      <c r="AL210" t="s">
        <v>223</v>
      </c>
      <c r="AM210" t="s">
        <v>223</v>
      </c>
      <c r="AN210" s="9" t="s">
        <v>445</v>
      </c>
    </row>
    <row r="211" spans="1:40">
      <c r="A211" t="s">
        <v>377</v>
      </c>
      <c r="B211">
        <v>28</v>
      </c>
      <c r="C211">
        <v>29</v>
      </c>
      <c r="D211">
        <v>30</v>
      </c>
      <c r="E211">
        <v>31</v>
      </c>
      <c r="F211">
        <v>32</v>
      </c>
      <c r="G211">
        <v>33</v>
      </c>
      <c r="H211" t="s">
        <v>223</v>
      </c>
      <c r="I211" t="s">
        <v>223</v>
      </c>
      <c r="J211" t="s">
        <v>223</v>
      </c>
      <c r="K211" t="s">
        <v>223</v>
      </c>
      <c r="L211" t="s">
        <v>223</v>
      </c>
      <c r="M211" t="s">
        <v>223</v>
      </c>
      <c r="N211" t="s">
        <v>223</v>
      </c>
      <c r="O211" t="s">
        <v>223</v>
      </c>
      <c r="P211" t="s">
        <v>223</v>
      </c>
      <c r="Q211" t="s">
        <v>223</v>
      </c>
      <c r="R211" t="s">
        <v>223</v>
      </c>
      <c r="S211" t="s">
        <v>223</v>
      </c>
      <c r="T211" t="s">
        <v>223</v>
      </c>
      <c r="U211" t="s">
        <v>223</v>
      </c>
      <c r="V211" t="s">
        <v>223</v>
      </c>
      <c r="W211" t="s">
        <v>223</v>
      </c>
      <c r="X211" t="s">
        <v>223</v>
      </c>
      <c r="Y211" t="s">
        <v>223</v>
      </c>
      <c r="Z211" t="s">
        <v>223</v>
      </c>
      <c r="AA211" t="s">
        <v>223</v>
      </c>
      <c r="AB211" t="s">
        <v>223</v>
      </c>
      <c r="AC211" t="s">
        <v>223</v>
      </c>
      <c r="AD211" t="s">
        <v>223</v>
      </c>
      <c r="AE211" t="s">
        <v>223</v>
      </c>
      <c r="AF211" t="s">
        <v>223</v>
      </c>
      <c r="AG211" t="s">
        <v>223</v>
      </c>
      <c r="AH211" t="s">
        <v>223</v>
      </c>
      <c r="AI211" t="s">
        <v>223</v>
      </c>
      <c r="AJ211" t="s">
        <v>223</v>
      </c>
      <c r="AK211" t="s">
        <v>223</v>
      </c>
      <c r="AL211" t="s">
        <v>223</v>
      </c>
      <c r="AM211" t="s">
        <v>223</v>
      </c>
      <c r="AN211" s="9" t="s">
        <v>446</v>
      </c>
    </row>
    <row r="212" spans="1:40">
      <c r="A212" t="s">
        <v>377</v>
      </c>
      <c r="B212">
        <v>40</v>
      </c>
      <c r="C212">
        <v>41</v>
      </c>
      <c r="D212">
        <v>42</v>
      </c>
      <c r="E212">
        <v>43</v>
      </c>
      <c r="F212">
        <v>44</v>
      </c>
      <c r="G212">
        <v>45</v>
      </c>
      <c r="H212" t="s">
        <v>223</v>
      </c>
      <c r="I212" t="s">
        <v>223</v>
      </c>
      <c r="J212" t="s">
        <v>223</v>
      </c>
      <c r="K212" t="s">
        <v>223</v>
      </c>
      <c r="L212" t="s">
        <v>223</v>
      </c>
      <c r="M212" t="s">
        <v>223</v>
      </c>
      <c r="N212" t="s">
        <v>223</v>
      </c>
      <c r="O212" t="s">
        <v>223</v>
      </c>
      <c r="P212" t="s">
        <v>223</v>
      </c>
      <c r="Q212" t="s">
        <v>223</v>
      </c>
      <c r="R212" t="s">
        <v>223</v>
      </c>
      <c r="S212" t="s">
        <v>223</v>
      </c>
      <c r="T212" t="s">
        <v>223</v>
      </c>
      <c r="U212" t="s">
        <v>223</v>
      </c>
      <c r="V212" t="s">
        <v>223</v>
      </c>
      <c r="W212" t="s">
        <v>223</v>
      </c>
      <c r="X212" t="s">
        <v>223</v>
      </c>
      <c r="Y212" t="s">
        <v>223</v>
      </c>
      <c r="Z212" t="s">
        <v>223</v>
      </c>
      <c r="AA212" t="s">
        <v>223</v>
      </c>
      <c r="AB212" t="s">
        <v>223</v>
      </c>
      <c r="AC212" t="s">
        <v>223</v>
      </c>
      <c r="AD212" t="s">
        <v>223</v>
      </c>
      <c r="AE212" t="s">
        <v>223</v>
      </c>
      <c r="AF212" t="s">
        <v>223</v>
      </c>
      <c r="AG212" t="s">
        <v>223</v>
      </c>
      <c r="AH212" t="s">
        <v>223</v>
      </c>
      <c r="AI212" t="s">
        <v>223</v>
      </c>
      <c r="AJ212" t="s">
        <v>223</v>
      </c>
      <c r="AK212" t="s">
        <v>223</v>
      </c>
      <c r="AL212" t="s">
        <v>223</v>
      </c>
      <c r="AM212" t="s">
        <v>223</v>
      </c>
      <c r="AN212" s="9" t="s">
        <v>447</v>
      </c>
    </row>
    <row r="213" spans="1:40">
      <c r="A213" t="s">
        <v>378</v>
      </c>
      <c r="B213">
        <v>10</v>
      </c>
      <c r="C213">
        <v>11</v>
      </c>
      <c r="D213">
        <v>12</v>
      </c>
      <c r="E213">
        <v>13</v>
      </c>
      <c r="F213">
        <v>14</v>
      </c>
      <c r="G213">
        <v>15</v>
      </c>
      <c r="H213" t="s">
        <v>223</v>
      </c>
      <c r="I213" t="s">
        <v>223</v>
      </c>
      <c r="J213" t="s">
        <v>223</v>
      </c>
      <c r="K213" t="s">
        <v>223</v>
      </c>
      <c r="L213" t="s">
        <v>223</v>
      </c>
      <c r="M213" t="s">
        <v>223</v>
      </c>
      <c r="N213" t="s">
        <v>223</v>
      </c>
      <c r="O213" t="s">
        <v>223</v>
      </c>
      <c r="P213" t="s">
        <v>223</v>
      </c>
      <c r="Q213" t="s">
        <v>223</v>
      </c>
      <c r="R213" t="s">
        <v>223</v>
      </c>
      <c r="S213" t="s">
        <v>223</v>
      </c>
      <c r="T213" t="s">
        <v>223</v>
      </c>
      <c r="U213" t="s">
        <v>223</v>
      </c>
      <c r="V213" t="s">
        <v>223</v>
      </c>
      <c r="W213" t="s">
        <v>223</v>
      </c>
      <c r="X213" t="s">
        <v>223</v>
      </c>
      <c r="Y213" t="s">
        <v>223</v>
      </c>
      <c r="Z213" t="s">
        <v>223</v>
      </c>
      <c r="AA213" t="s">
        <v>223</v>
      </c>
      <c r="AB213" t="s">
        <v>223</v>
      </c>
      <c r="AC213" t="s">
        <v>223</v>
      </c>
      <c r="AD213" t="s">
        <v>223</v>
      </c>
      <c r="AE213" t="s">
        <v>223</v>
      </c>
      <c r="AF213" t="s">
        <v>223</v>
      </c>
      <c r="AG213" t="s">
        <v>223</v>
      </c>
      <c r="AH213" t="s">
        <v>223</v>
      </c>
      <c r="AI213" t="s">
        <v>223</v>
      </c>
      <c r="AJ213" t="s">
        <v>223</v>
      </c>
      <c r="AK213" t="s">
        <v>223</v>
      </c>
      <c r="AL213" t="s">
        <v>223</v>
      </c>
      <c r="AM213" t="s">
        <v>223</v>
      </c>
      <c r="AN213" s="9" t="s">
        <v>432</v>
      </c>
    </row>
    <row r="214" spans="1:40">
      <c r="A214" t="s">
        <v>378</v>
      </c>
      <c r="B214">
        <v>22</v>
      </c>
      <c r="C214">
        <v>23</v>
      </c>
      <c r="D214">
        <v>24</v>
      </c>
      <c r="E214">
        <v>25</v>
      </c>
      <c r="F214">
        <v>26</v>
      </c>
      <c r="G214">
        <v>27</v>
      </c>
      <c r="H214" t="s">
        <v>223</v>
      </c>
      <c r="I214" t="s">
        <v>223</v>
      </c>
      <c r="J214" t="s">
        <v>223</v>
      </c>
      <c r="K214" t="s">
        <v>223</v>
      </c>
      <c r="L214" t="s">
        <v>223</v>
      </c>
      <c r="M214" t="s">
        <v>223</v>
      </c>
      <c r="N214" t="s">
        <v>223</v>
      </c>
      <c r="O214" t="s">
        <v>223</v>
      </c>
      <c r="P214" t="s">
        <v>223</v>
      </c>
      <c r="Q214" t="s">
        <v>223</v>
      </c>
      <c r="R214" t="s">
        <v>223</v>
      </c>
      <c r="S214" t="s">
        <v>223</v>
      </c>
      <c r="T214" t="s">
        <v>223</v>
      </c>
      <c r="U214" t="s">
        <v>223</v>
      </c>
      <c r="V214" t="s">
        <v>223</v>
      </c>
      <c r="W214" t="s">
        <v>223</v>
      </c>
      <c r="X214" t="s">
        <v>223</v>
      </c>
      <c r="Y214" t="s">
        <v>223</v>
      </c>
      <c r="Z214" t="s">
        <v>223</v>
      </c>
      <c r="AA214" t="s">
        <v>223</v>
      </c>
      <c r="AB214" t="s">
        <v>223</v>
      </c>
      <c r="AC214" t="s">
        <v>223</v>
      </c>
      <c r="AD214" t="s">
        <v>223</v>
      </c>
      <c r="AE214" t="s">
        <v>223</v>
      </c>
      <c r="AF214" t="s">
        <v>223</v>
      </c>
      <c r="AG214" t="s">
        <v>223</v>
      </c>
      <c r="AH214" t="s">
        <v>223</v>
      </c>
      <c r="AI214" t="s">
        <v>223</v>
      </c>
      <c r="AJ214" t="s">
        <v>223</v>
      </c>
      <c r="AK214" t="s">
        <v>223</v>
      </c>
      <c r="AL214" t="s">
        <v>223</v>
      </c>
      <c r="AM214" t="s">
        <v>223</v>
      </c>
      <c r="AN214" s="9" t="s">
        <v>433</v>
      </c>
    </row>
    <row r="215" spans="1:40">
      <c r="A215" t="s">
        <v>378</v>
      </c>
      <c r="B215">
        <v>34</v>
      </c>
      <c r="C215">
        <v>35</v>
      </c>
      <c r="D215">
        <v>36</v>
      </c>
      <c r="E215">
        <v>37</v>
      </c>
      <c r="F215">
        <v>38</v>
      </c>
      <c r="G215">
        <v>39</v>
      </c>
      <c r="H215" t="s">
        <v>223</v>
      </c>
      <c r="I215" t="s">
        <v>223</v>
      </c>
      <c r="J215" t="s">
        <v>223</v>
      </c>
      <c r="K215" t="s">
        <v>223</v>
      </c>
      <c r="L215" t="s">
        <v>223</v>
      </c>
      <c r="M215" t="s">
        <v>223</v>
      </c>
      <c r="N215" t="s">
        <v>223</v>
      </c>
      <c r="O215" t="s">
        <v>223</v>
      </c>
      <c r="P215" t="s">
        <v>223</v>
      </c>
      <c r="Q215" t="s">
        <v>223</v>
      </c>
      <c r="R215" t="s">
        <v>223</v>
      </c>
      <c r="S215" t="s">
        <v>223</v>
      </c>
      <c r="T215" t="s">
        <v>223</v>
      </c>
      <c r="U215" t="s">
        <v>223</v>
      </c>
      <c r="V215" t="s">
        <v>223</v>
      </c>
      <c r="W215" t="s">
        <v>223</v>
      </c>
      <c r="X215" t="s">
        <v>223</v>
      </c>
      <c r="Y215" t="s">
        <v>223</v>
      </c>
      <c r="Z215" t="s">
        <v>223</v>
      </c>
      <c r="AA215" t="s">
        <v>223</v>
      </c>
      <c r="AB215" t="s">
        <v>223</v>
      </c>
      <c r="AC215" t="s">
        <v>223</v>
      </c>
      <c r="AD215" t="s">
        <v>223</v>
      </c>
      <c r="AE215" t="s">
        <v>223</v>
      </c>
      <c r="AF215" t="s">
        <v>223</v>
      </c>
      <c r="AG215" t="s">
        <v>223</v>
      </c>
      <c r="AH215" t="s">
        <v>223</v>
      </c>
      <c r="AI215" t="s">
        <v>223</v>
      </c>
      <c r="AJ215" t="s">
        <v>223</v>
      </c>
      <c r="AK215" t="s">
        <v>223</v>
      </c>
      <c r="AL215" t="s">
        <v>223</v>
      </c>
      <c r="AM215" t="s">
        <v>223</v>
      </c>
      <c r="AN215" s="9" t="s">
        <v>434</v>
      </c>
    </row>
    <row r="216" spans="1:40">
      <c r="A216" t="s">
        <v>378</v>
      </c>
      <c r="B216">
        <v>46</v>
      </c>
      <c r="C216">
        <v>47</v>
      </c>
      <c r="D216">
        <v>48</v>
      </c>
      <c r="E216">
        <v>49</v>
      </c>
      <c r="F216">
        <v>50</v>
      </c>
      <c r="G216">
        <v>51</v>
      </c>
      <c r="H216" t="s">
        <v>223</v>
      </c>
      <c r="I216" t="s">
        <v>223</v>
      </c>
      <c r="J216" t="s">
        <v>223</v>
      </c>
      <c r="K216" t="s">
        <v>223</v>
      </c>
      <c r="L216" t="s">
        <v>223</v>
      </c>
      <c r="M216" t="s">
        <v>223</v>
      </c>
      <c r="N216" t="s">
        <v>223</v>
      </c>
      <c r="O216" t="s">
        <v>223</v>
      </c>
      <c r="P216" t="s">
        <v>223</v>
      </c>
      <c r="Q216" t="s">
        <v>223</v>
      </c>
      <c r="R216" t="s">
        <v>223</v>
      </c>
      <c r="S216" t="s">
        <v>223</v>
      </c>
      <c r="T216" t="s">
        <v>223</v>
      </c>
      <c r="U216" t="s">
        <v>223</v>
      </c>
      <c r="V216" t="s">
        <v>223</v>
      </c>
      <c r="W216" t="s">
        <v>223</v>
      </c>
      <c r="X216" t="s">
        <v>223</v>
      </c>
      <c r="Y216" t="s">
        <v>223</v>
      </c>
      <c r="Z216" t="s">
        <v>223</v>
      </c>
      <c r="AA216" t="s">
        <v>223</v>
      </c>
      <c r="AB216" t="s">
        <v>223</v>
      </c>
      <c r="AC216" t="s">
        <v>223</v>
      </c>
      <c r="AD216" t="s">
        <v>223</v>
      </c>
      <c r="AE216" t="s">
        <v>223</v>
      </c>
      <c r="AF216" t="s">
        <v>223</v>
      </c>
      <c r="AG216" t="s">
        <v>223</v>
      </c>
      <c r="AH216" t="s">
        <v>223</v>
      </c>
      <c r="AI216" t="s">
        <v>223</v>
      </c>
      <c r="AJ216" t="s">
        <v>223</v>
      </c>
      <c r="AK216" t="s">
        <v>223</v>
      </c>
      <c r="AL216" t="s">
        <v>223</v>
      </c>
      <c r="AM216" t="s">
        <v>223</v>
      </c>
      <c r="AN216" s="9" t="s">
        <v>435</v>
      </c>
    </row>
    <row r="217" spans="1:40">
      <c r="A217" t="s">
        <v>379</v>
      </c>
      <c r="B217">
        <v>0</v>
      </c>
      <c r="C217" t="s">
        <v>223</v>
      </c>
      <c r="D217" t="s">
        <v>223</v>
      </c>
      <c r="E217" t="s">
        <v>223</v>
      </c>
      <c r="F217" t="s">
        <v>223</v>
      </c>
      <c r="G217" t="s">
        <v>223</v>
      </c>
      <c r="H217" t="s">
        <v>223</v>
      </c>
      <c r="I217" t="s">
        <v>223</v>
      </c>
      <c r="J217" t="s">
        <v>223</v>
      </c>
      <c r="K217" t="s">
        <v>223</v>
      </c>
      <c r="L217" t="s">
        <v>223</v>
      </c>
      <c r="M217" t="s">
        <v>223</v>
      </c>
      <c r="N217" t="s">
        <v>223</v>
      </c>
      <c r="O217" t="s">
        <v>223</v>
      </c>
      <c r="P217" t="s">
        <v>223</v>
      </c>
      <c r="Q217" t="s">
        <v>223</v>
      </c>
      <c r="R217" t="s">
        <v>223</v>
      </c>
      <c r="S217" t="s">
        <v>223</v>
      </c>
      <c r="T217" t="s">
        <v>223</v>
      </c>
      <c r="U217" t="s">
        <v>223</v>
      </c>
      <c r="V217" t="s">
        <v>223</v>
      </c>
      <c r="W217" t="s">
        <v>223</v>
      </c>
      <c r="X217" t="s">
        <v>223</v>
      </c>
      <c r="Y217" t="s">
        <v>223</v>
      </c>
      <c r="Z217" t="s">
        <v>223</v>
      </c>
      <c r="AA217" t="s">
        <v>223</v>
      </c>
      <c r="AB217" t="s">
        <v>223</v>
      </c>
      <c r="AC217" t="s">
        <v>223</v>
      </c>
      <c r="AD217" t="s">
        <v>223</v>
      </c>
      <c r="AE217" t="s">
        <v>223</v>
      </c>
      <c r="AF217" t="s">
        <v>223</v>
      </c>
      <c r="AG217" t="s">
        <v>223</v>
      </c>
      <c r="AH217" t="s">
        <v>223</v>
      </c>
      <c r="AI217" t="s">
        <v>223</v>
      </c>
      <c r="AJ217" t="s">
        <v>223</v>
      </c>
      <c r="AK217" t="s">
        <v>223</v>
      </c>
      <c r="AL217" t="s">
        <v>223</v>
      </c>
      <c r="AM217" t="s">
        <v>223</v>
      </c>
      <c r="AN217" s="9">
        <v>0</v>
      </c>
    </row>
    <row r="218" spans="1:40">
      <c r="A218" t="s">
        <v>379</v>
      </c>
      <c r="B218">
        <v>2</v>
      </c>
      <c r="C218" t="s">
        <v>223</v>
      </c>
      <c r="D218" t="s">
        <v>223</v>
      </c>
      <c r="E218" t="s">
        <v>223</v>
      </c>
      <c r="F218" t="s">
        <v>223</v>
      </c>
      <c r="G218" t="s">
        <v>223</v>
      </c>
      <c r="H218" t="s">
        <v>223</v>
      </c>
      <c r="I218" t="s">
        <v>223</v>
      </c>
      <c r="J218" t="s">
        <v>223</v>
      </c>
      <c r="K218" t="s">
        <v>223</v>
      </c>
      <c r="L218" t="s">
        <v>223</v>
      </c>
      <c r="M218" t="s">
        <v>223</v>
      </c>
      <c r="N218" t="s">
        <v>223</v>
      </c>
      <c r="O218" t="s">
        <v>223</v>
      </c>
      <c r="P218" t="s">
        <v>223</v>
      </c>
      <c r="Q218" t="s">
        <v>223</v>
      </c>
      <c r="R218" t="s">
        <v>223</v>
      </c>
      <c r="S218" t="s">
        <v>223</v>
      </c>
      <c r="T218" t="s">
        <v>223</v>
      </c>
      <c r="U218" t="s">
        <v>223</v>
      </c>
      <c r="V218" t="s">
        <v>223</v>
      </c>
      <c r="W218" t="s">
        <v>223</v>
      </c>
      <c r="X218" t="s">
        <v>223</v>
      </c>
      <c r="Y218" t="s">
        <v>223</v>
      </c>
      <c r="Z218" t="s">
        <v>223</v>
      </c>
      <c r="AA218" t="s">
        <v>223</v>
      </c>
      <c r="AB218" t="s">
        <v>223</v>
      </c>
      <c r="AC218" t="s">
        <v>223</v>
      </c>
      <c r="AD218" t="s">
        <v>223</v>
      </c>
      <c r="AE218" t="s">
        <v>223</v>
      </c>
      <c r="AF218" t="s">
        <v>223</v>
      </c>
      <c r="AG218" t="s">
        <v>223</v>
      </c>
      <c r="AH218" t="s">
        <v>223</v>
      </c>
      <c r="AI218" t="s">
        <v>223</v>
      </c>
      <c r="AJ218" t="s">
        <v>223</v>
      </c>
      <c r="AK218" t="s">
        <v>223</v>
      </c>
      <c r="AL218" t="s">
        <v>223</v>
      </c>
      <c r="AM218" t="s">
        <v>223</v>
      </c>
      <c r="AN218" s="9">
        <v>2</v>
      </c>
    </row>
    <row r="219" spans="1:40">
      <c r="A219" t="s">
        <v>379</v>
      </c>
      <c r="B219">
        <v>4</v>
      </c>
      <c r="C219" t="s">
        <v>223</v>
      </c>
      <c r="D219" t="s">
        <v>223</v>
      </c>
      <c r="E219" t="s">
        <v>223</v>
      </c>
      <c r="F219" t="s">
        <v>223</v>
      </c>
      <c r="G219" t="s">
        <v>223</v>
      </c>
      <c r="H219" t="s">
        <v>223</v>
      </c>
      <c r="I219" t="s">
        <v>223</v>
      </c>
      <c r="J219" t="s">
        <v>223</v>
      </c>
      <c r="K219" t="s">
        <v>223</v>
      </c>
      <c r="L219" t="s">
        <v>223</v>
      </c>
      <c r="M219" t="s">
        <v>223</v>
      </c>
      <c r="N219" t="s">
        <v>223</v>
      </c>
      <c r="O219" t="s">
        <v>223</v>
      </c>
      <c r="P219" t="s">
        <v>223</v>
      </c>
      <c r="Q219" t="s">
        <v>223</v>
      </c>
      <c r="R219" t="s">
        <v>223</v>
      </c>
      <c r="S219" t="s">
        <v>223</v>
      </c>
      <c r="T219" t="s">
        <v>223</v>
      </c>
      <c r="U219" t="s">
        <v>223</v>
      </c>
      <c r="V219" t="s">
        <v>223</v>
      </c>
      <c r="W219" t="s">
        <v>223</v>
      </c>
      <c r="X219" t="s">
        <v>223</v>
      </c>
      <c r="Y219" t="s">
        <v>223</v>
      </c>
      <c r="Z219" t="s">
        <v>223</v>
      </c>
      <c r="AA219" t="s">
        <v>223</v>
      </c>
      <c r="AB219" t="s">
        <v>223</v>
      </c>
      <c r="AC219" t="s">
        <v>223</v>
      </c>
      <c r="AD219" t="s">
        <v>223</v>
      </c>
      <c r="AE219" t="s">
        <v>223</v>
      </c>
      <c r="AF219" t="s">
        <v>223</v>
      </c>
      <c r="AG219" t="s">
        <v>223</v>
      </c>
      <c r="AH219" t="s">
        <v>223</v>
      </c>
      <c r="AI219" t="s">
        <v>223</v>
      </c>
      <c r="AJ219" t="s">
        <v>223</v>
      </c>
      <c r="AK219" t="s">
        <v>223</v>
      </c>
      <c r="AL219" t="s">
        <v>223</v>
      </c>
      <c r="AM219" t="s">
        <v>223</v>
      </c>
      <c r="AN219" s="9">
        <v>4</v>
      </c>
    </row>
    <row r="220" spans="1:40">
      <c r="A220" t="s">
        <v>379</v>
      </c>
      <c r="B220">
        <v>6</v>
      </c>
      <c r="C220" t="s">
        <v>223</v>
      </c>
      <c r="D220" t="s">
        <v>223</v>
      </c>
      <c r="E220" t="s">
        <v>223</v>
      </c>
      <c r="F220" t="s">
        <v>223</v>
      </c>
      <c r="G220" t="s">
        <v>223</v>
      </c>
      <c r="H220" t="s">
        <v>223</v>
      </c>
      <c r="I220" t="s">
        <v>223</v>
      </c>
      <c r="J220" t="s">
        <v>223</v>
      </c>
      <c r="K220" t="s">
        <v>223</v>
      </c>
      <c r="L220" t="s">
        <v>223</v>
      </c>
      <c r="M220" t="s">
        <v>223</v>
      </c>
      <c r="N220" t="s">
        <v>223</v>
      </c>
      <c r="O220" t="s">
        <v>223</v>
      </c>
      <c r="P220" t="s">
        <v>223</v>
      </c>
      <c r="Q220" t="s">
        <v>223</v>
      </c>
      <c r="R220" t="s">
        <v>223</v>
      </c>
      <c r="S220" t="s">
        <v>223</v>
      </c>
      <c r="T220" t="s">
        <v>223</v>
      </c>
      <c r="U220" t="s">
        <v>223</v>
      </c>
      <c r="V220" t="s">
        <v>223</v>
      </c>
      <c r="W220" t="s">
        <v>223</v>
      </c>
      <c r="X220" t="s">
        <v>223</v>
      </c>
      <c r="Y220" t="s">
        <v>223</v>
      </c>
      <c r="Z220" t="s">
        <v>223</v>
      </c>
      <c r="AA220" t="s">
        <v>223</v>
      </c>
      <c r="AB220" t="s">
        <v>223</v>
      </c>
      <c r="AC220" t="s">
        <v>223</v>
      </c>
      <c r="AD220" t="s">
        <v>223</v>
      </c>
      <c r="AE220" t="s">
        <v>223</v>
      </c>
      <c r="AF220" t="s">
        <v>223</v>
      </c>
      <c r="AG220" t="s">
        <v>223</v>
      </c>
      <c r="AH220" t="s">
        <v>223</v>
      </c>
      <c r="AI220" t="s">
        <v>223</v>
      </c>
      <c r="AJ220" t="s">
        <v>223</v>
      </c>
      <c r="AK220" t="s">
        <v>223</v>
      </c>
      <c r="AL220" t="s">
        <v>223</v>
      </c>
      <c r="AM220" t="s">
        <v>223</v>
      </c>
      <c r="AN220" s="9">
        <v>6</v>
      </c>
    </row>
    <row r="221" spans="1:40">
      <c r="A221" t="s">
        <v>379</v>
      </c>
      <c r="B221">
        <v>8</v>
      </c>
      <c r="C221" t="s">
        <v>223</v>
      </c>
      <c r="D221" t="s">
        <v>223</v>
      </c>
      <c r="E221" t="s">
        <v>223</v>
      </c>
      <c r="F221" t="s">
        <v>223</v>
      </c>
      <c r="G221" t="s">
        <v>223</v>
      </c>
      <c r="H221" t="s">
        <v>223</v>
      </c>
      <c r="I221" t="s">
        <v>223</v>
      </c>
      <c r="J221" t="s">
        <v>223</v>
      </c>
      <c r="K221" t="s">
        <v>223</v>
      </c>
      <c r="L221" t="s">
        <v>223</v>
      </c>
      <c r="M221" t="s">
        <v>223</v>
      </c>
      <c r="N221" t="s">
        <v>223</v>
      </c>
      <c r="O221" t="s">
        <v>223</v>
      </c>
      <c r="P221" t="s">
        <v>223</v>
      </c>
      <c r="Q221" t="s">
        <v>223</v>
      </c>
      <c r="R221" t="s">
        <v>223</v>
      </c>
      <c r="S221" t="s">
        <v>223</v>
      </c>
      <c r="T221" t="s">
        <v>223</v>
      </c>
      <c r="U221" t="s">
        <v>223</v>
      </c>
      <c r="V221" t="s">
        <v>223</v>
      </c>
      <c r="W221" t="s">
        <v>223</v>
      </c>
      <c r="X221" t="s">
        <v>223</v>
      </c>
      <c r="Y221" t="s">
        <v>223</v>
      </c>
      <c r="Z221" t="s">
        <v>223</v>
      </c>
      <c r="AA221" t="s">
        <v>223</v>
      </c>
      <c r="AB221" t="s">
        <v>223</v>
      </c>
      <c r="AC221" t="s">
        <v>223</v>
      </c>
      <c r="AD221" t="s">
        <v>223</v>
      </c>
      <c r="AE221" t="s">
        <v>223</v>
      </c>
      <c r="AF221" t="s">
        <v>223</v>
      </c>
      <c r="AG221" t="s">
        <v>223</v>
      </c>
      <c r="AH221" t="s">
        <v>223</v>
      </c>
      <c r="AI221" t="s">
        <v>223</v>
      </c>
      <c r="AJ221" t="s">
        <v>223</v>
      </c>
      <c r="AK221" t="s">
        <v>223</v>
      </c>
      <c r="AL221" t="s">
        <v>223</v>
      </c>
      <c r="AM221" t="s">
        <v>223</v>
      </c>
      <c r="AN221" s="9">
        <v>8</v>
      </c>
    </row>
    <row r="222" spans="1:40">
      <c r="A222" t="s">
        <v>379</v>
      </c>
      <c r="B222">
        <v>10</v>
      </c>
      <c r="C222" t="s">
        <v>223</v>
      </c>
      <c r="D222" t="s">
        <v>223</v>
      </c>
      <c r="E222" t="s">
        <v>223</v>
      </c>
      <c r="F222" t="s">
        <v>223</v>
      </c>
      <c r="G222" t="s">
        <v>223</v>
      </c>
      <c r="H222" t="s">
        <v>223</v>
      </c>
      <c r="I222" t="s">
        <v>223</v>
      </c>
      <c r="J222" t="s">
        <v>223</v>
      </c>
      <c r="K222" t="s">
        <v>223</v>
      </c>
      <c r="L222" t="s">
        <v>223</v>
      </c>
      <c r="M222" t="s">
        <v>223</v>
      </c>
      <c r="N222" t="s">
        <v>223</v>
      </c>
      <c r="O222" t="s">
        <v>223</v>
      </c>
      <c r="P222" t="s">
        <v>223</v>
      </c>
      <c r="Q222" t="s">
        <v>223</v>
      </c>
      <c r="R222" t="s">
        <v>223</v>
      </c>
      <c r="S222" t="s">
        <v>223</v>
      </c>
      <c r="T222" t="s">
        <v>223</v>
      </c>
      <c r="U222" t="s">
        <v>223</v>
      </c>
      <c r="V222" t="s">
        <v>223</v>
      </c>
      <c r="W222" t="s">
        <v>223</v>
      </c>
      <c r="X222" t="s">
        <v>223</v>
      </c>
      <c r="Y222" t="s">
        <v>223</v>
      </c>
      <c r="Z222" t="s">
        <v>223</v>
      </c>
      <c r="AA222" t="s">
        <v>223</v>
      </c>
      <c r="AB222" t="s">
        <v>223</v>
      </c>
      <c r="AC222" t="s">
        <v>223</v>
      </c>
      <c r="AD222" t="s">
        <v>223</v>
      </c>
      <c r="AE222" t="s">
        <v>223</v>
      </c>
      <c r="AF222" t="s">
        <v>223</v>
      </c>
      <c r="AG222" t="s">
        <v>223</v>
      </c>
      <c r="AH222" t="s">
        <v>223</v>
      </c>
      <c r="AI222" t="s">
        <v>223</v>
      </c>
      <c r="AJ222" t="s">
        <v>223</v>
      </c>
      <c r="AK222" t="s">
        <v>223</v>
      </c>
      <c r="AL222" t="s">
        <v>223</v>
      </c>
      <c r="AM222" t="s">
        <v>223</v>
      </c>
      <c r="AN222" s="9">
        <v>10</v>
      </c>
    </row>
    <row r="223" spans="1:40">
      <c r="A223" t="s">
        <v>379</v>
      </c>
      <c r="B223">
        <v>12</v>
      </c>
      <c r="C223" t="s">
        <v>223</v>
      </c>
      <c r="D223" t="s">
        <v>223</v>
      </c>
      <c r="E223" t="s">
        <v>223</v>
      </c>
      <c r="F223" t="s">
        <v>223</v>
      </c>
      <c r="G223" t="s">
        <v>223</v>
      </c>
      <c r="H223" t="s">
        <v>223</v>
      </c>
      <c r="I223" t="s">
        <v>223</v>
      </c>
      <c r="J223" t="s">
        <v>223</v>
      </c>
      <c r="K223" t="s">
        <v>223</v>
      </c>
      <c r="L223" t="s">
        <v>223</v>
      </c>
      <c r="M223" t="s">
        <v>223</v>
      </c>
      <c r="N223" t="s">
        <v>223</v>
      </c>
      <c r="O223" t="s">
        <v>223</v>
      </c>
      <c r="P223" t="s">
        <v>223</v>
      </c>
      <c r="Q223" t="s">
        <v>223</v>
      </c>
      <c r="R223" t="s">
        <v>223</v>
      </c>
      <c r="S223" t="s">
        <v>223</v>
      </c>
      <c r="T223" t="s">
        <v>223</v>
      </c>
      <c r="U223" t="s">
        <v>223</v>
      </c>
      <c r="V223" t="s">
        <v>223</v>
      </c>
      <c r="W223" t="s">
        <v>223</v>
      </c>
      <c r="X223" t="s">
        <v>223</v>
      </c>
      <c r="Y223" t="s">
        <v>223</v>
      </c>
      <c r="Z223" t="s">
        <v>223</v>
      </c>
      <c r="AA223" t="s">
        <v>223</v>
      </c>
      <c r="AB223" t="s">
        <v>223</v>
      </c>
      <c r="AC223" t="s">
        <v>223</v>
      </c>
      <c r="AD223" t="s">
        <v>223</v>
      </c>
      <c r="AE223" t="s">
        <v>223</v>
      </c>
      <c r="AF223" t="s">
        <v>223</v>
      </c>
      <c r="AG223" t="s">
        <v>223</v>
      </c>
      <c r="AH223" t="s">
        <v>223</v>
      </c>
      <c r="AI223" t="s">
        <v>223</v>
      </c>
      <c r="AJ223" t="s">
        <v>223</v>
      </c>
      <c r="AK223" t="s">
        <v>223</v>
      </c>
      <c r="AL223" t="s">
        <v>223</v>
      </c>
      <c r="AM223" t="s">
        <v>223</v>
      </c>
      <c r="AN223" s="9">
        <v>12</v>
      </c>
    </row>
    <row r="224" spans="1:40">
      <c r="A224" t="s">
        <v>379</v>
      </c>
      <c r="B224">
        <v>14</v>
      </c>
      <c r="C224" t="s">
        <v>223</v>
      </c>
      <c r="D224" t="s">
        <v>223</v>
      </c>
      <c r="E224" t="s">
        <v>223</v>
      </c>
      <c r="F224" t="s">
        <v>223</v>
      </c>
      <c r="G224" t="s">
        <v>223</v>
      </c>
      <c r="H224" t="s">
        <v>223</v>
      </c>
      <c r="I224" t="s">
        <v>223</v>
      </c>
      <c r="J224" t="s">
        <v>223</v>
      </c>
      <c r="K224" t="s">
        <v>223</v>
      </c>
      <c r="L224" t="s">
        <v>223</v>
      </c>
      <c r="M224" t="s">
        <v>223</v>
      </c>
      <c r="N224" t="s">
        <v>223</v>
      </c>
      <c r="O224" t="s">
        <v>223</v>
      </c>
      <c r="P224" t="s">
        <v>223</v>
      </c>
      <c r="Q224" t="s">
        <v>223</v>
      </c>
      <c r="R224" t="s">
        <v>223</v>
      </c>
      <c r="S224" t="s">
        <v>223</v>
      </c>
      <c r="T224" t="s">
        <v>223</v>
      </c>
      <c r="U224" t="s">
        <v>223</v>
      </c>
      <c r="V224" t="s">
        <v>223</v>
      </c>
      <c r="W224" t="s">
        <v>223</v>
      </c>
      <c r="X224" t="s">
        <v>223</v>
      </c>
      <c r="Y224" t="s">
        <v>223</v>
      </c>
      <c r="Z224" t="s">
        <v>223</v>
      </c>
      <c r="AA224" t="s">
        <v>223</v>
      </c>
      <c r="AB224" t="s">
        <v>223</v>
      </c>
      <c r="AC224" t="s">
        <v>223</v>
      </c>
      <c r="AD224" t="s">
        <v>223</v>
      </c>
      <c r="AE224" t="s">
        <v>223</v>
      </c>
      <c r="AF224" t="s">
        <v>223</v>
      </c>
      <c r="AG224" t="s">
        <v>223</v>
      </c>
      <c r="AH224" t="s">
        <v>223</v>
      </c>
      <c r="AI224" t="s">
        <v>223</v>
      </c>
      <c r="AJ224" t="s">
        <v>223</v>
      </c>
      <c r="AK224" t="s">
        <v>223</v>
      </c>
      <c r="AL224" t="s">
        <v>223</v>
      </c>
      <c r="AM224" t="s">
        <v>223</v>
      </c>
      <c r="AN224" s="9">
        <v>14</v>
      </c>
    </row>
    <row r="225" spans="1:40">
      <c r="A225" t="s">
        <v>379</v>
      </c>
      <c r="B225">
        <v>16</v>
      </c>
      <c r="C225" t="s">
        <v>223</v>
      </c>
      <c r="D225" t="s">
        <v>223</v>
      </c>
      <c r="E225" t="s">
        <v>223</v>
      </c>
      <c r="F225" t="s">
        <v>223</v>
      </c>
      <c r="G225" t="s">
        <v>223</v>
      </c>
      <c r="H225" t="s">
        <v>223</v>
      </c>
      <c r="I225" t="s">
        <v>223</v>
      </c>
      <c r="J225" t="s">
        <v>223</v>
      </c>
      <c r="K225" t="s">
        <v>223</v>
      </c>
      <c r="L225" t="s">
        <v>223</v>
      </c>
      <c r="M225" t="s">
        <v>223</v>
      </c>
      <c r="N225" t="s">
        <v>223</v>
      </c>
      <c r="O225" t="s">
        <v>223</v>
      </c>
      <c r="P225" t="s">
        <v>223</v>
      </c>
      <c r="Q225" t="s">
        <v>223</v>
      </c>
      <c r="R225" t="s">
        <v>223</v>
      </c>
      <c r="S225" t="s">
        <v>223</v>
      </c>
      <c r="T225" t="s">
        <v>223</v>
      </c>
      <c r="U225" t="s">
        <v>223</v>
      </c>
      <c r="V225" t="s">
        <v>223</v>
      </c>
      <c r="W225" t="s">
        <v>223</v>
      </c>
      <c r="X225" t="s">
        <v>223</v>
      </c>
      <c r="Y225" t="s">
        <v>223</v>
      </c>
      <c r="Z225" t="s">
        <v>223</v>
      </c>
      <c r="AA225" t="s">
        <v>223</v>
      </c>
      <c r="AB225" t="s">
        <v>223</v>
      </c>
      <c r="AC225" t="s">
        <v>223</v>
      </c>
      <c r="AD225" t="s">
        <v>223</v>
      </c>
      <c r="AE225" t="s">
        <v>223</v>
      </c>
      <c r="AF225" t="s">
        <v>223</v>
      </c>
      <c r="AG225" t="s">
        <v>223</v>
      </c>
      <c r="AH225" t="s">
        <v>223</v>
      </c>
      <c r="AI225" t="s">
        <v>223</v>
      </c>
      <c r="AJ225" t="s">
        <v>223</v>
      </c>
      <c r="AK225" t="s">
        <v>223</v>
      </c>
      <c r="AL225" t="s">
        <v>223</v>
      </c>
      <c r="AM225" t="s">
        <v>223</v>
      </c>
      <c r="AN225" s="9">
        <v>16</v>
      </c>
    </row>
    <row r="226" spans="1:40">
      <c r="A226" t="s">
        <v>379</v>
      </c>
      <c r="B226">
        <v>18</v>
      </c>
      <c r="C226" t="s">
        <v>223</v>
      </c>
      <c r="D226" t="s">
        <v>223</v>
      </c>
      <c r="E226" t="s">
        <v>223</v>
      </c>
      <c r="F226" t="s">
        <v>223</v>
      </c>
      <c r="G226" t="s">
        <v>223</v>
      </c>
      <c r="H226" t="s">
        <v>223</v>
      </c>
      <c r="I226" t="s">
        <v>223</v>
      </c>
      <c r="J226" t="s">
        <v>223</v>
      </c>
      <c r="K226" t="s">
        <v>223</v>
      </c>
      <c r="L226" t="s">
        <v>223</v>
      </c>
      <c r="M226" t="s">
        <v>223</v>
      </c>
      <c r="N226" t="s">
        <v>223</v>
      </c>
      <c r="O226" t="s">
        <v>223</v>
      </c>
      <c r="P226" t="s">
        <v>223</v>
      </c>
      <c r="Q226" t="s">
        <v>223</v>
      </c>
      <c r="R226" t="s">
        <v>223</v>
      </c>
      <c r="S226" t="s">
        <v>223</v>
      </c>
      <c r="T226" t="s">
        <v>223</v>
      </c>
      <c r="U226" t="s">
        <v>223</v>
      </c>
      <c r="V226" t="s">
        <v>223</v>
      </c>
      <c r="W226" t="s">
        <v>223</v>
      </c>
      <c r="X226" t="s">
        <v>223</v>
      </c>
      <c r="Y226" t="s">
        <v>223</v>
      </c>
      <c r="Z226" t="s">
        <v>223</v>
      </c>
      <c r="AA226" t="s">
        <v>223</v>
      </c>
      <c r="AB226" t="s">
        <v>223</v>
      </c>
      <c r="AC226" t="s">
        <v>223</v>
      </c>
      <c r="AD226" t="s">
        <v>223</v>
      </c>
      <c r="AE226" t="s">
        <v>223</v>
      </c>
      <c r="AF226" t="s">
        <v>223</v>
      </c>
      <c r="AG226" t="s">
        <v>223</v>
      </c>
      <c r="AH226" t="s">
        <v>223</v>
      </c>
      <c r="AI226" t="s">
        <v>223</v>
      </c>
      <c r="AJ226" t="s">
        <v>223</v>
      </c>
      <c r="AK226" t="s">
        <v>223</v>
      </c>
      <c r="AL226" t="s">
        <v>223</v>
      </c>
      <c r="AM226" t="s">
        <v>223</v>
      </c>
      <c r="AN226" s="9">
        <v>18</v>
      </c>
    </row>
    <row r="227" spans="1:40">
      <c r="A227" t="s">
        <v>379</v>
      </c>
      <c r="B227">
        <v>20</v>
      </c>
      <c r="C227" t="s">
        <v>223</v>
      </c>
      <c r="D227" t="s">
        <v>223</v>
      </c>
      <c r="E227" t="s">
        <v>223</v>
      </c>
      <c r="F227" t="s">
        <v>223</v>
      </c>
      <c r="G227" t="s">
        <v>223</v>
      </c>
      <c r="H227" t="s">
        <v>223</v>
      </c>
      <c r="I227" t="s">
        <v>223</v>
      </c>
      <c r="J227" t="s">
        <v>223</v>
      </c>
      <c r="K227" t="s">
        <v>223</v>
      </c>
      <c r="L227" t="s">
        <v>223</v>
      </c>
      <c r="M227" t="s">
        <v>223</v>
      </c>
      <c r="N227" t="s">
        <v>223</v>
      </c>
      <c r="O227" t="s">
        <v>223</v>
      </c>
      <c r="P227" t="s">
        <v>223</v>
      </c>
      <c r="Q227" t="s">
        <v>223</v>
      </c>
      <c r="R227" t="s">
        <v>223</v>
      </c>
      <c r="S227" t="s">
        <v>223</v>
      </c>
      <c r="T227" t="s">
        <v>223</v>
      </c>
      <c r="U227" t="s">
        <v>223</v>
      </c>
      <c r="V227" t="s">
        <v>223</v>
      </c>
      <c r="W227" t="s">
        <v>223</v>
      </c>
      <c r="X227" t="s">
        <v>223</v>
      </c>
      <c r="Y227" t="s">
        <v>223</v>
      </c>
      <c r="Z227" t="s">
        <v>223</v>
      </c>
      <c r="AA227" t="s">
        <v>223</v>
      </c>
      <c r="AB227" t="s">
        <v>223</v>
      </c>
      <c r="AC227" t="s">
        <v>223</v>
      </c>
      <c r="AD227" t="s">
        <v>223</v>
      </c>
      <c r="AE227" t="s">
        <v>223</v>
      </c>
      <c r="AF227" t="s">
        <v>223</v>
      </c>
      <c r="AG227" t="s">
        <v>223</v>
      </c>
      <c r="AH227" t="s">
        <v>223</v>
      </c>
      <c r="AI227" t="s">
        <v>223</v>
      </c>
      <c r="AJ227" t="s">
        <v>223</v>
      </c>
      <c r="AK227" t="s">
        <v>223</v>
      </c>
      <c r="AL227" t="s">
        <v>223</v>
      </c>
      <c r="AM227" t="s">
        <v>223</v>
      </c>
      <c r="AN227" s="9">
        <v>20</v>
      </c>
    </row>
    <row r="228" spans="1:40">
      <c r="A228" t="s">
        <v>379</v>
      </c>
      <c r="B228">
        <v>22</v>
      </c>
      <c r="C228" t="s">
        <v>223</v>
      </c>
      <c r="D228" t="s">
        <v>223</v>
      </c>
      <c r="E228" t="s">
        <v>223</v>
      </c>
      <c r="F228" t="s">
        <v>223</v>
      </c>
      <c r="G228" t="s">
        <v>223</v>
      </c>
      <c r="H228" t="s">
        <v>223</v>
      </c>
      <c r="I228" t="s">
        <v>223</v>
      </c>
      <c r="J228" t="s">
        <v>223</v>
      </c>
      <c r="K228" t="s">
        <v>223</v>
      </c>
      <c r="L228" t="s">
        <v>223</v>
      </c>
      <c r="M228" t="s">
        <v>223</v>
      </c>
      <c r="N228" t="s">
        <v>223</v>
      </c>
      <c r="O228" t="s">
        <v>223</v>
      </c>
      <c r="P228" t="s">
        <v>223</v>
      </c>
      <c r="Q228" t="s">
        <v>223</v>
      </c>
      <c r="R228" t="s">
        <v>223</v>
      </c>
      <c r="S228" t="s">
        <v>223</v>
      </c>
      <c r="T228" t="s">
        <v>223</v>
      </c>
      <c r="U228" t="s">
        <v>223</v>
      </c>
      <c r="V228" t="s">
        <v>223</v>
      </c>
      <c r="W228" t="s">
        <v>223</v>
      </c>
      <c r="X228" t="s">
        <v>223</v>
      </c>
      <c r="Y228" t="s">
        <v>223</v>
      </c>
      <c r="Z228" t="s">
        <v>223</v>
      </c>
      <c r="AA228" t="s">
        <v>223</v>
      </c>
      <c r="AB228" t="s">
        <v>223</v>
      </c>
      <c r="AC228" t="s">
        <v>223</v>
      </c>
      <c r="AD228" t="s">
        <v>223</v>
      </c>
      <c r="AE228" t="s">
        <v>223</v>
      </c>
      <c r="AF228" t="s">
        <v>223</v>
      </c>
      <c r="AG228" t="s">
        <v>223</v>
      </c>
      <c r="AH228" t="s">
        <v>223</v>
      </c>
      <c r="AI228" t="s">
        <v>223</v>
      </c>
      <c r="AJ228" t="s">
        <v>223</v>
      </c>
      <c r="AK228" t="s">
        <v>223</v>
      </c>
      <c r="AL228" t="s">
        <v>223</v>
      </c>
      <c r="AM228" t="s">
        <v>223</v>
      </c>
      <c r="AN228" s="9">
        <v>22</v>
      </c>
    </row>
    <row r="229" spans="1:40">
      <c r="A229" t="s">
        <v>379</v>
      </c>
      <c r="B229">
        <v>24</v>
      </c>
      <c r="C229" t="s">
        <v>223</v>
      </c>
      <c r="D229" t="s">
        <v>223</v>
      </c>
      <c r="E229" t="s">
        <v>223</v>
      </c>
      <c r="F229" t="s">
        <v>223</v>
      </c>
      <c r="G229" t="s">
        <v>223</v>
      </c>
      <c r="H229" t="s">
        <v>223</v>
      </c>
      <c r="I229" t="s">
        <v>223</v>
      </c>
      <c r="J229" t="s">
        <v>223</v>
      </c>
      <c r="K229" t="s">
        <v>223</v>
      </c>
      <c r="L229" t="s">
        <v>223</v>
      </c>
      <c r="M229" t="s">
        <v>223</v>
      </c>
      <c r="N229" t="s">
        <v>223</v>
      </c>
      <c r="O229" t="s">
        <v>223</v>
      </c>
      <c r="P229" t="s">
        <v>223</v>
      </c>
      <c r="Q229" t="s">
        <v>223</v>
      </c>
      <c r="R229" t="s">
        <v>223</v>
      </c>
      <c r="S229" t="s">
        <v>223</v>
      </c>
      <c r="T229" t="s">
        <v>223</v>
      </c>
      <c r="U229" t="s">
        <v>223</v>
      </c>
      <c r="V229" t="s">
        <v>223</v>
      </c>
      <c r="W229" t="s">
        <v>223</v>
      </c>
      <c r="X229" t="s">
        <v>223</v>
      </c>
      <c r="Y229" t="s">
        <v>223</v>
      </c>
      <c r="Z229" t="s">
        <v>223</v>
      </c>
      <c r="AA229" t="s">
        <v>223</v>
      </c>
      <c r="AB229" t="s">
        <v>223</v>
      </c>
      <c r="AC229" t="s">
        <v>223</v>
      </c>
      <c r="AD229" t="s">
        <v>223</v>
      </c>
      <c r="AE229" t="s">
        <v>223</v>
      </c>
      <c r="AF229" t="s">
        <v>223</v>
      </c>
      <c r="AG229" t="s">
        <v>223</v>
      </c>
      <c r="AH229" t="s">
        <v>223</v>
      </c>
      <c r="AI229" t="s">
        <v>223</v>
      </c>
      <c r="AJ229" t="s">
        <v>223</v>
      </c>
      <c r="AK229" t="s">
        <v>223</v>
      </c>
      <c r="AL229" t="s">
        <v>223</v>
      </c>
      <c r="AM229" t="s">
        <v>223</v>
      </c>
      <c r="AN229" s="9">
        <v>24</v>
      </c>
    </row>
    <row r="230" spans="1:40">
      <c r="A230" t="s">
        <v>379</v>
      </c>
      <c r="B230">
        <v>26</v>
      </c>
      <c r="C230" t="s">
        <v>223</v>
      </c>
      <c r="D230" t="s">
        <v>223</v>
      </c>
      <c r="E230" t="s">
        <v>223</v>
      </c>
      <c r="F230" t="s">
        <v>223</v>
      </c>
      <c r="G230" t="s">
        <v>223</v>
      </c>
      <c r="H230" t="s">
        <v>223</v>
      </c>
      <c r="I230" t="s">
        <v>223</v>
      </c>
      <c r="J230" t="s">
        <v>223</v>
      </c>
      <c r="K230" t="s">
        <v>223</v>
      </c>
      <c r="L230" t="s">
        <v>223</v>
      </c>
      <c r="M230" t="s">
        <v>223</v>
      </c>
      <c r="N230" t="s">
        <v>223</v>
      </c>
      <c r="O230" t="s">
        <v>223</v>
      </c>
      <c r="P230" t="s">
        <v>223</v>
      </c>
      <c r="Q230" t="s">
        <v>223</v>
      </c>
      <c r="R230" t="s">
        <v>223</v>
      </c>
      <c r="S230" t="s">
        <v>223</v>
      </c>
      <c r="T230" t="s">
        <v>223</v>
      </c>
      <c r="U230" t="s">
        <v>223</v>
      </c>
      <c r="V230" t="s">
        <v>223</v>
      </c>
      <c r="W230" t="s">
        <v>223</v>
      </c>
      <c r="X230" t="s">
        <v>223</v>
      </c>
      <c r="Y230" t="s">
        <v>223</v>
      </c>
      <c r="Z230" t="s">
        <v>223</v>
      </c>
      <c r="AA230" t="s">
        <v>223</v>
      </c>
      <c r="AB230" t="s">
        <v>223</v>
      </c>
      <c r="AC230" t="s">
        <v>223</v>
      </c>
      <c r="AD230" t="s">
        <v>223</v>
      </c>
      <c r="AE230" t="s">
        <v>223</v>
      </c>
      <c r="AF230" t="s">
        <v>223</v>
      </c>
      <c r="AG230" t="s">
        <v>223</v>
      </c>
      <c r="AH230" t="s">
        <v>223</v>
      </c>
      <c r="AI230" t="s">
        <v>223</v>
      </c>
      <c r="AJ230" t="s">
        <v>223</v>
      </c>
      <c r="AK230" t="s">
        <v>223</v>
      </c>
      <c r="AL230" t="s">
        <v>223</v>
      </c>
      <c r="AM230" t="s">
        <v>223</v>
      </c>
      <c r="AN230" s="9">
        <v>26</v>
      </c>
    </row>
    <row r="231" spans="1:40">
      <c r="A231" t="s">
        <v>379</v>
      </c>
      <c r="B231">
        <v>28</v>
      </c>
      <c r="C231" t="s">
        <v>223</v>
      </c>
      <c r="D231" t="s">
        <v>223</v>
      </c>
      <c r="E231" t="s">
        <v>223</v>
      </c>
      <c r="F231" t="s">
        <v>223</v>
      </c>
      <c r="G231" t="s">
        <v>223</v>
      </c>
      <c r="H231" t="s">
        <v>223</v>
      </c>
      <c r="I231" t="s">
        <v>223</v>
      </c>
      <c r="J231" t="s">
        <v>223</v>
      </c>
      <c r="K231" t="s">
        <v>223</v>
      </c>
      <c r="L231" t="s">
        <v>223</v>
      </c>
      <c r="M231" t="s">
        <v>223</v>
      </c>
      <c r="N231" t="s">
        <v>223</v>
      </c>
      <c r="O231" t="s">
        <v>223</v>
      </c>
      <c r="P231" t="s">
        <v>223</v>
      </c>
      <c r="Q231" t="s">
        <v>223</v>
      </c>
      <c r="R231" t="s">
        <v>223</v>
      </c>
      <c r="S231" t="s">
        <v>223</v>
      </c>
      <c r="T231" t="s">
        <v>223</v>
      </c>
      <c r="U231" t="s">
        <v>223</v>
      </c>
      <c r="V231" t="s">
        <v>223</v>
      </c>
      <c r="W231" t="s">
        <v>223</v>
      </c>
      <c r="X231" t="s">
        <v>223</v>
      </c>
      <c r="Y231" t="s">
        <v>223</v>
      </c>
      <c r="Z231" t="s">
        <v>223</v>
      </c>
      <c r="AA231" t="s">
        <v>223</v>
      </c>
      <c r="AB231" t="s">
        <v>223</v>
      </c>
      <c r="AC231" t="s">
        <v>223</v>
      </c>
      <c r="AD231" t="s">
        <v>223</v>
      </c>
      <c r="AE231" t="s">
        <v>223</v>
      </c>
      <c r="AF231" t="s">
        <v>223</v>
      </c>
      <c r="AG231" t="s">
        <v>223</v>
      </c>
      <c r="AH231" t="s">
        <v>223</v>
      </c>
      <c r="AI231" t="s">
        <v>223</v>
      </c>
      <c r="AJ231" t="s">
        <v>223</v>
      </c>
      <c r="AK231" t="s">
        <v>223</v>
      </c>
      <c r="AL231" t="s">
        <v>223</v>
      </c>
      <c r="AM231" t="s">
        <v>223</v>
      </c>
      <c r="AN231" s="9">
        <v>28</v>
      </c>
    </row>
    <row r="232" spans="1:40">
      <c r="A232" t="s">
        <v>379</v>
      </c>
      <c r="B232">
        <v>30</v>
      </c>
      <c r="C232" t="s">
        <v>223</v>
      </c>
      <c r="D232" t="s">
        <v>223</v>
      </c>
      <c r="E232" t="s">
        <v>223</v>
      </c>
      <c r="F232" t="s">
        <v>223</v>
      </c>
      <c r="G232" t="s">
        <v>223</v>
      </c>
      <c r="H232" t="s">
        <v>223</v>
      </c>
      <c r="I232" t="s">
        <v>223</v>
      </c>
      <c r="J232" t="s">
        <v>223</v>
      </c>
      <c r="K232" t="s">
        <v>223</v>
      </c>
      <c r="L232" t="s">
        <v>223</v>
      </c>
      <c r="M232" t="s">
        <v>223</v>
      </c>
      <c r="N232" t="s">
        <v>223</v>
      </c>
      <c r="O232" t="s">
        <v>223</v>
      </c>
      <c r="P232" t="s">
        <v>223</v>
      </c>
      <c r="Q232" t="s">
        <v>223</v>
      </c>
      <c r="R232" t="s">
        <v>223</v>
      </c>
      <c r="S232" t="s">
        <v>223</v>
      </c>
      <c r="T232" t="s">
        <v>223</v>
      </c>
      <c r="U232" t="s">
        <v>223</v>
      </c>
      <c r="V232" t="s">
        <v>223</v>
      </c>
      <c r="W232" t="s">
        <v>223</v>
      </c>
      <c r="X232" t="s">
        <v>223</v>
      </c>
      <c r="Y232" t="s">
        <v>223</v>
      </c>
      <c r="Z232" t="s">
        <v>223</v>
      </c>
      <c r="AA232" t="s">
        <v>223</v>
      </c>
      <c r="AB232" t="s">
        <v>223</v>
      </c>
      <c r="AC232" t="s">
        <v>223</v>
      </c>
      <c r="AD232" t="s">
        <v>223</v>
      </c>
      <c r="AE232" t="s">
        <v>223</v>
      </c>
      <c r="AF232" t="s">
        <v>223</v>
      </c>
      <c r="AG232" t="s">
        <v>223</v>
      </c>
      <c r="AH232" t="s">
        <v>223</v>
      </c>
      <c r="AI232" t="s">
        <v>223</v>
      </c>
      <c r="AJ232" t="s">
        <v>223</v>
      </c>
      <c r="AK232" t="s">
        <v>223</v>
      </c>
      <c r="AL232" t="s">
        <v>223</v>
      </c>
      <c r="AM232" t="s">
        <v>223</v>
      </c>
      <c r="AN232" s="9">
        <v>30</v>
      </c>
    </row>
    <row r="233" spans="1:40">
      <c r="A233" t="s">
        <v>379</v>
      </c>
      <c r="B233">
        <v>32</v>
      </c>
      <c r="C233" t="s">
        <v>223</v>
      </c>
      <c r="D233" t="s">
        <v>223</v>
      </c>
      <c r="E233" t="s">
        <v>223</v>
      </c>
      <c r="F233" t="s">
        <v>223</v>
      </c>
      <c r="G233" t="s">
        <v>223</v>
      </c>
      <c r="H233" t="s">
        <v>223</v>
      </c>
      <c r="I233" t="s">
        <v>223</v>
      </c>
      <c r="J233" t="s">
        <v>223</v>
      </c>
      <c r="K233" t="s">
        <v>223</v>
      </c>
      <c r="L233" t="s">
        <v>223</v>
      </c>
      <c r="M233" t="s">
        <v>223</v>
      </c>
      <c r="N233" t="s">
        <v>223</v>
      </c>
      <c r="O233" t="s">
        <v>223</v>
      </c>
      <c r="P233" t="s">
        <v>223</v>
      </c>
      <c r="Q233" t="s">
        <v>223</v>
      </c>
      <c r="R233" t="s">
        <v>223</v>
      </c>
      <c r="S233" t="s">
        <v>223</v>
      </c>
      <c r="T233" t="s">
        <v>223</v>
      </c>
      <c r="U233" t="s">
        <v>223</v>
      </c>
      <c r="V233" t="s">
        <v>223</v>
      </c>
      <c r="W233" t="s">
        <v>223</v>
      </c>
      <c r="X233" t="s">
        <v>223</v>
      </c>
      <c r="Y233" t="s">
        <v>223</v>
      </c>
      <c r="Z233" t="s">
        <v>223</v>
      </c>
      <c r="AA233" t="s">
        <v>223</v>
      </c>
      <c r="AB233" t="s">
        <v>223</v>
      </c>
      <c r="AC233" t="s">
        <v>223</v>
      </c>
      <c r="AD233" t="s">
        <v>223</v>
      </c>
      <c r="AE233" t="s">
        <v>223</v>
      </c>
      <c r="AF233" t="s">
        <v>223</v>
      </c>
      <c r="AG233" t="s">
        <v>223</v>
      </c>
      <c r="AH233" t="s">
        <v>223</v>
      </c>
      <c r="AI233" t="s">
        <v>223</v>
      </c>
      <c r="AJ233" t="s">
        <v>223</v>
      </c>
      <c r="AK233" t="s">
        <v>223</v>
      </c>
      <c r="AL233" t="s">
        <v>223</v>
      </c>
      <c r="AM233" t="s">
        <v>223</v>
      </c>
      <c r="AN233" s="9">
        <v>32</v>
      </c>
    </row>
    <row r="234" spans="1:40">
      <c r="A234" t="s">
        <v>379</v>
      </c>
      <c r="B234">
        <v>34</v>
      </c>
      <c r="C234" t="s">
        <v>223</v>
      </c>
      <c r="D234" t="s">
        <v>223</v>
      </c>
      <c r="E234" t="s">
        <v>223</v>
      </c>
      <c r="F234" t="s">
        <v>223</v>
      </c>
      <c r="G234" t="s">
        <v>223</v>
      </c>
      <c r="H234" t="s">
        <v>223</v>
      </c>
      <c r="I234" t="s">
        <v>223</v>
      </c>
      <c r="J234" t="s">
        <v>223</v>
      </c>
      <c r="K234" t="s">
        <v>223</v>
      </c>
      <c r="L234" t="s">
        <v>223</v>
      </c>
      <c r="M234" t="s">
        <v>223</v>
      </c>
      <c r="N234" t="s">
        <v>223</v>
      </c>
      <c r="O234" t="s">
        <v>223</v>
      </c>
      <c r="P234" t="s">
        <v>223</v>
      </c>
      <c r="Q234" t="s">
        <v>223</v>
      </c>
      <c r="R234" t="s">
        <v>223</v>
      </c>
      <c r="S234" t="s">
        <v>223</v>
      </c>
      <c r="T234" t="s">
        <v>223</v>
      </c>
      <c r="U234" t="s">
        <v>223</v>
      </c>
      <c r="V234" t="s">
        <v>223</v>
      </c>
      <c r="W234" t="s">
        <v>223</v>
      </c>
      <c r="X234" t="s">
        <v>223</v>
      </c>
      <c r="Y234" t="s">
        <v>223</v>
      </c>
      <c r="Z234" t="s">
        <v>223</v>
      </c>
      <c r="AA234" t="s">
        <v>223</v>
      </c>
      <c r="AB234" t="s">
        <v>223</v>
      </c>
      <c r="AC234" t="s">
        <v>223</v>
      </c>
      <c r="AD234" t="s">
        <v>223</v>
      </c>
      <c r="AE234" t="s">
        <v>223</v>
      </c>
      <c r="AF234" t="s">
        <v>223</v>
      </c>
      <c r="AG234" t="s">
        <v>223</v>
      </c>
      <c r="AH234" t="s">
        <v>223</v>
      </c>
      <c r="AI234" t="s">
        <v>223</v>
      </c>
      <c r="AJ234" t="s">
        <v>223</v>
      </c>
      <c r="AK234" t="s">
        <v>223</v>
      </c>
      <c r="AL234" t="s">
        <v>223</v>
      </c>
      <c r="AM234" t="s">
        <v>223</v>
      </c>
      <c r="AN234" s="9">
        <v>34</v>
      </c>
    </row>
    <row r="235" spans="1:40">
      <c r="A235" t="s">
        <v>379</v>
      </c>
      <c r="B235">
        <v>36</v>
      </c>
      <c r="C235" t="s">
        <v>223</v>
      </c>
      <c r="D235" t="s">
        <v>223</v>
      </c>
      <c r="E235" t="s">
        <v>223</v>
      </c>
      <c r="F235" t="s">
        <v>223</v>
      </c>
      <c r="G235" t="s">
        <v>223</v>
      </c>
      <c r="H235" t="s">
        <v>223</v>
      </c>
      <c r="I235" t="s">
        <v>223</v>
      </c>
      <c r="J235" t="s">
        <v>223</v>
      </c>
      <c r="K235" t="s">
        <v>223</v>
      </c>
      <c r="L235" t="s">
        <v>223</v>
      </c>
      <c r="M235" t="s">
        <v>223</v>
      </c>
      <c r="N235" t="s">
        <v>223</v>
      </c>
      <c r="O235" t="s">
        <v>223</v>
      </c>
      <c r="P235" t="s">
        <v>223</v>
      </c>
      <c r="Q235" t="s">
        <v>223</v>
      </c>
      <c r="R235" t="s">
        <v>223</v>
      </c>
      <c r="S235" t="s">
        <v>223</v>
      </c>
      <c r="T235" t="s">
        <v>223</v>
      </c>
      <c r="U235" t="s">
        <v>223</v>
      </c>
      <c r="V235" t="s">
        <v>223</v>
      </c>
      <c r="W235" t="s">
        <v>223</v>
      </c>
      <c r="X235" t="s">
        <v>223</v>
      </c>
      <c r="Y235" t="s">
        <v>223</v>
      </c>
      <c r="Z235" t="s">
        <v>223</v>
      </c>
      <c r="AA235" t="s">
        <v>223</v>
      </c>
      <c r="AB235" t="s">
        <v>223</v>
      </c>
      <c r="AC235" t="s">
        <v>223</v>
      </c>
      <c r="AD235" t="s">
        <v>223</v>
      </c>
      <c r="AE235" t="s">
        <v>223</v>
      </c>
      <c r="AF235" t="s">
        <v>223</v>
      </c>
      <c r="AG235" t="s">
        <v>223</v>
      </c>
      <c r="AH235" t="s">
        <v>223</v>
      </c>
      <c r="AI235" t="s">
        <v>223</v>
      </c>
      <c r="AJ235" t="s">
        <v>223</v>
      </c>
      <c r="AK235" t="s">
        <v>223</v>
      </c>
      <c r="AL235" t="s">
        <v>223</v>
      </c>
      <c r="AM235" t="s">
        <v>223</v>
      </c>
      <c r="AN235" s="9">
        <v>36</v>
      </c>
    </row>
    <row r="236" spans="1:40">
      <c r="A236" t="s">
        <v>379</v>
      </c>
      <c r="B236">
        <v>38</v>
      </c>
      <c r="C236" t="s">
        <v>223</v>
      </c>
      <c r="D236" t="s">
        <v>223</v>
      </c>
      <c r="E236" t="s">
        <v>223</v>
      </c>
      <c r="F236" t="s">
        <v>223</v>
      </c>
      <c r="G236" t="s">
        <v>223</v>
      </c>
      <c r="H236" t="s">
        <v>223</v>
      </c>
      <c r="I236" t="s">
        <v>223</v>
      </c>
      <c r="J236" t="s">
        <v>223</v>
      </c>
      <c r="K236" t="s">
        <v>223</v>
      </c>
      <c r="L236" t="s">
        <v>223</v>
      </c>
      <c r="M236" t="s">
        <v>223</v>
      </c>
      <c r="N236" t="s">
        <v>223</v>
      </c>
      <c r="O236" t="s">
        <v>223</v>
      </c>
      <c r="P236" t="s">
        <v>223</v>
      </c>
      <c r="Q236" t="s">
        <v>223</v>
      </c>
      <c r="R236" t="s">
        <v>223</v>
      </c>
      <c r="S236" t="s">
        <v>223</v>
      </c>
      <c r="T236" t="s">
        <v>223</v>
      </c>
      <c r="U236" t="s">
        <v>223</v>
      </c>
      <c r="V236" t="s">
        <v>223</v>
      </c>
      <c r="W236" t="s">
        <v>223</v>
      </c>
      <c r="X236" t="s">
        <v>223</v>
      </c>
      <c r="Y236" t="s">
        <v>223</v>
      </c>
      <c r="Z236" t="s">
        <v>223</v>
      </c>
      <c r="AA236" t="s">
        <v>223</v>
      </c>
      <c r="AB236" t="s">
        <v>223</v>
      </c>
      <c r="AC236" t="s">
        <v>223</v>
      </c>
      <c r="AD236" t="s">
        <v>223</v>
      </c>
      <c r="AE236" t="s">
        <v>223</v>
      </c>
      <c r="AF236" t="s">
        <v>223</v>
      </c>
      <c r="AG236" t="s">
        <v>223</v>
      </c>
      <c r="AH236" t="s">
        <v>223</v>
      </c>
      <c r="AI236" t="s">
        <v>223</v>
      </c>
      <c r="AJ236" t="s">
        <v>223</v>
      </c>
      <c r="AK236" t="s">
        <v>223</v>
      </c>
      <c r="AL236" t="s">
        <v>223</v>
      </c>
      <c r="AM236" t="s">
        <v>223</v>
      </c>
      <c r="AN236" s="9">
        <v>38</v>
      </c>
    </row>
    <row r="237" spans="1:40">
      <c r="A237" t="s">
        <v>379</v>
      </c>
      <c r="B237">
        <v>40</v>
      </c>
      <c r="C237" t="s">
        <v>223</v>
      </c>
      <c r="D237" t="s">
        <v>223</v>
      </c>
      <c r="E237" t="s">
        <v>223</v>
      </c>
      <c r="F237" t="s">
        <v>223</v>
      </c>
      <c r="G237" t="s">
        <v>223</v>
      </c>
      <c r="H237" t="s">
        <v>223</v>
      </c>
      <c r="I237" t="s">
        <v>223</v>
      </c>
      <c r="J237" t="s">
        <v>223</v>
      </c>
      <c r="K237" t="s">
        <v>223</v>
      </c>
      <c r="L237" t="s">
        <v>223</v>
      </c>
      <c r="M237" t="s">
        <v>223</v>
      </c>
      <c r="N237" t="s">
        <v>223</v>
      </c>
      <c r="O237" t="s">
        <v>223</v>
      </c>
      <c r="P237" t="s">
        <v>223</v>
      </c>
      <c r="Q237" t="s">
        <v>223</v>
      </c>
      <c r="R237" t="s">
        <v>223</v>
      </c>
      <c r="S237" t="s">
        <v>223</v>
      </c>
      <c r="T237" t="s">
        <v>223</v>
      </c>
      <c r="U237" t="s">
        <v>223</v>
      </c>
      <c r="V237" t="s">
        <v>223</v>
      </c>
      <c r="W237" t="s">
        <v>223</v>
      </c>
      <c r="X237" t="s">
        <v>223</v>
      </c>
      <c r="Y237" t="s">
        <v>223</v>
      </c>
      <c r="Z237" t="s">
        <v>223</v>
      </c>
      <c r="AA237" t="s">
        <v>223</v>
      </c>
      <c r="AB237" t="s">
        <v>223</v>
      </c>
      <c r="AC237" t="s">
        <v>223</v>
      </c>
      <c r="AD237" t="s">
        <v>223</v>
      </c>
      <c r="AE237" t="s">
        <v>223</v>
      </c>
      <c r="AF237" t="s">
        <v>223</v>
      </c>
      <c r="AG237" t="s">
        <v>223</v>
      </c>
      <c r="AH237" t="s">
        <v>223</v>
      </c>
      <c r="AI237" t="s">
        <v>223</v>
      </c>
      <c r="AJ237" t="s">
        <v>223</v>
      </c>
      <c r="AK237" t="s">
        <v>223</v>
      </c>
      <c r="AL237" t="s">
        <v>223</v>
      </c>
      <c r="AM237" t="s">
        <v>223</v>
      </c>
      <c r="AN237" s="9">
        <v>40</v>
      </c>
    </row>
    <row r="238" spans="1:40">
      <c r="A238" t="s">
        <v>379</v>
      </c>
      <c r="B238">
        <v>42</v>
      </c>
      <c r="C238" t="s">
        <v>223</v>
      </c>
      <c r="D238" t="s">
        <v>223</v>
      </c>
      <c r="E238" t="s">
        <v>223</v>
      </c>
      <c r="F238" t="s">
        <v>223</v>
      </c>
      <c r="G238" t="s">
        <v>223</v>
      </c>
      <c r="H238" t="s">
        <v>223</v>
      </c>
      <c r="I238" t="s">
        <v>223</v>
      </c>
      <c r="J238" t="s">
        <v>223</v>
      </c>
      <c r="K238" t="s">
        <v>223</v>
      </c>
      <c r="L238" t="s">
        <v>223</v>
      </c>
      <c r="M238" t="s">
        <v>223</v>
      </c>
      <c r="N238" t="s">
        <v>223</v>
      </c>
      <c r="O238" t="s">
        <v>223</v>
      </c>
      <c r="P238" t="s">
        <v>223</v>
      </c>
      <c r="Q238" t="s">
        <v>223</v>
      </c>
      <c r="R238" t="s">
        <v>223</v>
      </c>
      <c r="S238" t="s">
        <v>223</v>
      </c>
      <c r="T238" t="s">
        <v>223</v>
      </c>
      <c r="U238" t="s">
        <v>223</v>
      </c>
      <c r="V238" t="s">
        <v>223</v>
      </c>
      <c r="W238" t="s">
        <v>223</v>
      </c>
      <c r="X238" t="s">
        <v>223</v>
      </c>
      <c r="Y238" t="s">
        <v>223</v>
      </c>
      <c r="Z238" t="s">
        <v>223</v>
      </c>
      <c r="AA238" t="s">
        <v>223</v>
      </c>
      <c r="AB238" t="s">
        <v>223</v>
      </c>
      <c r="AC238" t="s">
        <v>223</v>
      </c>
      <c r="AD238" t="s">
        <v>223</v>
      </c>
      <c r="AE238" t="s">
        <v>223</v>
      </c>
      <c r="AF238" t="s">
        <v>223</v>
      </c>
      <c r="AG238" t="s">
        <v>223</v>
      </c>
      <c r="AH238" t="s">
        <v>223</v>
      </c>
      <c r="AI238" t="s">
        <v>223</v>
      </c>
      <c r="AJ238" t="s">
        <v>223</v>
      </c>
      <c r="AK238" t="s">
        <v>223</v>
      </c>
      <c r="AL238" t="s">
        <v>223</v>
      </c>
      <c r="AM238" t="s">
        <v>223</v>
      </c>
      <c r="AN238" s="9">
        <v>42</v>
      </c>
    </row>
    <row r="239" spans="1:40">
      <c r="A239" t="s">
        <v>379</v>
      </c>
      <c r="B239">
        <v>44</v>
      </c>
      <c r="C239" t="s">
        <v>223</v>
      </c>
      <c r="D239" t="s">
        <v>223</v>
      </c>
      <c r="E239" t="s">
        <v>223</v>
      </c>
      <c r="F239" t="s">
        <v>223</v>
      </c>
      <c r="G239" t="s">
        <v>223</v>
      </c>
      <c r="H239" t="s">
        <v>223</v>
      </c>
      <c r="I239" t="s">
        <v>223</v>
      </c>
      <c r="J239" t="s">
        <v>223</v>
      </c>
      <c r="K239" t="s">
        <v>223</v>
      </c>
      <c r="L239" t="s">
        <v>223</v>
      </c>
      <c r="M239" t="s">
        <v>223</v>
      </c>
      <c r="N239" t="s">
        <v>223</v>
      </c>
      <c r="O239" t="s">
        <v>223</v>
      </c>
      <c r="P239" t="s">
        <v>223</v>
      </c>
      <c r="Q239" t="s">
        <v>223</v>
      </c>
      <c r="R239" t="s">
        <v>223</v>
      </c>
      <c r="S239" t="s">
        <v>223</v>
      </c>
      <c r="T239" t="s">
        <v>223</v>
      </c>
      <c r="U239" t="s">
        <v>223</v>
      </c>
      <c r="V239" t="s">
        <v>223</v>
      </c>
      <c r="W239" t="s">
        <v>223</v>
      </c>
      <c r="X239" t="s">
        <v>223</v>
      </c>
      <c r="Y239" t="s">
        <v>223</v>
      </c>
      <c r="Z239" t="s">
        <v>223</v>
      </c>
      <c r="AA239" t="s">
        <v>223</v>
      </c>
      <c r="AB239" t="s">
        <v>223</v>
      </c>
      <c r="AC239" t="s">
        <v>223</v>
      </c>
      <c r="AD239" t="s">
        <v>223</v>
      </c>
      <c r="AE239" t="s">
        <v>223</v>
      </c>
      <c r="AF239" t="s">
        <v>223</v>
      </c>
      <c r="AG239" t="s">
        <v>223</v>
      </c>
      <c r="AH239" t="s">
        <v>223</v>
      </c>
      <c r="AI239" t="s">
        <v>223</v>
      </c>
      <c r="AJ239" t="s">
        <v>223</v>
      </c>
      <c r="AK239" t="s">
        <v>223</v>
      </c>
      <c r="AL239" t="s">
        <v>223</v>
      </c>
      <c r="AM239" t="s">
        <v>223</v>
      </c>
      <c r="AN239" s="9">
        <v>44</v>
      </c>
    </row>
    <row r="240" spans="1:40">
      <c r="A240" t="s">
        <v>379</v>
      </c>
      <c r="B240">
        <v>46</v>
      </c>
      <c r="C240" t="s">
        <v>223</v>
      </c>
      <c r="D240" t="s">
        <v>223</v>
      </c>
      <c r="E240" t="s">
        <v>223</v>
      </c>
      <c r="F240" t="s">
        <v>223</v>
      </c>
      <c r="G240" t="s">
        <v>223</v>
      </c>
      <c r="H240" t="s">
        <v>223</v>
      </c>
      <c r="I240" t="s">
        <v>223</v>
      </c>
      <c r="J240" t="s">
        <v>223</v>
      </c>
      <c r="K240" t="s">
        <v>223</v>
      </c>
      <c r="L240" t="s">
        <v>223</v>
      </c>
      <c r="M240" t="s">
        <v>223</v>
      </c>
      <c r="N240" t="s">
        <v>223</v>
      </c>
      <c r="O240" t="s">
        <v>223</v>
      </c>
      <c r="P240" t="s">
        <v>223</v>
      </c>
      <c r="Q240" t="s">
        <v>223</v>
      </c>
      <c r="R240" t="s">
        <v>223</v>
      </c>
      <c r="S240" t="s">
        <v>223</v>
      </c>
      <c r="T240" t="s">
        <v>223</v>
      </c>
      <c r="U240" t="s">
        <v>223</v>
      </c>
      <c r="V240" t="s">
        <v>223</v>
      </c>
      <c r="W240" t="s">
        <v>223</v>
      </c>
      <c r="X240" t="s">
        <v>223</v>
      </c>
      <c r="Y240" t="s">
        <v>223</v>
      </c>
      <c r="Z240" t="s">
        <v>223</v>
      </c>
      <c r="AA240" t="s">
        <v>223</v>
      </c>
      <c r="AB240" t="s">
        <v>223</v>
      </c>
      <c r="AC240" t="s">
        <v>223</v>
      </c>
      <c r="AD240" t="s">
        <v>223</v>
      </c>
      <c r="AE240" t="s">
        <v>223</v>
      </c>
      <c r="AF240" t="s">
        <v>223</v>
      </c>
      <c r="AG240" t="s">
        <v>223</v>
      </c>
      <c r="AH240" t="s">
        <v>223</v>
      </c>
      <c r="AI240" t="s">
        <v>223</v>
      </c>
      <c r="AJ240" t="s">
        <v>223</v>
      </c>
      <c r="AK240" t="s">
        <v>223</v>
      </c>
      <c r="AL240" t="s">
        <v>223</v>
      </c>
      <c r="AM240" t="s">
        <v>223</v>
      </c>
      <c r="AN240" s="9">
        <v>46</v>
      </c>
    </row>
    <row r="241" spans="1:40">
      <c r="A241" t="s">
        <v>379</v>
      </c>
      <c r="B241">
        <v>48</v>
      </c>
      <c r="C241" t="s">
        <v>223</v>
      </c>
      <c r="D241" t="s">
        <v>223</v>
      </c>
      <c r="E241" t="s">
        <v>223</v>
      </c>
      <c r="F241" t="s">
        <v>223</v>
      </c>
      <c r="G241" t="s">
        <v>223</v>
      </c>
      <c r="H241" t="s">
        <v>223</v>
      </c>
      <c r="I241" t="s">
        <v>223</v>
      </c>
      <c r="J241" t="s">
        <v>223</v>
      </c>
      <c r="K241" t="s">
        <v>223</v>
      </c>
      <c r="L241" t="s">
        <v>223</v>
      </c>
      <c r="M241" t="s">
        <v>223</v>
      </c>
      <c r="N241" t="s">
        <v>223</v>
      </c>
      <c r="O241" t="s">
        <v>223</v>
      </c>
      <c r="P241" t="s">
        <v>223</v>
      </c>
      <c r="Q241" t="s">
        <v>223</v>
      </c>
      <c r="R241" t="s">
        <v>223</v>
      </c>
      <c r="S241" t="s">
        <v>223</v>
      </c>
      <c r="T241" t="s">
        <v>223</v>
      </c>
      <c r="U241" t="s">
        <v>223</v>
      </c>
      <c r="V241" t="s">
        <v>223</v>
      </c>
      <c r="W241" t="s">
        <v>223</v>
      </c>
      <c r="X241" t="s">
        <v>223</v>
      </c>
      <c r="Y241" t="s">
        <v>223</v>
      </c>
      <c r="Z241" t="s">
        <v>223</v>
      </c>
      <c r="AA241" t="s">
        <v>223</v>
      </c>
      <c r="AB241" t="s">
        <v>223</v>
      </c>
      <c r="AC241" t="s">
        <v>223</v>
      </c>
      <c r="AD241" t="s">
        <v>223</v>
      </c>
      <c r="AE241" t="s">
        <v>223</v>
      </c>
      <c r="AF241" t="s">
        <v>223</v>
      </c>
      <c r="AG241" t="s">
        <v>223</v>
      </c>
      <c r="AH241" t="s">
        <v>223</v>
      </c>
      <c r="AI241" t="s">
        <v>223</v>
      </c>
      <c r="AJ241" t="s">
        <v>223</v>
      </c>
      <c r="AK241" t="s">
        <v>223</v>
      </c>
      <c r="AL241" t="s">
        <v>223</v>
      </c>
      <c r="AM241" t="s">
        <v>223</v>
      </c>
      <c r="AN241" s="9">
        <v>48</v>
      </c>
    </row>
    <row r="242" spans="1:40">
      <c r="A242" t="s">
        <v>379</v>
      </c>
      <c r="B242">
        <v>50</v>
      </c>
      <c r="C242" t="s">
        <v>223</v>
      </c>
      <c r="D242" t="s">
        <v>223</v>
      </c>
      <c r="E242" t="s">
        <v>223</v>
      </c>
      <c r="F242" t="s">
        <v>223</v>
      </c>
      <c r="G242" t="s">
        <v>223</v>
      </c>
      <c r="H242" t="s">
        <v>223</v>
      </c>
      <c r="I242" t="s">
        <v>223</v>
      </c>
      <c r="J242" t="s">
        <v>223</v>
      </c>
      <c r="K242" t="s">
        <v>223</v>
      </c>
      <c r="L242" t="s">
        <v>223</v>
      </c>
      <c r="M242" t="s">
        <v>223</v>
      </c>
      <c r="N242" t="s">
        <v>223</v>
      </c>
      <c r="O242" t="s">
        <v>223</v>
      </c>
      <c r="P242" t="s">
        <v>223</v>
      </c>
      <c r="Q242" t="s">
        <v>223</v>
      </c>
      <c r="R242" t="s">
        <v>223</v>
      </c>
      <c r="S242" t="s">
        <v>223</v>
      </c>
      <c r="T242" t="s">
        <v>223</v>
      </c>
      <c r="U242" t="s">
        <v>223</v>
      </c>
      <c r="V242" t="s">
        <v>223</v>
      </c>
      <c r="W242" t="s">
        <v>223</v>
      </c>
      <c r="X242" t="s">
        <v>223</v>
      </c>
      <c r="Y242" t="s">
        <v>223</v>
      </c>
      <c r="Z242" t="s">
        <v>223</v>
      </c>
      <c r="AA242" t="s">
        <v>223</v>
      </c>
      <c r="AB242" t="s">
        <v>223</v>
      </c>
      <c r="AC242" t="s">
        <v>223</v>
      </c>
      <c r="AD242" t="s">
        <v>223</v>
      </c>
      <c r="AE242" t="s">
        <v>223</v>
      </c>
      <c r="AF242" t="s">
        <v>223</v>
      </c>
      <c r="AG242" t="s">
        <v>223</v>
      </c>
      <c r="AH242" t="s">
        <v>223</v>
      </c>
      <c r="AI242" t="s">
        <v>223</v>
      </c>
      <c r="AJ242" t="s">
        <v>223</v>
      </c>
      <c r="AK242" t="s">
        <v>223</v>
      </c>
      <c r="AL242" t="s">
        <v>223</v>
      </c>
      <c r="AM242" t="s">
        <v>223</v>
      </c>
      <c r="AN242" s="9">
        <v>50</v>
      </c>
    </row>
    <row r="243" spans="1:40">
      <c r="A243" t="s">
        <v>379</v>
      </c>
      <c r="B243">
        <v>52</v>
      </c>
      <c r="C243" t="s">
        <v>223</v>
      </c>
      <c r="D243" t="s">
        <v>223</v>
      </c>
      <c r="E243" t="s">
        <v>223</v>
      </c>
      <c r="F243" t="s">
        <v>223</v>
      </c>
      <c r="G243" t="s">
        <v>223</v>
      </c>
      <c r="H243" t="s">
        <v>223</v>
      </c>
      <c r="I243" t="s">
        <v>223</v>
      </c>
      <c r="J243" t="s">
        <v>223</v>
      </c>
      <c r="K243" t="s">
        <v>223</v>
      </c>
      <c r="L243" t="s">
        <v>223</v>
      </c>
      <c r="M243" t="s">
        <v>223</v>
      </c>
      <c r="N243" t="s">
        <v>223</v>
      </c>
      <c r="O243" t="s">
        <v>223</v>
      </c>
      <c r="P243" t="s">
        <v>223</v>
      </c>
      <c r="Q243" t="s">
        <v>223</v>
      </c>
      <c r="R243" t="s">
        <v>223</v>
      </c>
      <c r="S243" t="s">
        <v>223</v>
      </c>
      <c r="T243" t="s">
        <v>223</v>
      </c>
      <c r="U243" t="s">
        <v>223</v>
      </c>
      <c r="V243" t="s">
        <v>223</v>
      </c>
      <c r="W243" t="s">
        <v>223</v>
      </c>
      <c r="X243" t="s">
        <v>223</v>
      </c>
      <c r="Y243" t="s">
        <v>223</v>
      </c>
      <c r="Z243" t="s">
        <v>223</v>
      </c>
      <c r="AA243" t="s">
        <v>223</v>
      </c>
      <c r="AB243" t="s">
        <v>223</v>
      </c>
      <c r="AC243" t="s">
        <v>223</v>
      </c>
      <c r="AD243" t="s">
        <v>223</v>
      </c>
      <c r="AE243" t="s">
        <v>223</v>
      </c>
      <c r="AF243" t="s">
        <v>223</v>
      </c>
      <c r="AG243" t="s">
        <v>223</v>
      </c>
      <c r="AH243" t="s">
        <v>223</v>
      </c>
      <c r="AI243" t="s">
        <v>223</v>
      </c>
      <c r="AJ243" t="s">
        <v>223</v>
      </c>
      <c r="AK243" t="s">
        <v>223</v>
      </c>
      <c r="AL243" t="s">
        <v>223</v>
      </c>
      <c r="AM243" t="s">
        <v>223</v>
      </c>
      <c r="AN243" s="9">
        <v>52</v>
      </c>
    </row>
    <row r="244" spans="1:40">
      <c r="A244" t="s">
        <v>380</v>
      </c>
      <c r="B244">
        <v>1</v>
      </c>
      <c r="C244" t="s">
        <v>223</v>
      </c>
      <c r="D244" t="s">
        <v>223</v>
      </c>
      <c r="E244" t="s">
        <v>223</v>
      </c>
      <c r="F244" t="s">
        <v>223</v>
      </c>
      <c r="G244" t="s">
        <v>223</v>
      </c>
      <c r="H244" t="s">
        <v>223</v>
      </c>
      <c r="I244" t="s">
        <v>223</v>
      </c>
      <c r="J244" t="s">
        <v>223</v>
      </c>
      <c r="K244" t="s">
        <v>223</v>
      </c>
      <c r="L244" t="s">
        <v>223</v>
      </c>
      <c r="M244" t="s">
        <v>223</v>
      </c>
      <c r="N244" t="s">
        <v>223</v>
      </c>
      <c r="O244" t="s">
        <v>223</v>
      </c>
      <c r="P244" t="s">
        <v>223</v>
      </c>
      <c r="Q244" t="s">
        <v>223</v>
      </c>
      <c r="R244" t="s">
        <v>223</v>
      </c>
      <c r="S244" t="s">
        <v>223</v>
      </c>
      <c r="T244" t="s">
        <v>223</v>
      </c>
      <c r="U244" t="s">
        <v>223</v>
      </c>
      <c r="V244" t="s">
        <v>223</v>
      </c>
      <c r="W244" t="s">
        <v>223</v>
      </c>
      <c r="X244" t="s">
        <v>223</v>
      </c>
      <c r="Y244" t="s">
        <v>223</v>
      </c>
      <c r="Z244" t="s">
        <v>223</v>
      </c>
      <c r="AA244" t="s">
        <v>223</v>
      </c>
      <c r="AB244" t="s">
        <v>223</v>
      </c>
      <c r="AC244" t="s">
        <v>223</v>
      </c>
      <c r="AD244" t="s">
        <v>223</v>
      </c>
      <c r="AE244" t="s">
        <v>223</v>
      </c>
      <c r="AF244" t="s">
        <v>223</v>
      </c>
      <c r="AG244" t="s">
        <v>223</v>
      </c>
      <c r="AH244" t="s">
        <v>223</v>
      </c>
      <c r="AI244" t="s">
        <v>223</v>
      </c>
      <c r="AJ244" t="s">
        <v>223</v>
      </c>
      <c r="AK244" t="s">
        <v>223</v>
      </c>
      <c r="AL244" t="s">
        <v>223</v>
      </c>
      <c r="AM244" t="s">
        <v>223</v>
      </c>
      <c r="AN244" s="9">
        <v>1</v>
      </c>
    </row>
    <row r="245" spans="1:40">
      <c r="A245" t="s">
        <v>380</v>
      </c>
      <c r="B245">
        <v>3</v>
      </c>
      <c r="C245" t="s">
        <v>223</v>
      </c>
      <c r="D245" t="s">
        <v>223</v>
      </c>
      <c r="E245" t="s">
        <v>223</v>
      </c>
      <c r="F245" t="s">
        <v>223</v>
      </c>
      <c r="G245" t="s">
        <v>223</v>
      </c>
      <c r="H245" t="s">
        <v>223</v>
      </c>
      <c r="I245" t="s">
        <v>223</v>
      </c>
      <c r="J245" t="s">
        <v>223</v>
      </c>
      <c r="K245" t="s">
        <v>223</v>
      </c>
      <c r="L245" t="s">
        <v>223</v>
      </c>
      <c r="M245" t="s">
        <v>223</v>
      </c>
      <c r="N245" t="s">
        <v>223</v>
      </c>
      <c r="O245" t="s">
        <v>223</v>
      </c>
      <c r="P245" t="s">
        <v>223</v>
      </c>
      <c r="Q245" t="s">
        <v>223</v>
      </c>
      <c r="R245" t="s">
        <v>223</v>
      </c>
      <c r="S245" t="s">
        <v>223</v>
      </c>
      <c r="T245" t="s">
        <v>223</v>
      </c>
      <c r="U245" t="s">
        <v>223</v>
      </c>
      <c r="V245" t="s">
        <v>223</v>
      </c>
      <c r="W245" t="s">
        <v>223</v>
      </c>
      <c r="X245" t="s">
        <v>223</v>
      </c>
      <c r="Y245" t="s">
        <v>223</v>
      </c>
      <c r="Z245" t="s">
        <v>223</v>
      </c>
      <c r="AA245" t="s">
        <v>223</v>
      </c>
      <c r="AB245" t="s">
        <v>223</v>
      </c>
      <c r="AC245" t="s">
        <v>223</v>
      </c>
      <c r="AD245" t="s">
        <v>223</v>
      </c>
      <c r="AE245" t="s">
        <v>223</v>
      </c>
      <c r="AF245" t="s">
        <v>223</v>
      </c>
      <c r="AG245" t="s">
        <v>223</v>
      </c>
      <c r="AH245" t="s">
        <v>223</v>
      </c>
      <c r="AI245" t="s">
        <v>223</v>
      </c>
      <c r="AJ245" t="s">
        <v>223</v>
      </c>
      <c r="AK245" t="s">
        <v>223</v>
      </c>
      <c r="AL245" t="s">
        <v>223</v>
      </c>
      <c r="AM245" t="s">
        <v>223</v>
      </c>
      <c r="AN245" s="9">
        <v>3</v>
      </c>
    </row>
    <row r="246" spans="1:40">
      <c r="A246" t="s">
        <v>380</v>
      </c>
      <c r="B246">
        <v>5</v>
      </c>
      <c r="C246" t="s">
        <v>223</v>
      </c>
      <c r="D246" t="s">
        <v>223</v>
      </c>
      <c r="E246" t="s">
        <v>223</v>
      </c>
      <c r="F246" t="s">
        <v>223</v>
      </c>
      <c r="G246" t="s">
        <v>223</v>
      </c>
      <c r="H246" t="s">
        <v>223</v>
      </c>
      <c r="I246" t="s">
        <v>223</v>
      </c>
      <c r="J246" t="s">
        <v>223</v>
      </c>
      <c r="K246" t="s">
        <v>223</v>
      </c>
      <c r="L246" t="s">
        <v>223</v>
      </c>
      <c r="M246" t="s">
        <v>223</v>
      </c>
      <c r="N246" t="s">
        <v>223</v>
      </c>
      <c r="O246" t="s">
        <v>223</v>
      </c>
      <c r="P246" t="s">
        <v>223</v>
      </c>
      <c r="Q246" t="s">
        <v>223</v>
      </c>
      <c r="R246" t="s">
        <v>223</v>
      </c>
      <c r="S246" t="s">
        <v>223</v>
      </c>
      <c r="T246" t="s">
        <v>223</v>
      </c>
      <c r="U246" t="s">
        <v>223</v>
      </c>
      <c r="V246" t="s">
        <v>223</v>
      </c>
      <c r="W246" t="s">
        <v>223</v>
      </c>
      <c r="X246" t="s">
        <v>223</v>
      </c>
      <c r="Y246" t="s">
        <v>223</v>
      </c>
      <c r="Z246" t="s">
        <v>223</v>
      </c>
      <c r="AA246" t="s">
        <v>223</v>
      </c>
      <c r="AB246" t="s">
        <v>223</v>
      </c>
      <c r="AC246" t="s">
        <v>223</v>
      </c>
      <c r="AD246" t="s">
        <v>223</v>
      </c>
      <c r="AE246" t="s">
        <v>223</v>
      </c>
      <c r="AF246" t="s">
        <v>223</v>
      </c>
      <c r="AG246" t="s">
        <v>223</v>
      </c>
      <c r="AH246" t="s">
        <v>223</v>
      </c>
      <c r="AI246" t="s">
        <v>223</v>
      </c>
      <c r="AJ246" t="s">
        <v>223</v>
      </c>
      <c r="AK246" t="s">
        <v>223</v>
      </c>
      <c r="AL246" t="s">
        <v>223</v>
      </c>
      <c r="AM246" t="s">
        <v>223</v>
      </c>
      <c r="AN246" s="9">
        <v>5</v>
      </c>
    </row>
    <row r="247" spans="1:40">
      <c r="A247" t="s">
        <v>380</v>
      </c>
      <c r="B247">
        <v>7</v>
      </c>
      <c r="C247" t="s">
        <v>223</v>
      </c>
      <c r="D247" t="s">
        <v>223</v>
      </c>
      <c r="E247" t="s">
        <v>223</v>
      </c>
      <c r="F247" t="s">
        <v>223</v>
      </c>
      <c r="G247" t="s">
        <v>223</v>
      </c>
      <c r="H247" t="s">
        <v>223</v>
      </c>
      <c r="I247" t="s">
        <v>223</v>
      </c>
      <c r="J247" t="s">
        <v>223</v>
      </c>
      <c r="K247" t="s">
        <v>223</v>
      </c>
      <c r="L247" t="s">
        <v>223</v>
      </c>
      <c r="M247" t="s">
        <v>223</v>
      </c>
      <c r="N247" t="s">
        <v>223</v>
      </c>
      <c r="O247" t="s">
        <v>223</v>
      </c>
      <c r="P247" t="s">
        <v>223</v>
      </c>
      <c r="Q247" t="s">
        <v>223</v>
      </c>
      <c r="R247" t="s">
        <v>223</v>
      </c>
      <c r="S247" t="s">
        <v>223</v>
      </c>
      <c r="T247" t="s">
        <v>223</v>
      </c>
      <c r="U247" t="s">
        <v>223</v>
      </c>
      <c r="V247" t="s">
        <v>223</v>
      </c>
      <c r="W247" t="s">
        <v>223</v>
      </c>
      <c r="X247" t="s">
        <v>223</v>
      </c>
      <c r="Y247" t="s">
        <v>223</v>
      </c>
      <c r="Z247" t="s">
        <v>223</v>
      </c>
      <c r="AA247" t="s">
        <v>223</v>
      </c>
      <c r="AB247" t="s">
        <v>223</v>
      </c>
      <c r="AC247" t="s">
        <v>223</v>
      </c>
      <c r="AD247" t="s">
        <v>223</v>
      </c>
      <c r="AE247" t="s">
        <v>223</v>
      </c>
      <c r="AF247" t="s">
        <v>223</v>
      </c>
      <c r="AG247" t="s">
        <v>223</v>
      </c>
      <c r="AH247" t="s">
        <v>223</v>
      </c>
      <c r="AI247" t="s">
        <v>223</v>
      </c>
      <c r="AJ247" t="s">
        <v>223</v>
      </c>
      <c r="AK247" t="s">
        <v>223</v>
      </c>
      <c r="AL247" t="s">
        <v>223</v>
      </c>
      <c r="AM247" t="s">
        <v>223</v>
      </c>
      <c r="AN247" s="9">
        <v>7</v>
      </c>
    </row>
    <row r="248" spans="1:40">
      <c r="A248" t="s">
        <v>380</v>
      </c>
      <c r="B248">
        <v>9</v>
      </c>
      <c r="C248" t="s">
        <v>223</v>
      </c>
      <c r="D248" t="s">
        <v>223</v>
      </c>
      <c r="E248" t="s">
        <v>223</v>
      </c>
      <c r="F248" t="s">
        <v>223</v>
      </c>
      <c r="G248" t="s">
        <v>223</v>
      </c>
      <c r="H248" t="s">
        <v>223</v>
      </c>
      <c r="I248" t="s">
        <v>223</v>
      </c>
      <c r="J248" t="s">
        <v>223</v>
      </c>
      <c r="K248" t="s">
        <v>223</v>
      </c>
      <c r="L248" t="s">
        <v>223</v>
      </c>
      <c r="M248" t="s">
        <v>223</v>
      </c>
      <c r="N248" t="s">
        <v>223</v>
      </c>
      <c r="O248" t="s">
        <v>223</v>
      </c>
      <c r="P248" t="s">
        <v>223</v>
      </c>
      <c r="Q248" t="s">
        <v>223</v>
      </c>
      <c r="R248" t="s">
        <v>223</v>
      </c>
      <c r="S248" t="s">
        <v>223</v>
      </c>
      <c r="T248" t="s">
        <v>223</v>
      </c>
      <c r="U248" t="s">
        <v>223</v>
      </c>
      <c r="V248" t="s">
        <v>223</v>
      </c>
      <c r="W248" t="s">
        <v>223</v>
      </c>
      <c r="X248" t="s">
        <v>223</v>
      </c>
      <c r="Y248" t="s">
        <v>223</v>
      </c>
      <c r="Z248" t="s">
        <v>223</v>
      </c>
      <c r="AA248" t="s">
        <v>223</v>
      </c>
      <c r="AB248" t="s">
        <v>223</v>
      </c>
      <c r="AC248" t="s">
        <v>223</v>
      </c>
      <c r="AD248" t="s">
        <v>223</v>
      </c>
      <c r="AE248" t="s">
        <v>223</v>
      </c>
      <c r="AF248" t="s">
        <v>223</v>
      </c>
      <c r="AG248" t="s">
        <v>223</v>
      </c>
      <c r="AH248" t="s">
        <v>223</v>
      </c>
      <c r="AI248" t="s">
        <v>223</v>
      </c>
      <c r="AJ248" t="s">
        <v>223</v>
      </c>
      <c r="AK248" t="s">
        <v>223</v>
      </c>
      <c r="AL248" t="s">
        <v>223</v>
      </c>
      <c r="AM248" t="s">
        <v>223</v>
      </c>
      <c r="AN248" s="9">
        <v>9</v>
      </c>
    </row>
    <row r="249" spans="1:40">
      <c r="A249" t="s">
        <v>380</v>
      </c>
      <c r="B249">
        <v>11</v>
      </c>
      <c r="C249" t="s">
        <v>223</v>
      </c>
      <c r="D249" t="s">
        <v>223</v>
      </c>
      <c r="E249" t="s">
        <v>223</v>
      </c>
      <c r="F249" t="s">
        <v>223</v>
      </c>
      <c r="G249" t="s">
        <v>223</v>
      </c>
      <c r="H249" t="s">
        <v>223</v>
      </c>
      <c r="I249" t="s">
        <v>223</v>
      </c>
      <c r="J249" t="s">
        <v>223</v>
      </c>
      <c r="K249" t="s">
        <v>223</v>
      </c>
      <c r="L249" t="s">
        <v>223</v>
      </c>
      <c r="M249" t="s">
        <v>223</v>
      </c>
      <c r="N249" t="s">
        <v>223</v>
      </c>
      <c r="O249" t="s">
        <v>223</v>
      </c>
      <c r="P249" t="s">
        <v>223</v>
      </c>
      <c r="Q249" t="s">
        <v>223</v>
      </c>
      <c r="R249" t="s">
        <v>223</v>
      </c>
      <c r="S249" t="s">
        <v>223</v>
      </c>
      <c r="T249" t="s">
        <v>223</v>
      </c>
      <c r="U249" t="s">
        <v>223</v>
      </c>
      <c r="V249" t="s">
        <v>223</v>
      </c>
      <c r="W249" t="s">
        <v>223</v>
      </c>
      <c r="X249" t="s">
        <v>223</v>
      </c>
      <c r="Y249" t="s">
        <v>223</v>
      </c>
      <c r="Z249" t="s">
        <v>223</v>
      </c>
      <c r="AA249" t="s">
        <v>223</v>
      </c>
      <c r="AB249" t="s">
        <v>223</v>
      </c>
      <c r="AC249" t="s">
        <v>223</v>
      </c>
      <c r="AD249" t="s">
        <v>223</v>
      </c>
      <c r="AE249" t="s">
        <v>223</v>
      </c>
      <c r="AF249" t="s">
        <v>223</v>
      </c>
      <c r="AG249" t="s">
        <v>223</v>
      </c>
      <c r="AH249" t="s">
        <v>223</v>
      </c>
      <c r="AI249" t="s">
        <v>223</v>
      </c>
      <c r="AJ249" t="s">
        <v>223</v>
      </c>
      <c r="AK249" t="s">
        <v>223</v>
      </c>
      <c r="AL249" t="s">
        <v>223</v>
      </c>
      <c r="AM249" t="s">
        <v>223</v>
      </c>
      <c r="AN249" s="9">
        <v>11</v>
      </c>
    </row>
    <row r="250" spans="1:40">
      <c r="A250" t="s">
        <v>380</v>
      </c>
      <c r="B250">
        <v>13</v>
      </c>
      <c r="C250" t="s">
        <v>223</v>
      </c>
      <c r="D250" t="s">
        <v>223</v>
      </c>
      <c r="E250" t="s">
        <v>223</v>
      </c>
      <c r="F250" t="s">
        <v>223</v>
      </c>
      <c r="G250" t="s">
        <v>223</v>
      </c>
      <c r="H250" t="s">
        <v>223</v>
      </c>
      <c r="I250" t="s">
        <v>223</v>
      </c>
      <c r="J250" t="s">
        <v>223</v>
      </c>
      <c r="K250" t="s">
        <v>223</v>
      </c>
      <c r="L250" t="s">
        <v>223</v>
      </c>
      <c r="M250" t="s">
        <v>223</v>
      </c>
      <c r="N250" t="s">
        <v>223</v>
      </c>
      <c r="O250" t="s">
        <v>223</v>
      </c>
      <c r="P250" t="s">
        <v>223</v>
      </c>
      <c r="Q250" t="s">
        <v>223</v>
      </c>
      <c r="R250" t="s">
        <v>223</v>
      </c>
      <c r="S250" t="s">
        <v>223</v>
      </c>
      <c r="T250" t="s">
        <v>223</v>
      </c>
      <c r="U250" t="s">
        <v>223</v>
      </c>
      <c r="V250" t="s">
        <v>223</v>
      </c>
      <c r="W250" t="s">
        <v>223</v>
      </c>
      <c r="X250" t="s">
        <v>223</v>
      </c>
      <c r="Y250" t="s">
        <v>223</v>
      </c>
      <c r="Z250" t="s">
        <v>223</v>
      </c>
      <c r="AA250" t="s">
        <v>223</v>
      </c>
      <c r="AB250" t="s">
        <v>223</v>
      </c>
      <c r="AC250" t="s">
        <v>223</v>
      </c>
      <c r="AD250" t="s">
        <v>223</v>
      </c>
      <c r="AE250" t="s">
        <v>223</v>
      </c>
      <c r="AF250" t="s">
        <v>223</v>
      </c>
      <c r="AG250" t="s">
        <v>223</v>
      </c>
      <c r="AH250" t="s">
        <v>223</v>
      </c>
      <c r="AI250" t="s">
        <v>223</v>
      </c>
      <c r="AJ250" t="s">
        <v>223</v>
      </c>
      <c r="AK250" t="s">
        <v>223</v>
      </c>
      <c r="AL250" t="s">
        <v>223</v>
      </c>
      <c r="AM250" t="s">
        <v>223</v>
      </c>
      <c r="AN250" s="9">
        <v>13</v>
      </c>
    </row>
    <row r="251" spans="1:40">
      <c r="A251" t="s">
        <v>380</v>
      </c>
      <c r="B251">
        <v>15</v>
      </c>
      <c r="C251" t="s">
        <v>223</v>
      </c>
      <c r="D251" t="s">
        <v>223</v>
      </c>
      <c r="E251" t="s">
        <v>223</v>
      </c>
      <c r="F251" t="s">
        <v>223</v>
      </c>
      <c r="G251" t="s">
        <v>223</v>
      </c>
      <c r="H251" t="s">
        <v>223</v>
      </c>
      <c r="I251" t="s">
        <v>223</v>
      </c>
      <c r="J251" t="s">
        <v>223</v>
      </c>
      <c r="K251" t="s">
        <v>223</v>
      </c>
      <c r="L251" t="s">
        <v>223</v>
      </c>
      <c r="M251" t="s">
        <v>223</v>
      </c>
      <c r="N251" t="s">
        <v>223</v>
      </c>
      <c r="O251" t="s">
        <v>223</v>
      </c>
      <c r="P251" t="s">
        <v>223</v>
      </c>
      <c r="Q251" t="s">
        <v>223</v>
      </c>
      <c r="R251" t="s">
        <v>223</v>
      </c>
      <c r="S251" t="s">
        <v>223</v>
      </c>
      <c r="T251" t="s">
        <v>223</v>
      </c>
      <c r="U251" t="s">
        <v>223</v>
      </c>
      <c r="V251" t="s">
        <v>223</v>
      </c>
      <c r="W251" t="s">
        <v>223</v>
      </c>
      <c r="X251" t="s">
        <v>223</v>
      </c>
      <c r="Y251" t="s">
        <v>223</v>
      </c>
      <c r="Z251" t="s">
        <v>223</v>
      </c>
      <c r="AA251" t="s">
        <v>223</v>
      </c>
      <c r="AB251" t="s">
        <v>223</v>
      </c>
      <c r="AC251" t="s">
        <v>223</v>
      </c>
      <c r="AD251" t="s">
        <v>223</v>
      </c>
      <c r="AE251" t="s">
        <v>223</v>
      </c>
      <c r="AF251" t="s">
        <v>223</v>
      </c>
      <c r="AG251" t="s">
        <v>223</v>
      </c>
      <c r="AH251" t="s">
        <v>223</v>
      </c>
      <c r="AI251" t="s">
        <v>223</v>
      </c>
      <c r="AJ251" t="s">
        <v>223</v>
      </c>
      <c r="AK251" t="s">
        <v>223</v>
      </c>
      <c r="AL251" t="s">
        <v>223</v>
      </c>
      <c r="AM251" t="s">
        <v>223</v>
      </c>
      <c r="AN251" s="9">
        <v>15</v>
      </c>
    </row>
    <row r="252" spans="1:40">
      <c r="A252" t="s">
        <v>380</v>
      </c>
      <c r="B252">
        <v>17</v>
      </c>
      <c r="C252" t="s">
        <v>223</v>
      </c>
      <c r="D252" t="s">
        <v>223</v>
      </c>
      <c r="E252" t="s">
        <v>223</v>
      </c>
      <c r="F252" t="s">
        <v>223</v>
      </c>
      <c r="G252" t="s">
        <v>223</v>
      </c>
      <c r="H252" t="s">
        <v>223</v>
      </c>
      <c r="I252" t="s">
        <v>223</v>
      </c>
      <c r="J252" t="s">
        <v>223</v>
      </c>
      <c r="K252" t="s">
        <v>223</v>
      </c>
      <c r="L252" t="s">
        <v>223</v>
      </c>
      <c r="M252" t="s">
        <v>223</v>
      </c>
      <c r="N252" t="s">
        <v>223</v>
      </c>
      <c r="O252" t="s">
        <v>223</v>
      </c>
      <c r="P252" t="s">
        <v>223</v>
      </c>
      <c r="Q252" t="s">
        <v>223</v>
      </c>
      <c r="R252" t="s">
        <v>223</v>
      </c>
      <c r="S252" t="s">
        <v>223</v>
      </c>
      <c r="T252" t="s">
        <v>223</v>
      </c>
      <c r="U252" t="s">
        <v>223</v>
      </c>
      <c r="V252" t="s">
        <v>223</v>
      </c>
      <c r="W252" t="s">
        <v>223</v>
      </c>
      <c r="X252" t="s">
        <v>223</v>
      </c>
      <c r="Y252" t="s">
        <v>223</v>
      </c>
      <c r="Z252" t="s">
        <v>223</v>
      </c>
      <c r="AA252" t="s">
        <v>223</v>
      </c>
      <c r="AB252" t="s">
        <v>223</v>
      </c>
      <c r="AC252" t="s">
        <v>223</v>
      </c>
      <c r="AD252" t="s">
        <v>223</v>
      </c>
      <c r="AE252" t="s">
        <v>223</v>
      </c>
      <c r="AF252" t="s">
        <v>223</v>
      </c>
      <c r="AG252" t="s">
        <v>223</v>
      </c>
      <c r="AH252" t="s">
        <v>223</v>
      </c>
      <c r="AI252" t="s">
        <v>223</v>
      </c>
      <c r="AJ252" t="s">
        <v>223</v>
      </c>
      <c r="AK252" t="s">
        <v>223</v>
      </c>
      <c r="AL252" t="s">
        <v>223</v>
      </c>
      <c r="AM252" t="s">
        <v>223</v>
      </c>
      <c r="AN252" s="9">
        <v>17</v>
      </c>
    </row>
    <row r="253" spans="1:40">
      <c r="A253" t="s">
        <v>380</v>
      </c>
      <c r="B253">
        <v>19</v>
      </c>
      <c r="C253" t="s">
        <v>223</v>
      </c>
      <c r="D253" t="s">
        <v>223</v>
      </c>
      <c r="E253" t="s">
        <v>223</v>
      </c>
      <c r="F253" t="s">
        <v>223</v>
      </c>
      <c r="G253" t="s">
        <v>223</v>
      </c>
      <c r="H253" t="s">
        <v>223</v>
      </c>
      <c r="I253" t="s">
        <v>223</v>
      </c>
      <c r="J253" t="s">
        <v>223</v>
      </c>
      <c r="K253" t="s">
        <v>223</v>
      </c>
      <c r="L253" t="s">
        <v>223</v>
      </c>
      <c r="M253" t="s">
        <v>223</v>
      </c>
      <c r="N253" t="s">
        <v>223</v>
      </c>
      <c r="O253" t="s">
        <v>223</v>
      </c>
      <c r="P253" t="s">
        <v>223</v>
      </c>
      <c r="Q253" t="s">
        <v>223</v>
      </c>
      <c r="R253" t="s">
        <v>223</v>
      </c>
      <c r="S253" t="s">
        <v>223</v>
      </c>
      <c r="T253" t="s">
        <v>223</v>
      </c>
      <c r="U253" t="s">
        <v>223</v>
      </c>
      <c r="V253" t="s">
        <v>223</v>
      </c>
      <c r="W253" t="s">
        <v>223</v>
      </c>
      <c r="X253" t="s">
        <v>223</v>
      </c>
      <c r="Y253" t="s">
        <v>223</v>
      </c>
      <c r="Z253" t="s">
        <v>223</v>
      </c>
      <c r="AA253" t="s">
        <v>223</v>
      </c>
      <c r="AB253" t="s">
        <v>223</v>
      </c>
      <c r="AC253" t="s">
        <v>223</v>
      </c>
      <c r="AD253" t="s">
        <v>223</v>
      </c>
      <c r="AE253" t="s">
        <v>223</v>
      </c>
      <c r="AF253" t="s">
        <v>223</v>
      </c>
      <c r="AG253" t="s">
        <v>223</v>
      </c>
      <c r="AH253" t="s">
        <v>223</v>
      </c>
      <c r="AI253" t="s">
        <v>223</v>
      </c>
      <c r="AJ253" t="s">
        <v>223</v>
      </c>
      <c r="AK253" t="s">
        <v>223</v>
      </c>
      <c r="AL253" t="s">
        <v>223</v>
      </c>
      <c r="AM253" t="s">
        <v>223</v>
      </c>
      <c r="AN253" s="9">
        <v>19</v>
      </c>
    </row>
    <row r="254" spans="1:40">
      <c r="A254" t="s">
        <v>380</v>
      </c>
      <c r="B254">
        <v>21</v>
      </c>
      <c r="C254" t="s">
        <v>223</v>
      </c>
      <c r="D254" t="s">
        <v>223</v>
      </c>
      <c r="E254" t="s">
        <v>223</v>
      </c>
      <c r="F254" t="s">
        <v>223</v>
      </c>
      <c r="G254" t="s">
        <v>223</v>
      </c>
      <c r="H254" t="s">
        <v>223</v>
      </c>
      <c r="I254" t="s">
        <v>223</v>
      </c>
      <c r="J254" t="s">
        <v>223</v>
      </c>
      <c r="K254" t="s">
        <v>223</v>
      </c>
      <c r="L254" t="s">
        <v>223</v>
      </c>
      <c r="M254" t="s">
        <v>223</v>
      </c>
      <c r="N254" t="s">
        <v>223</v>
      </c>
      <c r="O254" t="s">
        <v>223</v>
      </c>
      <c r="P254" t="s">
        <v>223</v>
      </c>
      <c r="Q254" t="s">
        <v>223</v>
      </c>
      <c r="R254" t="s">
        <v>223</v>
      </c>
      <c r="S254" t="s">
        <v>223</v>
      </c>
      <c r="T254" t="s">
        <v>223</v>
      </c>
      <c r="U254" t="s">
        <v>223</v>
      </c>
      <c r="V254" t="s">
        <v>223</v>
      </c>
      <c r="W254" t="s">
        <v>223</v>
      </c>
      <c r="X254" t="s">
        <v>223</v>
      </c>
      <c r="Y254" t="s">
        <v>223</v>
      </c>
      <c r="Z254" t="s">
        <v>223</v>
      </c>
      <c r="AA254" t="s">
        <v>223</v>
      </c>
      <c r="AB254" t="s">
        <v>223</v>
      </c>
      <c r="AC254" t="s">
        <v>223</v>
      </c>
      <c r="AD254" t="s">
        <v>223</v>
      </c>
      <c r="AE254" t="s">
        <v>223</v>
      </c>
      <c r="AF254" t="s">
        <v>223</v>
      </c>
      <c r="AG254" t="s">
        <v>223</v>
      </c>
      <c r="AH254" t="s">
        <v>223</v>
      </c>
      <c r="AI254" t="s">
        <v>223</v>
      </c>
      <c r="AJ254" t="s">
        <v>223</v>
      </c>
      <c r="AK254" t="s">
        <v>223</v>
      </c>
      <c r="AL254" t="s">
        <v>223</v>
      </c>
      <c r="AM254" t="s">
        <v>223</v>
      </c>
      <c r="AN254" s="9">
        <v>21</v>
      </c>
    </row>
    <row r="255" spans="1:40">
      <c r="A255" t="s">
        <v>380</v>
      </c>
      <c r="B255">
        <v>23</v>
      </c>
      <c r="C255" t="s">
        <v>223</v>
      </c>
      <c r="D255" t="s">
        <v>223</v>
      </c>
      <c r="E255" t="s">
        <v>223</v>
      </c>
      <c r="F255" t="s">
        <v>223</v>
      </c>
      <c r="G255" t="s">
        <v>223</v>
      </c>
      <c r="H255" t="s">
        <v>223</v>
      </c>
      <c r="I255" t="s">
        <v>223</v>
      </c>
      <c r="J255" t="s">
        <v>223</v>
      </c>
      <c r="K255" t="s">
        <v>223</v>
      </c>
      <c r="L255" t="s">
        <v>223</v>
      </c>
      <c r="M255" t="s">
        <v>223</v>
      </c>
      <c r="N255" t="s">
        <v>223</v>
      </c>
      <c r="O255" t="s">
        <v>223</v>
      </c>
      <c r="P255" t="s">
        <v>223</v>
      </c>
      <c r="Q255" t="s">
        <v>223</v>
      </c>
      <c r="R255" t="s">
        <v>223</v>
      </c>
      <c r="S255" t="s">
        <v>223</v>
      </c>
      <c r="T255" t="s">
        <v>223</v>
      </c>
      <c r="U255" t="s">
        <v>223</v>
      </c>
      <c r="V255" t="s">
        <v>223</v>
      </c>
      <c r="W255" t="s">
        <v>223</v>
      </c>
      <c r="X255" t="s">
        <v>223</v>
      </c>
      <c r="Y255" t="s">
        <v>223</v>
      </c>
      <c r="Z255" t="s">
        <v>223</v>
      </c>
      <c r="AA255" t="s">
        <v>223</v>
      </c>
      <c r="AB255" t="s">
        <v>223</v>
      </c>
      <c r="AC255" t="s">
        <v>223</v>
      </c>
      <c r="AD255" t="s">
        <v>223</v>
      </c>
      <c r="AE255" t="s">
        <v>223</v>
      </c>
      <c r="AF255" t="s">
        <v>223</v>
      </c>
      <c r="AG255" t="s">
        <v>223</v>
      </c>
      <c r="AH255" t="s">
        <v>223</v>
      </c>
      <c r="AI255" t="s">
        <v>223</v>
      </c>
      <c r="AJ255" t="s">
        <v>223</v>
      </c>
      <c r="AK255" t="s">
        <v>223</v>
      </c>
      <c r="AL255" t="s">
        <v>223</v>
      </c>
      <c r="AM255" t="s">
        <v>223</v>
      </c>
      <c r="AN255" s="9">
        <v>23</v>
      </c>
    </row>
    <row r="256" spans="1:40">
      <c r="A256" t="s">
        <v>380</v>
      </c>
      <c r="B256">
        <v>25</v>
      </c>
      <c r="C256" t="s">
        <v>223</v>
      </c>
      <c r="D256" t="s">
        <v>223</v>
      </c>
      <c r="E256" t="s">
        <v>223</v>
      </c>
      <c r="F256" t="s">
        <v>223</v>
      </c>
      <c r="G256" t="s">
        <v>223</v>
      </c>
      <c r="H256" t="s">
        <v>223</v>
      </c>
      <c r="I256" t="s">
        <v>223</v>
      </c>
      <c r="J256" t="s">
        <v>223</v>
      </c>
      <c r="K256" t="s">
        <v>223</v>
      </c>
      <c r="L256" t="s">
        <v>223</v>
      </c>
      <c r="M256" t="s">
        <v>223</v>
      </c>
      <c r="N256" t="s">
        <v>223</v>
      </c>
      <c r="O256" t="s">
        <v>223</v>
      </c>
      <c r="P256" t="s">
        <v>223</v>
      </c>
      <c r="Q256" t="s">
        <v>223</v>
      </c>
      <c r="R256" t="s">
        <v>223</v>
      </c>
      <c r="S256" t="s">
        <v>223</v>
      </c>
      <c r="T256" t="s">
        <v>223</v>
      </c>
      <c r="U256" t="s">
        <v>223</v>
      </c>
      <c r="V256" t="s">
        <v>223</v>
      </c>
      <c r="W256" t="s">
        <v>223</v>
      </c>
      <c r="X256" t="s">
        <v>223</v>
      </c>
      <c r="Y256" t="s">
        <v>223</v>
      </c>
      <c r="Z256" t="s">
        <v>223</v>
      </c>
      <c r="AA256" t="s">
        <v>223</v>
      </c>
      <c r="AB256" t="s">
        <v>223</v>
      </c>
      <c r="AC256" t="s">
        <v>223</v>
      </c>
      <c r="AD256" t="s">
        <v>223</v>
      </c>
      <c r="AE256" t="s">
        <v>223</v>
      </c>
      <c r="AF256" t="s">
        <v>223</v>
      </c>
      <c r="AG256" t="s">
        <v>223</v>
      </c>
      <c r="AH256" t="s">
        <v>223</v>
      </c>
      <c r="AI256" t="s">
        <v>223</v>
      </c>
      <c r="AJ256" t="s">
        <v>223</v>
      </c>
      <c r="AK256" t="s">
        <v>223</v>
      </c>
      <c r="AL256" t="s">
        <v>223</v>
      </c>
      <c r="AM256" t="s">
        <v>223</v>
      </c>
      <c r="AN256" s="9">
        <v>25</v>
      </c>
    </row>
    <row r="257" spans="1:40">
      <c r="A257" t="s">
        <v>380</v>
      </c>
      <c r="B257">
        <v>27</v>
      </c>
      <c r="C257" t="s">
        <v>223</v>
      </c>
      <c r="D257" t="s">
        <v>223</v>
      </c>
      <c r="E257" t="s">
        <v>223</v>
      </c>
      <c r="F257" t="s">
        <v>223</v>
      </c>
      <c r="G257" t="s">
        <v>223</v>
      </c>
      <c r="H257" t="s">
        <v>223</v>
      </c>
      <c r="I257" t="s">
        <v>223</v>
      </c>
      <c r="J257" t="s">
        <v>223</v>
      </c>
      <c r="K257" t="s">
        <v>223</v>
      </c>
      <c r="L257" t="s">
        <v>223</v>
      </c>
      <c r="M257" t="s">
        <v>223</v>
      </c>
      <c r="N257" t="s">
        <v>223</v>
      </c>
      <c r="O257" t="s">
        <v>223</v>
      </c>
      <c r="P257" t="s">
        <v>223</v>
      </c>
      <c r="Q257" t="s">
        <v>223</v>
      </c>
      <c r="R257" t="s">
        <v>223</v>
      </c>
      <c r="S257" t="s">
        <v>223</v>
      </c>
      <c r="T257" t="s">
        <v>223</v>
      </c>
      <c r="U257" t="s">
        <v>223</v>
      </c>
      <c r="V257" t="s">
        <v>223</v>
      </c>
      <c r="W257" t="s">
        <v>223</v>
      </c>
      <c r="X257" t="s">
        <v>223</v>
      </c>
      <c r="Y257" t="s">
        <v>223</v>
      </c>
      <c r="Z257" t="s">
        <v>223</v>
      </c>
      <c r="AA257" t="s">
        <v>223</v>
      </c>
      <c r="AB257" t="s">
        <v>223</v>
      </c>
      <c r="AC257" t="s">
        <v>223</v>
      </c>
      <c r="AD257" t="s">
        <v>223</v>
      </c>
      <c r="AE257" t="s">
        <v>223</v>
      </c>
      <c r="AF257" t="s">
        <v>223</v>
      </c>
      <c r="AG257" t="s">
        <v>223</v>
      </c>
      <c r="AH257" t="s">
        <v>223</v>
      </c>
      <c r="AI257" t="s">
        <v>223</v>
      </c>
      <c r="AJ257" t="s">
        <v>223</v>
      </c>
      <c r="AK257" t="s">
        <v>223</v>
      </c>
      <c r="AL257" t="s">
        <v>223</v>
      </c>
      <c r="AM257" t="s">
        <v>223</v>
      </c>
      <c r="AN257" s="9">
        <v>27</v>
      </c>
    </row>
    <row r="258" spans="1:40">
      <c r="A258" t="s">
        <v>380</v>
      </c>
      <c r="B258">
        <v>29</v>
      </c>
      <c r="C258" t="s">
        <v>223</v>
      </c>
      <c r="D258" t="s">
        <v>223</v>
      </c>
      <c r="E258" t="s">
        <v>223</v>
      </c>
      <c r="F258" t="s">
        <v>223</v>
      </c>
      <c r="G258" t="s">
        <v>223</v>
      </c>
      <c r="H258" t="s">
        <v>223</v>
      </c>
      <c r="I258" t="s">
        <v>223</v>
      </c>
      <c r="J258" t="s">
        <v>223</v>
      </c>
      <c r="K258" t="s">
        <v>223</v>
      </c>
      <c r="L258" t="s">
        <v>223</v>
      </c>
      <c r="M258" t="s">
        <v>223</v>
      </c>
      <c r="N258" t="s">
        <v>223</v>
      </c>
      <c r="O258" t="s">
        <v>223</v>
      </c>
      <c r="P258" t="s">
        <v>223</v>
      </c>
      <c r="Q258" t="s">
        <v>223</v>
      </c>
      <c r="R258" t="s">
        <v>223</v>
      </c>
      <c r="S258" t="s">
        <v>223</v>
      </c>
      <c r="T258" t="s">
        <v>223</v>
      </c>
      <c r="U258" t="s">
        <v>223</v>
      </c>
      <c r="V258" t="s">
        <v>223</v>
      </c>
      <c r="W258" t="s">
        <v>223</v>
      </c>
      <c r="X258" t="s">
        <v>223</v>
      </c>
      <c r="Y258" t="s">
        <v>223</v>
      </c>
      <c r="Z258" t="s">
        <v>223</v>
      </c>
      <c r="AA258" t="s">
        <v>223</v>
      </c>
      <c r="AB258" t="s">
        <v>223</v>
      </c>
      <c r="AC258" t="s">
        <v>223</v>
      </c>
      <c r="AD258" t="s">
        <v>223</v>
      </c>
      <c r="AE258" t="s">
        <v>223</v>
      </c>
      <c r="AF258" t="s">
        <v>223</v>
      </c>
      <c r="AG258" t="s">
        <v>223</v>
      </c>
      <c r="AH258" t="s">
        <v>223</v>
      </c>
      <c r="AI258" t="s">
        <v>223</v>
      </c>
      <c r="AJ258" t="s">
        <v>223</v>
      </c>
      <c r="AK258" t="s">
        <v>223</v>
      </c>
      <c r="AL258" t="s">
        <v>223</v>
      </c>
      <c r="AM258" t="s">
        <v>223</v>
      </c>
      <c r="AN258" s="9">
        <v>29</v>
      </c>
    </row>
    <row r="259" spans="1:40">
      <c r="A259" t="s">
        <v>380</v>
      </c>
      <c r="B259">
        <v>31</v>
      </c>
      <c r="C259" t="s">
        <v>223</v>
      </c>
      <c r="D259" t="s">
        <v>223</v>
      </c>
      <c r="E259" t="s">
        <v>223</v>
      </c>
      <c r="F259" t="s">
        <v>223</v>
      </c>
      <c r="G259" t="s">
        <v>223</v>
      </c>
      <c r="H259" t="s">
        <v>223</v>
      </c>
      <c r="I259" t="s">
        <v>223</v>
      </c>
      <c r="J259" t="s">
        <v>223</v>
      </c>
      <c r="K259" t="s">
        <v>223</v>
      </c>
      <c r="L259" t="s">
        <v>223</v>
      </c>
      <c r="M259" t="s">
        <v>223</v>
      </c>
      <c r="N259" t="s">
        <v>223</v>
      </c>
      <c r="O259" t="s">
        <v>223</v>
      </c>
      <c r="P259" t="s">
        <v>223</v>
      </c>
      <c r="Q259" t="s">
        <v>223</v>
      </c>
      <c r="R259" t="s">
        <v>223</v>
      </c>
      <c r="S259" t="s">
        <v>223</v>
      </c>
      <c r="T259" t="s">
        <v>223</v>
      </c>
      <c r="U259" t="s">
        <v>223</v>
      </c>
      <c r="V259" t="s">
        <v>223</v>
      </c>
      <c r="W259" t="s">
        <v>223</v>
      </c>
      <c r="X259" t="s">
        <v>223</v>
      </c>
      <c r="Y259" t="s">
        <v>223</v>
      </c>
      <c r="Z259" t="s">
        <v>223</v>
      </c>
      <c r="AA259" t="s">
        <v>223</v>
      </c>
      <c r="AB259" t="s">
        <v>223</v>
      </c>
      <c r="AC259" t="s">
        <v>223</v>
      </c>
      <c r="AD259" t="s">
        <v>223</v>
      </c>
      <c r="AE259" t="s">
        <v>223</v>
      </c>
      <c r="AF259" t="s">
        <v>223</v>
      </c>
      <c r="AG259" t="s">
        <v>223</v>
      </c>
      <c r="AH259" t="s">
        <v>223</v>
      </c>
      <c r="AI259" t="s">
        <v>223</v>
      </c>
      <c r="AJ259" t="s">
        <v>223</v>
      </c>
      <c r="AK259" t="s">
        <v>223</v>
      </c>
      <c r="AL259" t="s">
        <v>223</v>
      </c>
      <c r="AM259" t="s">
        <v>223</v>
      </c>
      <c r="AN259" s="9">
        <v>31</v>
      </c>
    </row>
    <row r="260" spans="1:40">
      <c r="A260" t="s">
        <v>380</v>
      </c>
      <c r="B260">
        <v>33</v>
      </c>
      <c r="C260" t="s">
        <v>223</v>
      </c>
      <c r="D260" t="s">
        <v>223</v>
      </c>
      <c r="E260" t="s">
        <v>223</v>
      </c>
      <c r="F260" t="s">
        <v>223</v>
      </c>
      <c r="G260" t="s">
        <v>223</v>
      </c>
      <c r="H260" t="s">
        <v>223</v>
      </c>
      <c r="I260" t="s">
        <v>223</v>
      </c>
      <c r="J260" t="s">
        <v>223</v>
      </c>
      <c r="K260" t="s">
        <v>223</v>
      </c>
      <c r="L260" t="s">
        <v>223</v>
      </c>
      <c r="M260" t="s">
        <v>223</v>
      </c>
      <c r="N260" t="s">
        <v>223</v>
      </c>
      <c r="O260" t="s">
        <v>223</v>
      </c>
      <c r="P260" t="s">
        <v>223</v>
      </c>
      <c r="Q260" t="s">
        <v>223</v>
      </c>
      <c r="R260" t="s">
        <v>223</v>
      </c>
      <c r="S260" t="s">
        <v>223</v>
      </c>
      <c r="T260" t="s">
        <v>223</v>
      </c>
      <c r="U260" t="s">
        <v>223</v>
      </c>
      <c r="V260" t="s">
        <v>223</v>
      </c>
      <c r="W260" t="s">
        <v>223</v>
      </c>
      <c r="X260" t="s">
        <v>223</v>
      </c>
      <c r="Y260" t="s">
        <v>223</v>
      </c>
      <c r="Z260" t="s">
        <v>223</v>
      </c>
      <c r="AA260" t="s">
        <v>223</v>
      </c>
      <c r="AB260" t="s">
        <v>223</v>
      </c>
      <c r="AC260" t="s">
        <v>223</v>
      </c>
      <c r="AD260" t="s">
        <v>223</v>
      </c>
      <c r="AE260" t="s">
        <v>223</v>
      </c>
      <c r="AF260" t="s">
        <v>223</v>
      </c>
      <c r="AG260" t="s">
        <v>223</v>
      </c>
      <c r="AH260" t="s">
        <v>223</v>
      </c>
      <c r="AI260" t="s">
        <v>223</v>
      </c>
      <c r="AJ260" t="s">
        <v>223</v>
      </c>
      <c r="AK260" t="s">
        <v>223</v>
      </c>
      <c r="AL260" t="s">
        <v>223</v>
      </c>
      <c r="AM260" t="s">
        <v>223</v>
      </c>
      <c r="AN260" s="9">
        <v>33</v>
      </c>
    </row>
    <row r="261" spans="1:40">
      <c r="A261" t="s">
        <v>380</v>
      </c>
      <c r="B261">
        <v>35</v>
      </c>
      <c r="C261" t="s">
        <v>223</v>
      </c>
      <c r="D261" t="s">
        <v>223</v>
      </c>
      <c r="E261" t="s">
        <v>223</v>
      </c>
      <c r="F261" t="s">
        <v>223</v>
      </c>
      <c r="G261" t="s">
        <v>223</v>
      </c>
      <c r="H261" t="s">
        <v>223</v>
      </c>
      <c r="I261" t="s">
        <v>223</v>
      </c>
      <c r="J261" t="s">
        <v>223</v>
      </c>
      <c r="K261" t="s">
        <v>223</v>
      </c>
      <c r="L261" t="s">
        <v>223</v>
      </c>
      <c r="M261" t="s">
        <v>223</v>
      </c>
      <c r="N261" t="s">
        <v>223</v>
      </c>
      <c r="O261" t="s">
        <v>223</v>
      </c>
      <c r="P261" t="s">
        <v>223</v>
      </c>
      <c r="Q261" t="s">
        <v>223</v>
      </c>
      <c r="R261" t="s">
        <v>223</v>
      </c>
      <c r="S261" t="s">
        <v>223</v>
      </c>
      <c r="T261" t="s">
        <v>223</v>
      </c>
      <c r="U261" t="s">
        <v>223</v>
      </c>
      <c r="V261" t="s">
        <v>223</v>
      </c>
      <c r="W261" t="s">
        <v>223</v>
      </c>
      <c r="X261" t="s">
        <v>223</v>
      </c>
      <c r="Y261" t="s">
        <v>223</v>
      </c>
      <c r="Z261" t="s">
        <v>223</v>
      </c>
      <c r="AA261" t="s">
        <v>223</v>
      </c>
      <c r="AB261" t="s">
        <v>223</v>
      </c>
      <c r="AC261" t="s">
        <v>223</v>
      </c>
      <c r="AD261" t="s">
        <v>223</v>
      </c>
      <c r="AE261" t="s">
        <v>223</v>
      </c>
      <c r="AF261" t="s">
        <v>223</v>
      </c>
      <c r="AG261" t="s">
        <v>223</v>
      </c>
      <c r="AH261" t="s">
        <v>223</v>
      </c>
      <c r="AI261" t="s">
        <v>223</v>
      </c>
      <c r="AJ261" t="s">
        <v>223</v>
      </c>
      <c r="AK261" t="s">
        <v>223</v>
      </c>
      <c r="AL261" t="s">
        <v>223</v>
      </c>
      <c r="AM261" t="s">
        <v>223</v>
      </c>
      <c r="AN261" s="9">
        <v>35</v>
      </c>
    </row>
    <row r="262" spans="1:40">
      <c r="A262" t="s">
        <v>380</v>
      </c>
      <c r="B262">
        <v>37</v>
      </c>
      <c r="C262" t="s">
        <v>223</v>
      </c>
      <c r="D262" t="s">
        <v>223</v>
      </c>
      <c r="E262" t="s">
        <v>223</v>
      </c>
      <c r="F262" t="s">
        <v>223</v>
      </c>
      <c r="G262" t="s">
        <v>223</v>
      </c>
      <c r="H262" t="s">
        <v>223</v>
      </c>
      <c r="I262" t="s">
        <v>223</v>
      </c>
      <c r="J262" t="s">
        <v>223</v>
      </c>
      <c r="K262" t="s">
        <v>223</v>
      </c>
      <c r="L262" t="s">
        <v>223</v>
      </c>
      <c r="M262" t="s">
        <v>223</v>
      </c>
      <c r="N262" t="s">
        <v>223</v>
      </c>
      <c r="O262" t="s">
        <v>223</v>
      </c>
      <c r="P262" t="s">
        <v>223</v>
      </c>
      <c r="Q262" t="s">
        <v>223</v>
      </c>
      <c r="R262" t="s">
        <v>223</v>
      </c>
      <c r="S262" t="s">
        <v>223</v>
      </c>
      <c r="T262" t="s">
        <v>223</v>
      </c>
      <c r="U262" t="s">
        <v>223</v>
      </c>
      <c r="V262" t="s">
        <v>223</v>
      </c>
      <c r="W262" t="s">
        <v>223</v>
      </c>
      <c r="X262" t="s">
        <v>223</v>
      </c>
      <c r="Y262" t="s">
        <v>223</v>
      </c>
      <c r="Z262" t="s">
        <v>223</v>
      </c>
      <c r="AA262" t="s">
        <v>223</v>
      </c>
      <c r="AB262" t="s">
        <v>223</v>
      </c>
      <c r="AC262" t="s">
        <v>223</v>
      </c>
      <c r="AD262" t="s">
        <v>223</v>
      </c>
      <c r="AE262" t="s">
        <v>223</v>
      </c>
      <c r="AF262" t="s">
        <v>223</v>
      </c>
      <c r="AG262" t="s">
        <v>223</v>
      </c>
      <c r="AH262" t="s">
        <v>223</v>
      </c>
      <c r="AI262" t="s">
        <v>223</v>
      </c>
      <c r="AJ262" t="s">
        <v>223</v>
      </c>
      <c r="AK262" t="s">
        <v>223</v>
      </c>
      <c r="AL262" t="s">
        <v>223</v>
      </c>
      <c r="AM262" t="s">
        <v>223</v>
      </c>
      <c r="AN262" s="9">
        <v>37</v>
      </c>
    </row>
    <row r="263" spans="1:40">
      <c r="A263" t="s">
        <v>380</v>
      </c>
      <c r="B263">
        <v>39</v>
      </c>
      <c r="C263" t="s">
        <v>223</v>
      </c>
      <c r="D263" t="s">
        <v>223</v>
      </c>
      <c r="E263" t="s">
        <v>223</v>
      </c>
      <c r="F263" t="s">
        <v>223</v>
      </c>
      <c r="G263" t="s">
        <v>223</v>
      </c>
      <c r="H263" t="s">
        <v>223</v>
      </c>
      <c r="I263" t="s">
        <v>223</v>
      </c>
      <c r="J263" t="s">
        <v>223</v>
      </c>
      <c r="K263" t="s">
        <v>223</v>
      </c>
      <c r="L263" t="s">
        <v>223</v>
      </c>
      <c r="M263" t="s">
        <v>223</v>
      </c>
      <c r="N263" t="s">
        <v>223</v>
      </c>
      <c r="O263" t="s">
        <v>223</v>
      </c>
      <c r="P263" t="s">
        <v>223</v>
      </c>
      <c r="Q263" t="s">
        <v>223</v>
      </c>
      <c r="R263" t="s">
        <v>223</v>
      </c>
      <c r="S263" t="s">
        <v>223</v>
      </c>
      <c r="T263" t="s">
        <v>223</v>
      </c>
      <c r="U263" t="s">
        <v>223</v>
      </c>
      <c r="V263" t="s">
        <v>223</v>
      </c>
      <c r="W263" t="s">
        <v>223</v>
      </c>
      <c r="X263" t="s">
        <v>223</v>
      </c>
      <c r="Y263" t="s">
        <v>223</v>
      </c>
      <c r="Z263" t="s">
        <v>223</v>
      </c>
      <c r="AA263" t="s">
        <v>223</v>
      </c>
      <c r="AB263" t="s">
        <v>223</v>
      </c>
      <c r="AC263" t="s">
        <v>223</v>
      </c>
      <c r="AD263" t="s">
        <v>223</v>
      </c>
      <c r="AE263" t="s">
        <v>223</v>
      </c>
      <c r="AF263" t="s">
        <v>223</v>
      </c>
      <c r="AG263" t="s">
        <v>223</v>
      </c>
      <c r="AH263" t="s">
        <v>223</v>
      </c>
      <c r="AI263" t="s">
        <v>223</v>
      </c>
      <c r="AJ263" t="s">
        <v>223</v>
      </c>
      <c r="AK263" t="s">
        <v>223</v>
      </c>
      <c r="AL263" t="s">
        <v>223</v>
      </c>
      <c r="AM263" t="s">
        <v>223</v>
      </c>
      <c r="AN263" s="9">
        <v>39</v>
      </c>
    </row>
    <row r="264" spans="1:40">
      <c r="A264" t="s">
        <v>380</v>
      </c>
      <c r="B264">
        <v>41</v>
      </c>
      <c r="C264" t="s">
        <v>223</v>
      </c>
      <c r="D264" t="s">
        <v>223</v>
      </c>
      <c r="E264" t="s">
        <v>223</v>
      </c>
      <c r="F264" t="s">
        <v>223</v>
      </c>
      <c r="G264" t="s">
        <v>223</v>
      </c>
      <c r="H264" t="s">
        <v>223</v>
      </c>
      <c r="I264" t="s">
        <v>223</v>
      </c>
      <c r="J264" t="s">
        <v>223</v>
      </c>
      <c r="K264" t="s">
        <v>223</v>
      </c>
      <c r="L264" t="s">
        <v>223</v>
      </c>
      <c r="M264" t="s">
        <v>223</v>
      </c>
      <c r="N264" t="s">
        <v>223</v>
      </c>
      <c r="O264" t="s">
        <v>223</v>
      </c>
      <c r="P264" t="s">
        <v>223</v>
      </c>
      <c r="Q264" t="s">
        <v>223</v>
      </c>
      <c r="R264" t="s">
        <v>223</v>
      </c>
      <c r="S264" t="s">
        <v>223</v>
      </c>
      <c r="T264" t="s">
        <v>223</v>
      </c>
      <c r="U264" t="s">
        <v>223</v>
      </c>
      <c r="V264" t="s">
        <v>223</v>
      </c>
      <c r="W264" t="s">
        <v>223</v>
      </c>
      <c r="X264" t="s">
        <v>223</v>
      </c>
      <c r="Y264" t="s">
        <v>223</v>
      </c>
      <c r="Z264" t="s">
        <v>223</v>
      </c>
      <c r="AA264" t="s">
        <v>223</v>
      </c>
      <c r="AB264" t="s">
        <v>223</v>
      </c>
      <c r="AC264" t="s">
        <v>223</v>
      </c>
      <c r="AD264" t="s">
        <v>223</v>
      </c>
      <c r="AE264" t="s">
        <v>223</v>
      </c>
      <c r="AF264" t="s">
        <v>223</v>
      </c>
      <c r="AG264" t="s">
        <v>223</v>
      </c>
      <c r="AH264" t="s">
        <v>223</v>
      </c>
      <c r="AI264" t="s">
        <v>223</v>
      </c>
      <c r="AJ264" t="s">
        <v>223</v>
      </c>
      <c r="AK264" t="s">
        <v>223</v>
      </c>
      <c r="AL264" t="s">
        <v>223</v>
      </c>
      <c r="AM264" t="s">
        <v>223</v>
      </c>
      <c r="AN264" s="9">
        <v>41</v>
      </c>
    </row>
    <row r="265" spans="1:40">
      <c r="A265" t="s">
        <v>380</v>
      </c>
      <c r="B265">
        <v>43</v>
      </c>
      <c r="C265" t="s">
        <v>223</v>
      </c>
      <c r="D265" t="s">
        <v>223</v>
      </c>
      <c r="E265" t="s">
        <v>223</v>
      </c>
      <c r="F265" t="s">
        <v>223</v>
      </c>
      <c r="G265" t="s">
        <v>223</v>
      </c>
      <c r="H265" t="s">
        <v>223</v>
      </c>
      <c r="I265" t="s">
        <v>223</v>
      </c>
      <c r="J265" t="s">
        <v>223</v>
      </c>
      <c r="K265" t="s">
        <v>223</v>
      </c>
      <c r="L265" t="s">
        <v>223</v>
      </c>
      <c r="M265" t="s">
        <v>223</v>
      </c>
      <c r="N265" t="s">
        <v>223</v>
      </c>
      <c r="O265" t="s">
        <v>223</v>
      </c>
      <c r="P265" t="s">
        <v>223</v>
      </c>
      <c r="Q265" t="s">
        <v>223</v>
      </c>
      <c r="R265" t="s">
        <v>223</v>
      </c>
      <c r="S265" t="s">
        <v>223</v>
      </c>
      <c r="T265" t="s">
        <v>223</v>
      </c>
      <c r="U265" t="s">
        <v>223</v>
      </c>
      <c r="V265" t="s">
        <v>223</v>
      </c>
      <c r="W265" t="s">
        <v>223</v>
      </c>
      <c r="X265" t="s">
        <v>223</v>
      </c>
      <c r="Y265" t="s">
        <v>223</v>
      </c>
      <c r="Z265" t="s">
        <v>223</v>
      </c>
      <c r="AA265" t="s">
        <v>223</v>
      </c>
      <c r="AB265" t="s">
        <v>223</v>
      </c>
      <c r="AC265" t="s">
        <v>223</v>
      </c>
      <c r="AD265" t="s">
        <v>223</v>
      </c>
      <c r="AE265" t="s">
        <v>223</v>
      </c>
      <c r="AF265" t="s">
        <v>223</v>
      </c>
      <c r="AG265" t="s">
        <v>223</v>
      </c>
      <c r="AH265" t="s">
        <v>223</v>
      </c>
      <c r="AI265" t="s">
        <v>223</v>
      </c>
      <c r="AJ265" t="s">
        <v>223</v>
      </c>
      <c r="AK265" t="s">
        <v>223</v>
      </c>
      <c r="AL265" t="s">
        <v>223</v>
      </c>
      <c r="AM265" t="s">
        <v>223</v>
      </c>
      <c r="AN265" s="9">
        <v>43</v>
      </c>
    </row>
    <row r="266" spans="1:40">
      <c r="A266" t="s">
        <v>380</v>
      </c>
      <c r="B266">
        <v>45</v>
      </c>
      <c r="C266" t="s">
        <v>223</v>
      </c>
      <c r="D266" t="s">
        <v>223</v>
      </c>
      <c r="E266" t="s">
        <v>223</v>
      </c>
      <c r="F266" t="s">
        <v>223</v>
      </c>
      <c r="G266" t="s">
        <v>223</v>
      </c>
      <c r="H266" t="s">
        <v>223</v>
      </c>
      <c r="I266" t="s">
        <v>223</v>
      </c>
      <c r="J266" t="s">
        <v>223</v>
      </c>
      <c r="K266" t="s">
        <v>223</v>
      </c>
      <c r="L266" t="s">
        <v>223</v>
      </c>
      <c r="M266" t="s">
        <v>223</v>
      </c>
      <c r="N266" t="s">
        <v>223</v>
      </c>
      <c r="O266" t="s">
        <v>223</v>
      </c>
      <c r="P266" t="s">
        <v>223</v>
      </c>
      <c r="Q266" t="s">
        <v>223</v>
      </c>
      <c r="R266" t="s">
        <v>223</v>
      </c>
      <c r="S266" t="s">
        <v>223</v>
      </c>
      <c r="T266" t="s">
        <v>223</v>
      </c>
      <c r="U266" t="s">
        <v>223</v>
      </c>
      <c r="V266" t="s">
        <v>223</v>
      </c>
      <c r="W266" t="s">
        <v>223</v>
      </c>
      <c r="X266" t="s">
        <v>223</v>
      </c>
      <c r="Y266" t="s">
        <v>223</v>
      </c>
      <c r="Z266" t="s">
        <v>223</v>
      </c>
      <c r="AA266" t="s">
        <v>223</v>
      </c>
      <c r="AB266" t="s">
        <v>223</v>
      </c>
      <c r="AC266" t="s">
        <v>223</v>
      </c>
      <c r="AD266" t="s">
        <v>223</v>
      </c>
      <c r="AE266" t="s">
        <v>223</v>
      </c>
      <c r="AF266" t="s">
        <v>223</v>
      </c>
      <c r="AG266" t="s">
        <v>223</v>
      </c>
      <c r="AH266" t="s">
        <v>223</v>
      </c>
      <c r="AI266" t="s">
        <v>223</v>
      </c>
      <c r="AJ266" t="s">
        <v>223</v>
      </c>
      <c r="AK266" t="s">
        <v>223</v>
      </c>
      <c r="AL266" t="s">
        <v>223</v>
      </c>
      <c r="AM266" t="s">
        <v>223</v>
      </c>
      <c r="AN266" s="9">
        <v>45</v>
      </c>
    </row>
    <row r="267" spans="1:40">
      <c r="A267" t="s">
        <v>380</v>
      </c>
      <c r="B267">
        <v>47</v>
      </c>
      <c r="C267" t="s">
        <v>223</v>
      </c>
      <c r="D267" t="s">
        <v>223</v>
      </c>
      <c r="E267" t="s">
        <v>223</v>
      </c>
      <c r="F267" t="s">
        <v>223</v>
      </c>
      <c r="G267" t="s">
        <v>223</v>
      </c>
      <c r="H267" t="s">
        <v>223</v>
      </c>
      <c r="I267" t="s">
        <v>223</v>
      </c>
      <c r="J267" t="s">
        <v>223</v>
      </c>
      <c r="K267" t="s">
        <v>223</v>
      </c>
      <c r="L267" t="s">
        <v>223</v>
      </c>
      <c r="M267" t="s">
        <v>223</v>
      </c>
      <c r="N267" t="s">
        <v>223</v>
      </c>
      <c r="O267" t="s">
        <v>223</v>
      </c>
      <c r="P267" t="s">
        <v>223</v>
      </c>
      <c r="Q267" t="s">
        <v>223</v>
      </c>
      <c r="R267" t="s">
        <v>223</v>
      </c>
      <c r="S267" t="s">
        <v>223</v>
      </c>
      <c r="T267" t="s">
        <v>223</v>
      </c>
      <c r="U267" t="s">
        <v>223</v>
      </c>
      <c r="V267" t="s">
        <v>223</v>
      </c>
      <c r="W267" t="s">
        <v>223</v>
      </c>
      <c r="X267" t="s">
        <v>223</v>
      </c>
      <c r="Y267" t="s">
        <v>223</v>
      </c>
      <c r="Z267" t="s">
        <v>223</v>
      </c>
      <c r="AA267" t="s">
        <v>223</v>
      </c>
      <c r="AB267" t="s">
        <v>223</v>
      </c>
      <c r="AC267" t="s">
        <v>223</v>
      </c>
      <c r="AD267" t="s">
        <v>223</v>
      </c>
      <c r="AE267" t="s">
        <v>223</v>
      </c>
      <c r="AF267" t="s">
        <v>223</v>
      </c>
      <c r="AG267" t="s">
        <v>223</v>
      </c>
      <c r="AH267" t="s">
        <v>223</v>
      </c>
      <c r="AI267" t="s">
        <v>223</v>
      </c>
      <c r="AJ267" t="s">
        <v>223</v>
      </c>
      <c r="AK267" t="s">
        <v>223</v>
      </c>
      <c r="AL267" t="s">
        <v>223</v>
      </c>
      <c r="AM267" t="s">
        <v>223</v>
      </c>
      <c r="AN267" s="9">
        <v>47</v>
      </c>
    </row>
    <row r="268" spans="1:40">
      <c r="A268" t="s">
        <v>380</v>
      </c>
      <c r="B268">
        <v>49</v>
      </c>
      <c r="C268" t="s">
        <v>223</v>
      </c>
      <c r="D268" t="s">
        <v>223</v>
      </c>
      <c r="E268" t="s">
        <v>223</v>
      </c>
      <c r="F268" t="s">
        <v>223</v>
      </c>
      <c r="G268" t="s">
        <v>223</v>
      </c>
      <c r="H268" t="s">
        <v>223</v>
      </c>
      <c r="I268" t="s">
        <v>223</v>
      </c>
      <c r="J268" t="s">
        <v>223</v>
      </c>
      <c r="K268" t="s">
        <v>223</v>
      </c>
      <c r="L268" t="s">
        <v>223</v>
      </c>
      <c r="M268" t="s">
        <v>223</v>
      </c>
      <c r="N268" t="s">
        <v>223</v>
      </c>
      <c r="O268" t="s">
        <v>223</v>
      </c>
      <c r="P268" t="s">
        <v>223</v>
      </c>
      <c r="Q268" t="s">
        <v>223</v>
      </c>
      <c r="R268" t="s">
        <v>223</v>
      </c>
      <c r="S268" t="s">
        <v>223</v>
      </c>
      <c r="T268" t="s">
        <v>223</v>
      </c>
      <c r="U268" t="s">
        <v>223</v>
      </c>
      <c r="V268" t="s">
        <v>223</v>
      </c>
      <c r="W268" t="s">
        <v>223</v>
      </c>
      <c r="X268" t="s">
        <v>223</v>
      </c>
      <c r="Y268" t="s">
        <v>223</v>
      </c>
      <c r="Z268" t="s">
        <v>223</v>
      </c>
      <c r="AA268" t="s">
        <v>223</v>
      </c>
      <c r="AB268" t="s">
        <v>223</v>
      </c>
      <c r="AC268" t="s">
        <v>223</v>
      </c>
      <c r="AD268" t="s">
        <v>223</v>
      </c>
      <c r="AE268" t="s">
        <v>223</v>
      </c>
      <c r="AF268" t="s">
        <v>223</v>
      </c>
      <c r="AG268" t="s">
        <v>223</v>
      </c>
      <c r="AH268" t="s">
        <v>223</v>
      </c>
      <c r="AI268" t="s">
        <v>223</v>
      </c>
      <c r="AJ268" t="s">
        <v>223</v>
      </c>
      <c r="AK268" t="s">
        <v>223</v>
      </c>
      <c r="AL268" t="s">
        <v>223</v>
      </c>
      <c r="AM268" t="s">
        <v>223</v>
      </c>
      <c r="AN268" s="9">
        <v>49</v>
      </c>
    </row>
    <row r="269" spans="1:40">
      <c r="A269" t="s">
        <v>380</v>
      </c>
      <c r="B269">
        <v>51</v>
      </c>
      <c r="C269" t="s">
        <v>223</v>
      </c>
      <c r="D269" t="s">
        <v>223</v>
      </c>
      <c r="E269" t="s">
        <v>223</v>
      </c>
      <c r="F269" t="s">
        <v>223</v>
      </c>
      <c r="G269" t="s">
        <v>223</v>
      </c>
      <c r="H269" t="s">
        <v>223</v>
      </c>
      <c r="I269" t="s">
        <v>223</v>
      </c>
      <c r="J269" t="s">
        <v>223</v>
      </c>
      <c r="K269" t="s">
        <v>223</v>
      </c>
      <c r="L269" t="s">
        <v>223</v>
      </c>
      <c r="M269" t="s">
        <v>223</v>
      </c>
      <c r="N269" t="s">
        <v>223</v>
      </c>
      <c r="O269" t="s">
        <v>223</v>
      </c>
      <c r="P269" t="s">
        <v>223</v>
      </c>
      <c r="Q269" t="s">
        <v>223</v>
      </c>
      <c r="R269" t="s">
        <v>223</v>
      </c>
      <c r="S269" t="s">
        <v>223</v>
      </c>
      <c r="T269" t="s">
        <v>223</v>
      </c>
      <c r="U269" t="s">
        <v>223</v>
      </c>
      <c r="V269" t="s">
        <v>223</v>
      </c>
      <c r="W269" t="s">
        <v>223</v>
      </c>
      <c r="X269" t="s">
        <v>223</v>
      </c>
      <c r="Y269" t="s">
        <v>223</v>
      </c>
      <c r="Z269" t="s">
        <v>223</v>
      </c>
      <c r="AA269" t="s">
        <v>223</v>
      </c>
      <c r="AB269" t="s">
        <v>223</v>
      </c>
      <c r="AC269" t="s">
        <v>223</v>
      </c>
      <c r="AD269" t="s">
        <v>223</v>
      </c>
      <c r="AE269" t="s">
        <v>223</v>
      </c>
      <c r="AF269" t="s">
        <v>223</v>
      </c>
      <c r="AG269" t="s">
        <v>223</v>
      </c>
      <c r="AH269" t="s">
        <v>223</v>
      </c>
      <c r="AI269" t="s">
        <v>223</v>
      </c>
      <c r="AJ269" t="s">
        <v>223</v>
      </c>
      <c r="AK269" t="s">
        <v>223</v>
      </c>
      <c r="AL269" t="s">
        <v>223</v>
      </c>
      <c r="AM269" t="s">
        <v>223</v>
      </c>
      <c r="AN269" s="9">
        <v>51</v>
      </c>
    </row>
    <row r="270" spans="1:40">
      <c r="A270" t="s">
        <v>380</v>
      </c>
      <c r="B270">
        <v>53</v>
      </c>
      <c r="C270" t="s">
        <v>223</v>
      </c>
      <c r="D270" t="s">
        <v>223</v>
      </c>
      <c r="E270" t="s">
        <v>223</v>
      </c>
      <c r="F270" t="s">
        <v>223</v>
      </c>
      <c r="G270" t="s">
        <v>223</v>
      </c>
      <c r="H270" t="s">
        <v>223</v>
      </c>
      <c r="I270" t="s">
        <v>223</v>
      </c>
      <c r="J270" t="s">
        <v>223</v>
      </c>
      <c r="K270" t="s">
        <v>223</v>
      </c>
      <c r="L270" t="s">
        <v>223</v>
      </c>
      <c r="M270" t="s">
        <v>223</v>
      </c>
      <c r="N270" t="s">
        <v>223</v>
      </c>
      <c r="O270" t="s">
        <v>223</v>
      </c>
      <c r="P270" t="s">
        <v>223</v>
      </c>
      <c r="Q270" t="s">
        <v>223</v>
      </c>
      <c r="R270" t="s">
        <v>223</v>
      </c>
      <c r="S270" t="s">
        <v>223</v>
      </c>
      <c r="T270" t="s">
        <v>223</v>
      </c>
      <c r="U270" t="s">
        <v>223</v>
      </c>
      <c r="V270" t="s">
        <v>223</v>
      </c>
      <c r="W270" t="s">
        <v>223</v>
      </c>
      <c r="X270" t="s">
        <v>223</v>
      </c>
      <c r="Y270" t="s">
        <v>223</v>
      </c>
      <c r="Z270" t="s">
        <v>223</v>
      </c>
      <c r="AA270" t="s">
        <v>223</v>
      </c>
      <c r="AB270" t="s">
        <v>223</v>
      </c>
      <c r="AC270" t="s">
        <v>223</v>
      </c>
      <c r="AD270" t="s">
        <v>223</v>
      </c>
      <c r="AE270" t="s">
        <v>223</v>
      </c>
      <c r="AF270" t="s">
        <v>223</v>
      </c>
      <c r="AG270" t="s">
        <v>223</v>
      </c>
      <c r="AH270" t="s">
        <v>223</v>
      </c>
      <c r="AI270" t="s">
        <v>223</v>
      </c>
      <c r="AJ270" t="s">
        <v>223</v>
      </c>
      <c r="AK270" t="s">
        <v>223</v>
      </c>
      <c r="AL270" t="s">
        <v>223</v>
      </c>
      <c r="AM270" t="s">
        <v>223</v>
      </c>
      <c r="AN270" s="9">
        <v>53</v>
      </c>
    </row>
    <row r="271" spans="1:40">
      <c r="A271" t="s">
        <v>381</v>
      </c>
      <c r="B271">
        <v>0</v>
      </c>
      <c r="C271" t="s">
        <v>223</v>
      </c>
      <c r="D271" t="s">
        <v>223</v>
      </c>
      <c r="E271" t="s">
        <v>223</v>
      </c>
      <c r="F271" t="s">
        <v>223</v>
      </c>
      <c r="G271" t="s">
        <v>223</v>
      </c>
      <c r="H271" t="s">
        <v>223</v>
      </c>
      <c r="I271" t="s">
        <v>223</v>
      </c>
      <c r="J271" t="s">
        <v>223</v>
      </c>
      <c r="K271" t="s">
        <v>223</v>
      </c>
      <c r="L271" t="s">
        <v>223</v>
      </c>
      <c r="M271" t="s">
        <v>223</v>
      </c>
      <c r="N271" t="s">
        <v>223</v>
      </c>
      <c r="O271" t="s">
        <v>223</v>
      </c>
      <c r="P271" t="s">
        <v>223</v>
      </c>
      <c r="Q271" t="s">
        <v>223</v>
      </c>
      <c r="R271" t="s">
        <v>223</v>
      </c>
      <c r="S271" t="s">
        <v>223</v>
      </c>
      <c r="T271" t="s">
        <v>223</v>
      </c>
      <c r="U271" t="s">
        <v>223</v>
      </c>
      <c r="V271" t="s">
        <v>223</v>
      </c>
      <c r="W271" t="s">
        <v>223</v>
      </c>
      <c r="X271" t="s">
        <v>223</v>
      </c>
      <c r="Y271" t="s">
        <v>223</v>
      </c>
      <c r="Z271" t="s">
        <v>223</v>
      </c>
      <c r="AA271" t="s">
        <v>223</v>
      </c>
      <c r="AB271" t="s">
        <v>223</v>
      </c>
      <c r="AC271" t="s">
        <v>223</v>
      </c>
      <c r="AD271" t="s">
        <v>223</v>
      </c>
      <c r="AE271" t="s">
        <v>223</v>
      </c>
      <c r="AF271" t="s">
        <v>223</v>
      </c>
      <c r="AG271" t="s">
        <v>223</v>
      </c>
      <c r="AH271" t="s">
        <v>223</v>
      </c>
      <c r="AI271" t="s">
        <v>223</v>
      </c>
      <c r="AJ271" t="s">
        <v>223</v>
      </c>
      <c r="AK271" t="s">
        <v>223</v>
      </c>
      <c r="AL271" t="s">
        <v>223</v>
      </c>
      <c r="AM271" t="s">
        <v>223</v>
      </c>
      <c r="AN271" s="9">
        <v>0</v>
      </c>
    </row>
    <row r="272" spans="1:40">
      <c r="A272" t="s">
        <v>381</v>
      </c>
      <c r="B272">
        <v>1</v>
      </c>
      <c r="C272" t="s">
        <v>223</v>
      </c>
      <c r="D272" t="s">
        <v>223</v>
      </c>
      <c r="E272" t="s">
        <v>223</v>
      </c>
      <c r="F272" t="s">
        <v>223</v>
      </c>
      <c r="G272" t="s">
        <v>223</v>
      </c>
      <c r="H272" t="s">
        <v>223</v>
      </c>
      <c r="I272" t="s">
        <v>223</v>
      </c>
      <c r="J272" t="s">
        <v>223</v>
      </c>
      <c r="K272" t="s">
        <v>223</v>
      </c>
      <c r="L272" t="s">
        <v>223</v>
      </c>
      <c r="M272" t="s">
        <v>223</v>
      </c>
      <c r="N272" t="s">
        <v>223</v>
      </c>
      <c r="O272" t="s">
        <v>223</v>
      </c>
      <c r="P272" t="s">
        <v>223</v>
      </c>
      <c r="Q272" t="s">
        <v>223</v>
      </c>
      <c r="R272" t="s">
        <v>223</v>
      </c>
      <c r="S272" t="s">
        <v>223</v>
      </c>
      <c r="T272" t="s">
        <v>223</v>
      </c>
      <c r="U272" t="s">
        <v>223</v>
      </c>
      <c r="V272" t="s">
        <v>223</v>
      </c>
      <c r="W272" t="s">
        <v>223</v>
      </c>
      <c r="X272" t="s">
        <v>223</v>
      </c>
      <c r="Y272" t="s">
        <v>223</v>
      </c>
      <c r="Z272" t="s">
        <v>223</v>
      </c>
      <c r="AA272" t="s">
        <v>223</v>
      </c>
      <c r="AB272" t="s">
        <v>223</v>
      </c>
      <c r="AC272" t="s">
        <v>223</v>
      </c>
      <c r="AD272" t="s">
        <v>223</v>
      </c>
      <c r="AE272" t="s">
        <v>223</v>
      </c>
      <c r="AF272" t="s">
        <v>223</v>
      </c>
      <c r="AG272" t="s">
        <v>223</v>
      </c>
      <c r="AH272" t="s">
        <v>223</v>
      </c>
      <c r="AI272" t="s">
        <v>223</v>
      </c>
      <c r="AJ272" t="s">
        <v>223</v>
      </c>
      <c r="AK272" t="s">
        <v>223</v>
      </c>
      <c r="AL272" t="s">
        <v>223</v>
      </c>
      <c r="AM272" t="s">
        <v>223</v>
      </c>
      <c r="AN272" s="9">
        <v>1</v>
      </c>
    </row>
    <row r="273" spans="1:40">
      <c r="A273" t="s">
        <v>381</v>
      </c>
      <c r="B273">
        <v>2</v>
      </c>
      <c r="C273" t="s">
        <v>223</v>
      </c>
      <c r="D273" t="s">
        <v>223</v>
      </c>
      <c r="E273" t="s">
        <v>223</v>
      </c>
      <c r="F273" t="s">
        <v>223</v>
      </c>
      <c r="G273" t="s">
        <v>223</v>
      </c>
      <c r="H273" t="s">
        <v>223</v>
      </c>
      <c r="I273" t="s">
        <v>223</v>
      </c>
      <c r="J273" t="s">
        <v>223</v>
      </c>
      <c r="K273" t="s">
        <v>223</v>
      </c>
      <c r="L273" t="s">
        <v>223</v>
      </c>
      <c r="M273" t="s">
        <v>223</v>
      </c>
      <c r="N273" t="s">
        <v>223</v>
      </c>
      <c r="O273" t="s">
        <v>223</v>
      </c>
      <c r="P273" t="s">
        <v>223</v>
      </c>
      <c r="Q273" t="s">
        <v>223</v>
      </c>
      <c r="R273" t="s">
        <v>223</v>
      </c>
      <c r="S273" t="s">
        <v>223</v>
      </c>
      <c r="T273" t="s">
        <v>223</v>
      </c>
      <c r="U273" t="s">
        <v>223</v>
      </c>
      <c r="V273" t="s">
        <v>223</v>
      </c>
      <c r="W273" t="s">
        <v>223</v>
      </c>
      <c r="X273" t="s">
        <v>223</v>
      </c>
      <c r="Y273" t="s">
        <v>223</v>
      </c>
      <c r="Z273" t="s">
        <v>223</v>
      </c>
      <c r="AA273" t="s">
        <v>223</v>
      </c>
      <c r="AB273" t="s">
        <v>223</v>
      </c>
      <c r="AC273" t="s">
        <v>223</v>
      </c>
      <c r="AD273" t="s">
        <v>223</v>
      </c>
      <c r="AE273" t="s">
        <v>223</v>
      </c>
      <c r="AF273" t="s">
        <v>223</v>
      </c>
      <c r="AG273" t="s">
        <v>223</v>
      </c>
      <c r="AH273" t="s">
        <v>223</v>
      </c>
      <c r="AI273" t="s">
        <v>223</v>
      </c>
      <c r="AJ273" t="s">
        <v>223</v>
      </c>
      <c r="AK273" t="s">
        <v>223</v>
      </c>
      <c r="AL273" t="s">
        <v>223</v>
      </c>
      <c r="AM273" t="s">
        <v>223</v>
      </c>
      <c r="AN273" s="9">
        <v>2</v>
      </c>
    </row>
    <row r="274" spans="1:40">
      <c r="A274" t="s">
        <v>381</v>
      </c>
      <c r="B274">
        <v>3</v>
      </c>
      <c r="C274" t="s">
        <v>223</v>
      </c>
      <c r="D274" t="s">
        <v>223</v>
      </c>
      <c r="E274" t="s">
        <v>223</v>
      </c>
      <c r="F274" t="s">
        <v>223</v>
      </c>
      <c r="G274" t="s">
        <v>223</v>
      </c>
      <c r="H274" t="s">
        <v>223</v>
      </c>
      <c r="I274" t="s">
        <v>223</v>
      </c>
      <c r="J274" t="s">
        <v>223</v>
      </c>
      <c r="K274" t="s">
        <v>223</v>
      </c>
      <c r="L274" t="s">
        <v>223</v>
      </c>
      <c r="M274" t="s">
        <v>223</v>
      </c>
      <c r="N274" t="s">
        <v>223</v>
      </c>
      <c r="O274" t="s">
        <v>223</v>
      </c>
      <c r="P274" t="s">
        <v>223</v>
      </c>
      <c r="Q274" t="s">
        <v>223</v>
      </c>
      <c r="R274" t="s">
        <v>223</v>
      </c>
      <c r="S274" t="s">
        <v>223</v>
      </c>
      <c r="T274" t="s">
        <v>223</v>
      </c>
      <c r="U274" t="s">
        <v>223</v>
      </c>
      <c r="V274" t="s">
        <v>223</v>
      </c>
      <c r="W274" t="s">
        <v>223</v>
      </c>
      <c r="X274" t="s">
        <v>223</v>
      </c>
      <c r="Y274" t="s">
        <v>223</v>
      </c>
      <c r="Z274" t="s">
        <v>223</v>
      </c>
      <c r="AA274" t="s">
        <v>223</v>
      </c>
      <c r="AB274" t="s">
        <v>223</v>
      </c>
      <c r="AC274" t="s">
        <v>223</v>
      </c>
      <c r="AD274" t="s">
        <v>223</v>
      </c>
      <c r="AE274" t="s">
        <v>223</v>
      </c>
      <c r="AF274" t="s">
        <v>223</v>
      </c>
      <c r="AG274" t="s">
        <v>223</v>
      </c>
      <c r="AH274" t="s">
        <v>223</v>
      </c>
      <c r="AI274" t="s">
        <v>223</v>
      </c>
      <c r="AJ274" t="s">
        <v>223</v>
      </c>
      <c r="AK274" t="s">
        <v>223</v>
      </c>
      <c r="AL274" t="s">
        <v>223</v>
      </c>
      <c r="AM274" t="s">
        <v>223</v>
      </c>
      <c r="AN274" s="9">
        <v>3</v>
      </c>
    </row>
    <row r="275" spans="1:40">
      <c r="A275" t="s">
        <v>381</v>
      </c>
      <c r="B275">
        <v>4</v>
      </c>
      <c r="C275" t="s">
        <v>223</v>
      </c>
      <c r="D275" t="s">
        <v>223</v>
      </c>
      <c r="E275" t="s">
        <v>223</v>
      </c>
      <c r="F275" t="s">
        <v>223</v>
      </c>
      <c r="G275" t="s">
        <v>223</v>
      </c>
      <c r="H275" t="s">
        <v>223</v>
      </c>
      <c r="I275" t="s">
        <v>223</v>
      </c>
      <c r="J275" t="s">
        <v>223</v>
      </c>
      <c r="K275" t="s">
        <v>223</v>
      </c>
      <c r="L275" t="s">
        <v>223</v>
      </c>
      <c r="M275" t="s">
        <v>223</v>
      </c>
      <c r="N275" t="s">
        <v>223</v>
      </c>
      <c r="O275" t="s">
        <v>223</v>
      </c>
      <c r="P275" t="s">
        <v>223</v>
      </c>
      <c r="Q275" t="s">
        <v>223</v>
      </c>
      <c r="R275" t="s">
        <v>223</v>
      </c>
      <c r="S275" t="s">
        <v>223</v>
      </c>
      <c r="T275" t="s">
        <v>223</v>
      </c>
      <c r="U275" t="s">
        <v>223</v>
      </c>
      <c r="V275" t="s">
        <v>223</v>
      </c>
      <c r="W275" t="s">
        <v>223</v>
      </c>
      <c r="X275" t="s">
        <v>223</v>
      </c>
      <c r="Y275" t="s">
        <v>223</v>
      </c>
      <c r="Z275" t="s">
        <v>223</v>
      </c>
      <c r="AA275" t="s">
        <v>223</v>
      </c>
      <c r="AB275" t="s">
        <v>223</v>
      </c>
      <c r="AC275" t="s">
        <v>223</v>
      </c>
      <c r="AD275" t="s">
        <v>223</v>
      </c>
      <c r="AE275" t="s">
        <v>223</v>
      </c>
      <c r="AF275" t="s">
        <v>223</v>
      </c>
      <c r="AG275" t="s">
        <v>223</v>
      </c>
      <c r="AH275" t="s">
        <v>223</v>
      </c>
      <c r="AI275" t="s">
        <v>223</v>
      </c>
      <c r="AJ275" t="s">
        <v>223</v>
      </c>
      <c r="AK275" t="s">
        <v>223</v>
      </c>
      <c r="AL275" t="s">
        <v>223</v>
      </c>
      <c r="AM275" t="s">
        <v>223</v>
      </c>
      <c r="AN275" s="9">
        <v>4</v>
      </c>
    </row>
    <row r="276" spans="1:40">
      <c r="A276" t="s">
        <v>381</v>
      </c>
      <c r="B276">
        <v>5</v>
      </c>
      <c r="C276" t="s">
        <v>223</v>
      </c>
      <c r="D276" t="s">
        <v>223</v>
      </c>
      <c r="E276" t="s">
        <v>223</v>
      </c>
      <c r="F276" t="s">
        <v>223</v>
      </c>
      <c r="G276" t="s">
        <v>223</v>
      </c>
      <c r="H276" t="s">
        <v>223</v>
      </c>
      <c r="I276" t="s">
        <v>223</v>
      </c>
      <c r="J276" t="s">
        <v>223</v>
      </c>
      <c r="K276" t="s">
        <v>223</v>
      </c>
      <c r="L276" t="s">
        <v>223</v>
      </c>
      <c r="M276" t="s">
        <v>223</v>
      </c>
      <c r="N276" t="s">
        <v>223</v>
      </c>
      <c r="O276" t="s">
        <v>223</v>
      </c>
      <c r="P276" t="s">
        <v>223</v>
      </c>
      <c r="Q276" t="s">
        <v>223</v>
      </c>
      <c r="R276" t="s">
        <v>223</v>
      </c>
      <c r="S276" t="s">
        <v>223</v>
      </c>
      <c r="T276" t="s">
        <v>223</v>
      </c>
      <c r="U276" t="s">
        <v>223</v>
      </c>
      <c r="V276" t="s">
        <v>223</v>
      </c>
      <c r="W276" t="s">
        <v>223</v>
      </c>
      <c r="X276" t="s">
        <v>223</v>
      </c>
      <c r="Y276" t="s">
        <v>223</v>
      </c>
      <c r="Z276" t="s">
        <v>223</v>
      </c>
      <c r="AA276" t="s">
        <v>223</v>
      </c>
      <c r="AB276" t="s">
        <v>223</v>
      </c>
      <c r="AC276" t="s">
        <v>223</v>
      </c>
      <c r="AD276" t="s">
        <v>223</v>
      </c>
      <c r="AE276" t="s">
        <v>223</v>
      </c>
      <c r="AF276" t="s">
        <v>223</v>
      </c>
      <c r="AG276" t="s">
        <v>223</v>
      </c>
      <c r="AH276" t="s">
        <v>223</v>
      </c>
      <c r="AI276" t="s">
        <v>223</v>
      </c>
      <c r="AJ276" t="s">
        <v>223</v>
      </c>
      <c r="AK276" t="s">
        <v>223</v>
      </c>
      <c r="AL276" t="s">
        <v>223</v>
      </c>
      <c r="AM276" t="s">
        <v>223</v>
      </c>
      <c r="AN276" s="9">
        <v>5</v>
      </c>
    </row>
    <row r="277" spans="1:40">
      <c r="A277" t="s">
        <v>381</v>
      </c>
      <c r="B277">
        <v>6</v>
      </c>
      <c r="C277" t="s">
        <v>223</v>
      </c>
      <c r="D277" t="s">
        <v>223</v>
      </c>
      <c r="E277" t="s">
        <v>223</v>
      </c>
      <c r="F277" t="s">
        <v>223</v>
      </c>
      <c r="G277" t="s">
        <v>223</v>
      </c>
      <c r="H277" t="s">
        <v>223</v>
      </c>
      <c r="I277" t="s">
        <v>223</v>
      </c>
      <c r="J277" t="s">
        <v>223</v>
      </c>
      <c r="K277" t="s">
        <v>223</v>
      </c>
      <c r="L277" t="s">
        <v>223</v>
      </c>
      <c r="M277" t="s">
        <v>223</v>
      </c>
      <c r="N277" t="s">
        <v>223</v>
      </c>
      <c r="O277" t="s">
        <v>223</v>
      </c>
      <c r="P277" t="s">
        <v>223</v>
      </c>
      <c r="Q277" t="s">
        <v>223</v>
      </c>
      <c r="R277" t="s">
        <v>223</v>
      </c>
      <c r="S277" t="s">
        <v>223</v>
      </c>
      <c r="T277" t="s">
        <v>223</v>
      </c>
      <c r="U277" t="s">
        <v>223</v>
      </c>
      <c r="V277" t="s">
        <v>223</v>
      </c>
      <c r="W277" t="s">
        <v>223</v>
      </c>
      <c r="X277" t="s">
        <v>223</v>
      </c>
      <c r="Y277" t="s">
        <v>223</v>
      </c>
      <c r="Z277" t="s">
        <v>223</v>
      </c>
      <c r="AA277" t="s">
        <v>223</v>
      </c>
      <c r="AB277" t="s">
        <v>223</v>
      </c>
      <c r="AC277" t="s">
        <v>223</v>
      </c>
      <c r="AD277" t="s">
        <v>223</v>
      </c>
      <c r="AE277" t="s">
        <v>223</v>
      </c>
      <c r="AF277" t="s">
        <v>223</v>
      </c>
      <c r="AG277" t="s">
        <v>223</v>
      </c>
      <c r="AH277" t="s">
        <v>223</v>
      </c>
      <c r="AI277" t="s">
        <v>223</v>
      </c>
      <c r="AJ277" t="s">
        <v>223</v>
      </c>
      <c r="AK277" t="s">
        <v>223</v>
      </c>
      <c r="AL277" t="s">
        <v>223</v>
      </c>
      <c r="AM277" t="s">
        <v>223</v>
      </c>
      <c r="AN277" s="9">
        <v>6</v>
      </c>
    </row>
    <row r="278" spans="1:40">
      <c r="A278" t="s">
        <v>381</v>
      </c>
      <c r="B278">
        <v>9</v>
      </c>
      <c r="C278" t="s">
        <v>223</v>
      </c>
      <c r="D278" t="s">
        <v>223</v>
      </c>
      <c r="E278" t="s">
        <v>223</v>
      </c>
      <c r="F278" t="s">
        <v>223</v>
      </c>
      <c r="G278" t="s">
        <v>223</v>
      </c>
      <c r="H278" t="s">
        <v>223</v>
      </c>
      <c r="I278" t="s">
        <v>223</v>
      </c>
      <c r="J278" t="s">
        <v>223</v>
      </c>
      <c r="K278" t="s">
        <v>223</v>
      </c>
      <c r="L278" t="s">
        <v>223</v>
      </c>
      <c r="M278" t="s">
        <v>223</v>
      </c>
      <c r="N278" t="s">
        <v>223</v>
      </c>
      <c r="O278" t="s">
        <v>223</v>
      </c>
      <c r="P278" t="s">
        <v>223</v>
      </c>
      <c r="Q278" t="s">
        <v>223</v>
      </c>
      <c r="R278" t="s">
        <v>223</v>
      </c>
      <c r="S278" t="s">
        <v>223</v>
      </c>
      <c r="T278" t="s">
        <v>223</v>
      </c>
      <c r="U278" t="s">
        <v>223</v>
      </c>
      <c r="V278" t="s">
        <v>223</v>
      </c>
      <c r="W278" t="s">
        <v>223</v>
      </c>
      <c r="X278" t="s">
        <v>223</v>
      </c>
      <c r="Y278" t="s">
        <v>223</v>
      </c>
      <c r="Z278" t="s">
        <v>223</v>
      </c>
      <c r="AA278" t="s">
        <v>223</v>
      </c>
      <c r="AB278" t="s">
        <v>223</v>
      </c>
      <c r="AC278" t="s">
        <v>223</v>
      </c>
      <c r="AD278" t="s">
        <v>223</v>
      </c>
      <c r="AE278" t="s">
        <v>223</v>
      </c>
      <c r="AF278" t="s">
        <v>223</v>
      </c>
      <c r="AG278" t="s">
        <v>223</v>
      </c>
      <c r="AH278" t="s">
        <v>223</v>
      </c>
      <c r="AI278" t="s">
        <v>223</v>
      </c>
      <c r="AJ278" t="s">
        <v>223</v>
      </c>
      <c r="AK278" t="s">
        <v>223</v>
      </c>
      <c r="AL278" t="s">
        <v>223</v>
      </c>
      <c r="AM278" t="s">
        <v>223</v>
      </c>
      <c r="AN278" s="9">
        <v>9</v>
      </c>
    </row>
    <row r="279" spans="1:40">
      <c r="A279" t="s">
        <v>381</v>
      </c>
      <c r="B279">
        <v>10</v>
      </c>
      <c r="C279" t="s">
        <v>223</v>
      </c>
      <c r="D279" t="s">
        <v>223</v>
      </c>
      <c r="E279" t="s">
        <v>223</v>
      </c>
      <c r="F279" t="s">
        <v>223</v>
      </c>
      <c r="G279" t="s">
        <v>223</v>
      </c>
      <c r="H279" t="s">
        <v>223</v>
      </c>
      <c r="I279" t="s">
        <v>223</v>
      </c>
      <c r="J279" t="s">
        <v>223</v>
      </c>
      <c r="K279" t="s">
        <v>223</v>
      </c>
      <c r="L279" t="s">
        <v>223</v>
      </c>
      <c r="M279" t="s">
        <v>223</v>
      </c>
      <c r="N279" t="s">
        <v>223</v>
      </c>
      <c r="O279" t="s">
        <v>223</v>
      </c>
      <c r="P279" t="s">
        <v>223</v>
      </c>
      <c r="Q279" t="s">
        <v>223</v>
      </c>
      <c r="R279" t="s">
        <v>223</v>
      </c>
      <c r="S279" t="s">
        <v>223</v>
      </c>
      <c r="T279" t="s">
        <v>223</v>
      </c>
      <c r="U279" t="s">
        <v>223</v>
      </c>
      <c r="V279" t="s">
        <v>223</v>
      </c>
      <c r="W279" t="s">
        <v>223</v>
      </c>
      <c r="X279" t="s">
        <v>223</v>
      </c>
      <c r="Y279" t="s">
        <v>223</v>
      </c>
      <c r="Z279" t="s">
        <v>223</v>
      </c>
      <c r="AA279" t="s">
        <v>223</v>
      </c>
      <c r="AB279" t="s">
        <v>223</v>
      </c>
      <c r="AC279" t="s">
        <v>223</v>
      </c>
      <c r="AD279" t="s">
        <v>223</v>
      </c>
      <c r="AE279" t="s">
        <v>223</v>
      </c>
      <c r="AF279" t="s">
        <v>223</v>
      </c>
      <c r="AG279" t="s">
        <v>223</v>
      </c>
      <c r="AH279" t="s">
        <v>223</v>
      </c>
      <c r="AI279" t="s">
        <v>223</v>
      </c>
      <c r="AJ279" t="s">
        <v>223</v>
      </c>
      <c r="AK279" t="s">
        <v>223</v>
      </c>
      <c r="AL279" t="s">
        <v>223</v>
      </c>
      <c r="AM279" t="s">
        <v>223</v>
      </c>
      <c r="AN279" s="9">
        <v>10</v>
      </c>
    </row>
    <row r="280" spans="1:40">
      <c r="A280" t="s">
        <v>381</v>
      </c>
      <c r="B280">
        <v>11</v>
      </c>
      <c r="C280" t="s">
        <v>223</v>
      </c>
      <c r="D280" t="s">
        <v>223</v>
      </c>
      <c r="E280" t="s">
        <v>223</v>
      </c>
      <c r="F280" t="s">
        <v>223</v>
      </c>
      <c r="G280" t="s">
        <v>223</v>
      </c>
      <c r="H280" t="s">
        <v>223</v>
      </c>
      <c r="I280" t="s">
        <v>223</v>
      </c>
      <c r="J280" t="s">
        <v>223</v>
      </c>
      <c r="K280" t="s">
        <v>223</v>
      </c>
      <c r="L280" t="s">
        <v>223</v>
      </c>
      <c r="M280" t="s">
        <v>223</v>
      </c>
      <c r="N280" t="s">
        <v>223</v>
      </c>
      <c r="O280" t="s">
        <v>223</v>
      </c>
      <c r="P280" t="s">
        <v>223</v>
      </c>
      <c r="Q280" t="s">
        <v>223</v>
      </c>
      <c r="R280" t="s">
        <v>223</v>
      </c>
      <c r="S280" t="s">
        <v>223</v>
      </c>
      <c r="T280" t="s">
        <v>223</v>
      </c>
      <c r="U280" t="s">
        <v>223</v>
      </c>
      <c r="V280" t="s">
        <v>223</v>
      </c>
      <c r="W280" t="s">
        <v>223</v>
      </c>
      <c r="X280" t="s">
        <v>223</v>
      </c>
      <c r="Y280" t="s">
        <v>223</v>
      </c>
      <c r="Z280" t="s">
        <v>223</v>
      </c>
      <c r="AA280" t="s">
        <v>223</v>
      </c>
      <c r="AB280" t="s">
        <v>223</v>
      </c>
      <c r="AC280" t="s">
        <v>223</v>
      </c>
      <c r="AD280" t="s">
        <v>223</v>
      </c>
      <c r="AE280" t="s">
        <v>223</v>
      </c>
      <c r="AF280" t="s">
        <v>223</v>
      </c>
      <c r="AG280" t="s">
        <v>223</v>
      </c>
      <c r="AH280" t="s">
        <v>223</v>
      </c>
      <c r="AI280" t="s">
        <v>223</v>
      </c>
      <c r="AJ280" t="s">
        <v>223</v>
      </c>
      <c r="AK280" t="s">
        <v>223</v>
      </c>
      <c r="AL280" t="s">
        <v>223</v>
      </c>
      <c r="AM280" t="s">
        <v>223</v>
      </c>
      <c r="AN280" s="9">
        <v>11</v>
      </c>
    </row>
    <row r="281" spans="1:40">
      <c r="A281" t="s">
        <v>381</v>
      </c>
      <c r="B281">
        <v>12</v>
      </c>
      <c r="C281" t="s">
        <v>223</v>
      </c>
      <c r="D281" t="s">
        <v>223</v>
      </c>
      <c r="E281" t="s">
        <v>223</v>
      </c>
      <c r="F281" t="s">
        <v>223</v>
      </c>
      <c r="G281" t="s">
        <v>223</v>
      </c>
      <c r="H281" t="s">
        <v>223</v>
      </c>
      <c r="I281" t="s">
        <v>223</v>
      </c>
      <c r="J281" t="s">
        <v>223</v>
      </c>
      <c r="K281" t="s">
        <v>223</v>
      </c>
      <c r="L281" t="s">
        <v>223</v>
      </c>
      <c r="M281" t="s">
        <v>223</v>
      </c>
      <c r="N281" t="s">
        <v>223</v>
      </c>
      <c r="O281" t="s">
        <v>223</v>
      </c>
      <c r="P281" t="s">
        <v>223</v>
      </c>
      <c r="Q281" t="s">
        <v>223</v>
      </c>
      <c r="R281" t="s">
        <v>223</v>
      </c>
      <c r="S281" t="s">
        <v>223</v>
      </c>
      <c r="T281" t="s">
        <v>223</v>
      </c>
      <c r="U281" t="s">
        <v>223</v>
      </c>
      <c r="V281" t="s">
        <v>223</v>
      </c>
      <c r="W281" t="s">
        <v>223</v>
      </c>
      <c r="X281" t="s">
        <v>223</v>
      </c>
      <c r="Y281" t="s">
        <v>223</v>
      </c>
      <c r="Z281" t="s">
        <v>223</v>
      </c>
      <c r="AA281" t="s">
        <v>223</v>
      </c>
      <c r="AB281" t="s">
        <v>223</v>
      </c>
      <c r="AC281" t="s">
        <v>223</v>
      </c>
      <c r="AD281" t="s">
        <v>223</v>
      </c>
      <c r="AE281" t="s">
        <v>223</v>
      </c>
      <c r="AF281" t="s">
        <v>223</v>
      </c>
      <c r="AG281" t="s">
        <v>223</v>
      </c>
      <c r="AH281" t="s">
        <v>223</v>
      </c>
      <c r="AI281" t="s">
        <v>223</v>
      </c>
      <c r="AJ281" t="s">
        <v>223</v>
      </c>
      <c r="AK281" t="s">
        <v>223</v>
      </c>
      <c r="AL281" t="s">
        <v>223</v>
      </c>
      <c r="AM281" t="s">
        <v>223</v>
      </c>
      <c r="AN281" s="9">
        <v>12</v>
      </c>
    </row>
    <row r="282" spans="1:40">
      <c r="A282" t="s">
        <v>381</v>
      </c>
      <c r="B282">
        <v>13</v>
      </c>
      <c r="C282" t="s">
        <v>223</v>
      </c>
      <c r="D282" t="s">
        <v>223</v>
      </c>
      <c r="E282" t="s">
        <v>223</v>
      </c>
      <c r="F282" t="s">
        <v>223</v>
      </c>
      <c r="G282" t="s">
        <v>223</v>
      </c>
      <c r="H282" t="s">
        <v>223</v>
      </c>
      <c r="I282" t="s">
        <v>223</v>
      </c>
      <c r="J282" t="s">
        <v>223</v>
      </c>
      <c r="K282" t="s">
        <v>223</v>
      </c>
      <c r="L282" t="s">
        <v>223</v>
      </c>
      <c r="M282" t="s">
        <v>223</v>
      </c>
      <c r="N282" t="s">
        <v>223</v>
      </c>
      <c r="O282" t="s">
        <v>223</v>
      </c>
      <c r="P282" t="s">
        <v>223</v>
      </c>
      <c r="Q282" t="s">
        <v>223</v>
      </c>
      <c r="R282" t="s">
        <v>223</v>
      </c>
      <c r="S282" t="s">
        <v>223</v>
      </c>
      <c r="T282" t="s">
        <v>223</v>
      </c>
      <c r="U282" t="s">
        <v>223</v>
      </c>
      <c r="V282" t="s">
        <v>223</v>
      </c>
      <c r="W282" t="s">
        <v>223</v>
      </c>
      <c r="X282" t="s">
        <v>223</v>
      </c>
      <c r="Y282" t="s">
        <v>223</v>
      </c>
      <c r="Z282" t="s">
        <v>223</v>
      </c>
      <c r="AA282" t="s">
        <v>223</v>
      </c>
      <c r="AB282" t="s">
        <v>223</v>
      </c>
      <c r="AC282" t="s">
        <v>223</v>
      </c>
      <c r="AD282" t="s">
        <v>223</v>
      </c>
      <c r="AE282" t="s">
        <v>223</v>
      </c>
      <c r="AF282" t="s">
        <v>223</v>
      </c>
      <c r="AG282" t="s">
        <v>223</v>
      </c>
      <c r="AH282" t="s">
        <v>223</v>
      </c>
      <c r="AI282" t="s">
        <v>223</v>
      </c>
      <c r="AJ282" t="s">
        <v>223</v>
      </c>
      <c r="AK282" t="s">
        <v>223</v>
      </c>
      <c r="AL282" t="s">
        <v>223</v>
      </c>
      <c r="AM282" t="s">
        <v>223</v>
      </c>
      <c r="AN282" s="9">
        <v>13</v>
      </c>
    </row>
    <row r="283" spans="1:40">
      <c r="A283" t="s">
        <v>381</v>
      </c>
      <c r="B283">
        <v>14</v>
      </c>
      <c r="C283" t="s">
        <v>223</v>
      </c>
      <c r="D283" t="s">
        <v>223</v>
      </c>
      <c r="E283" t="s">
        <v>223</v>
      </c>
      <c r="F283" t="s">
        <v>223</v>
      </c>
      <c r="G283" t="s">
        <v>223</v>
      </c>
      <c r="H283" t="s">
        <v>223</v>
      </c>
      <c r="I283" t="s">
        <v>223</v>
      </c>
      <c r="J283" t="s">
        <v>223</v>
      </c>
      <c r="K283" t="s">
        <v>223</v>
      </c>
      <c r="L283" t="s">
        <v>223</v>
      </c>
      <c r="M283" t="s">
        <v>223</v>
      </c>
      <c r="N283" t="s">
        <v>223</v>
      </c>
      <c r="O283" t="s">
        <v>223</v>
      </c>
      <c r="P283" t="s">
        <v>223</v>
      </c>
      <c r="Q283" t="s">
        <v>223</v>
      </c>
      <c r="R283" t="s">
        <v>223</v>
      </c>
      <c r="S283" t="s">
        <v>223</v>
      </c>
      <c r="T283" t="s">
        <v>223</v>
      </c>
      <c r="U283" t="s">
        <v>223</v>
      </c>
      <c r="V283" t="s">
        <v>223</v>
      </c>
      <c r="W283" t="s">
        <v>223</v>
      </c>
      <c r="X283" t="s">
        <v>223</v>
      </c>
      <c r="Y283" t="s">
        <v>223</v>
      </c>
      <c r="Z283" t="s">
        <v>223</v>
      </c>
      <c r="AA283" t="s">
        <v>223</v>
      </c>
      <c r="AB283" t="s">
        <v>223</v>
      </c>
      <c r="AC283" t="s">
        <v>223</v>
      </c>
      <c r="AD283" t="s">
        <v>223</v>
      </c>
      <c r="AE283" t="s">
        <v>223</v>
      </c>
      <c r="AF283" t="s">
        <v>223</v>
      </c>
      <c r="AG283" t="s">
        <v>223</v>
      </c>
      <c r="AH283" t="s">
        <v>223</v>
      </c>
      <c r="AI283" t="s">
        <v>223</v>
      </c>
      <c r="AJ283" t="s">
        <v>223</v>
      </c>
      <c r="AK283" t="s">
        <v>223</v>
      </c>
      <c r="AL283" t="s">
        <v>223</v>
      </c>
      <c r="AM283" t="s">
        <v>223</v>
      </c>
      <c r="AN283" s="9">
        <v>14</v>
      </c>
    </row>
    <row r="284" spans="1:40">
      <c r="A284" t="s">
        <v>381</v>
      </c>
      <c r="B284">
        <v>15</v>
      </c>
      <c r="C284" t="s">
        <v>223</v>
      </c>
      <c r="D284" t="s">
        <v>223</v>
      </c>
      <c r="E284" t="s">
        <v>223</v>
      </c>
      <c r="F284" t="s">
        <v>223</v>
      </c>
      <c r="G284" t="s">
        <v>223</v>
      </c>
      <c r="H284" t="s">
        <v>223</v>
      </c>
      <c r="I284" t="s">
        <v>223</v>
      </c>
      <c r="J284" t="s">
        <v>223</v>
      </c>
      <c r="K284" t="s">
        <v>223</v>
      </c>
      <c r="L284" t="s">
        <v>223</v>
      </c>
      <c r="M284" t="s">
        <v>223</v>
      </c>
      <c r="N284" t="s">
        <v>223</v>
      </c>
      <c r="O284" t="s">
        <v>223</v>
      </c>
      <c r="P284" t="s">
        <v>223</v>
      </c>
      <c r="Q284" t="s">
        <v>223</v>
      </c>
      <c r="R284" t="s">
        <v>223</v>
      </c>
      <c r="S284" t="s">
        <v>223</v>
      </c>
      <c r="T284" t="s">
        <v>223</v>
      </c>
      <c r="U284" t="s">
        <v>223</v>
      </c>
      <c r="V284" t="s">
        <v>223</v>
      </c>
      <c r="W284" t="s">
        <v>223</v>
      </c>
      <c r="X284" t="s">
        <v>223</v>
      </c>
      <c r="Y284" t="s">
        <v>223</v>
      </c>
      <c r="Z284" t="s">
        <v>223</v>
      </c>
      <c r="AA284" t="s">
        <v>223</v>
      </c>
      <c r="AB284" t="s">
        <v>223</v>
      </c>
      <c r="AC284" t="s">
        <v>223</v>
      </c>
      <c r="AD284" t="s">
        <v>223</v>
      </c>
      <c r="AE284" t="s">
        <v>223</v>
      </c>
      <c r="AF284" t="s">
        <v>223</v>
      </c>
      <c r="AG284" t="s">
        <v>223</v>
      </c>
      <c r="AH284" t="s">
        <v>223</v>
      </c>
      <c r="AI284" t="s">
        <v>223</v>
      </c>
      <c r="AJ284" t="s">
        <v>223</v>
      </c>
      <c r="AK284" t="s">
        <v>223</v>
      </c>
      <c r="AL284" t="s">
        <v>223</v>
      </c>
      <c r="AM284" t="s">
        <v>223</v>
      </c>
      <c r="AN284" s="9">
        <v>15</v>
      </c>
    </row>
    <row r="285" spans="1:40">
      <c r="A285" t="s">
        <v>381</v>
      </c>
      <c r="B285">
        <v>16</v>
      </c>
      <c r="C285" t="s">
        <v>223</v>
      </c>
      <c r="D285" t="s">
        <v>223</v>
      </c>
      <c r="E285" t="s">
        <v>223</v>
      </c>
      <c r="F285" t="s">
        <v>223</v>
      </c>
      <c r="G285" t="s">
        <v>223</v>
      </c>
      <c r="H285" t="s">
        <v>223</v>
      </c>
      <c r="I285" t="s">
        <v>223</v>
      </c>
      <c r="J285" t="s">
        <v>223</v>
      </c>
      <c r="K285" t="s">
        <v>223</v>
      </c>
      <c r="L285" t="s">
        <v>223</v>
      </c>
      <c r="M285" t="s">
        <v>223</v>
      </c>
      <c r="N285" t="s">
        <v>223</v>
      </c>
      <c r="O285" t="s">
        <v>223</v>
      </c>
      <c r="P285" t="s">
        <v>223</v>
      </c>
      <c r="Q285" t="s">
        <v>223</v>
      </c>
      <c r="R285" t="s">
        <v>223</v>
      </c>
      <c r="S285" t="s">
        <v>223</v>
      </c>
      <c r="T285" t="s">
        <v>223</v>
      </c>
      <c r="U285" t="s">
        <v>223</v>
      </c>
      <c r="V285" t="s">
        <v>223</v>
      </c>
      <c r="W285" t="s">
        <v>223</v>
      </c>
      <c r="X285" t="s">
        <v>223</v>
      </c>
      <c r="Y285" t="s">
        <v>223</v>
      </c>
      <c r="Z285" t="s">
        <v>223</v>
      </c>
      <c r="AA285" t="s">
        <v>223</v>
      </c>
      <c r="AB285" t="s">
        <v>223</v>
      </c>
      <c r="AC285" t="s">
        <v>223</v>
      </c>
      <c r="AD285" t="s">
        <v>223</v>
      </c>
      <c r="AE285" t="s">
        <v>223</v>
      </c>
      <c r="AF285" t="s">
        <v>223</v>
      </c>
      <c r="AG285" t="s">
        <v>223</v>
      </c>
      <c r="AH285" t="s">
        <v>223</v>
      </c>
      <c r="AI285" t="s">
        <v>223</v>
      </c>
      <c r="AJ285" t="s">
        <v>223</v>
      </c>
      <c r="AK285" t="s">
        <v>223</v>
      </c>
      <c r="AL285" t="s">
        <v>223</v>
      </c>
      <c r="AM285" t="s">
        <v>223</v>
      </c>
      <c r="AN285" s="9">
        <v>16</v>
      </c>
    </row>
    <row r="286" spans="1:40">
      <c r="A286" t="s">
        <v>381</v>
      </c>
      <c r="B286">
        <v>17</v>
      </c>
      <c r="C286" t="s">
        <v>223</v>
      </c>
      <c r="D286" t="s">
        <v>223</v>
      </c>
      <c r="E286" t="s">
        <v>223</v>
      </c>
      <c r="F286" t="s">
        <v>223</v>
      </c>
      <c r="G286" t="s">
        <v>223</v>
      </c>
      <c r="H286" t="s">
        <v>223</v>
      </c>
      <c r="I286" t="s">
        <v>223</v>
      </c>
      <c r="J286" t="s">
        <v>223</v>
      </c>
      <c r="K286" t="s">
        <v>223</v>
      </c>
      <c r="L286" t="s">
        <v>223</v>
      </c>
      <c r="M286" t="s">
        <v>223</v>
      </c>
      <c r="N286" t="s">
        <v>223</v>
      </c>
      <c r="O286" t="s">
        <v>223</v>
      </c>
      <c r="P286" t="s">
        <v>223</v>
      </c>
      <c r="Q286" t="s">
        <v>223</v>
      </c>
      <c r="R286" t="s">
        <v>223</v>
      </c>
      <c r="S286" t="s">
        <v>223</v>
      </c>
      <c r="T286" t="s">
        <v>223</v>
      </c>
      <c r="U286" t="s">
        <v>223</v>
      </c>
      <c r="V286" t="s">
        <v>223</v>
      </c>
      <c r="W286" t="s">
        <v>223</v>
      </c>
      <c r="X286" t="s">
        <v>223</v>
      </c>
      <c r="Y286" t="s">
        <v>223</v>
      </c>
      <c r="Z286" t="s">
        <v>223</v>
      </c>
      <c r="AA286" t="s">
        <v>223</v>
      </c>
      <c r="AB286" t="s">
        <v>223</v>
      </c>
      <c r="AC286" t="s">
        <v>223</v>
      </c>
      <c r="AD286" t="s">
        <v>223</v>
      </c>
      <c r="AE286" t="s">
        <v>223</v>
      </c>
      <c r="AF286" t="s">
        <v>223</v>
      </c>
      <c r="AG286" t="s">
        <v>223</v>
      </c>
      <c r="AH286" t="s">
        <v>223</v>
      </c>
      <c r="AI286" t="s">
        <v>223</v>
      </c>
      <c r="AJ286" t="s">
        <v>223</v>
      </c>
      <c r="AK286" t="s">
        <v>223</v>
      </c>
      <c r="AL286" t="s">
        <v>223</v>
      </c>
      <c r="AM286" t="s">
        <v>223</v>
      </c>
      <c r="AN286" s="9">
        <v>17</v>
      </c>
    </row>
    <row r="287" spans="1:40">
      <c r="A287" t="s">
        <v>381</v>
      </c>
      <c r="B287">
        <v>18</v>
      </c>
      <c r="C287" t="s">
        <v>223</v>
      </c>
      <c r="D287" t="s">
        <v>223</v>
      </c>
      <c r="E287" t="s">
        <v>223</v>
      </c>
      <c r="F287" t="s">
        <v>223</v>
      </c>
      <c r="G287" t="s">
        <v>223</v>
      </c>
      <c r="H287" t="s">
        <v>223</v>
      </c>
      <c r="I287" t="s">
        <v>223</v>
      </c>
      <c r="J287" t="s">
        <v>223</v>
      </c>
      <c r="K287" t="s">
        <v>223</v>
      </c>
      <c r="L287" t="s">
        <v>223</v>
      </c>
      <c r="M287" t="s">
        <v>223</v>
      </c>
      <c r="N287" t="s">
        <v>223</v>
      </c>
      <c r="O287" t="s">
        <v>223</v>
      </c>
      <c r="P287" t="s">
        <v>223</v>
      </c>
      <c r="Q287" t="s">
        <v>223</v>
      </c>
      <c r="R287" t="s">
        <v>223</v>
      </c>
      <c r="S287" t="s">
        <v>223</v>
      </c>
      <c r="T287" t="s">
        <v>223</v>
      </c>
      <c r="U287" t="s">
        <v>223</v>
      </c>
      <c r="V287" t="s">
        <v>223</v>
      </c>
      <c r="W287" t="s">
        <v>223</v>
      </c>
      <c r="X287" t="s">
        <v>223</v>
      </c>
      <c r="Y287" t="s">
        <v>223</v>
      </c>
      <c r="Z287" t="s">
        <v>223</v>
      </c>
      <c r="AA287" t="s">
        <v>223</v>
      </c>
      <c r="AB287" t="s">
        <v>223</v>
      </c>
      <c r="AC287" t="s">
        <v>223</v>
      </c>
      <c r="AD287" t="s">
        <v>223</v>
      </c>
      <c r="AE287" t="s">
        <v>223</v>
      </c>
      <c r="AF287" t="s">
        <v>223</v>
      </c>
      <c r="AG287" t="s">
        <v>223</v>
      </c>
      <c r="AH287" t="s">
        <v>223</v>
      </c>
      <c r="AI287" t="s">
        <v>223</v>
      </c>
      <c r="AJ287" t="s">
        <v>223</v>
      </c>
      <c r="AK287" t="s">
        <v>223</v>
      </c>
      <c r="AL287" t="s">
        <v>223</v>
      </c>
      <c r="AM287" t="s">
        <v>223</v>
      </c>
      <c r="AN287" s="9">
        <v>18</v>
      </c>
    </row>
    <row r="288" spans="1:40">
      <c r="A288" t="s">
        <v>381</v>
      </c>
      <c r="B288">
        <v>19</v>
      </c>
      <c r="C288" t="s">
        <v>223</v>
      </c>
      <c r="D288" t="s">
        <v>223</v>
      </c>
      <c r="E288" t="s">
        <v>223</v>
      </c>
      <c r="F288" t="s">
        <v>223</v>
      </c>
      <c r="G288" t="s">
        <v>223</v>
      </c>
      <c r="H288" t="s">
        <v>223</v>
      </c>
      <c r="I288" t="s">
        <v>223</v>
      </c>
      <c r="J288" t="s">
        <v>223</v>
      </c>
      <c r="K288" t="s">
        <v>223</v>
      </c>
      <c r="L288" t="s">
        <v>223</v>
      </c>
      <c r="M288" t="s">
        <v>223</v>
      </c>
      <c r="N288" t="s">
        <v>223</v>
      </c>
      <c r="O288" t="s">
        <v>223</v>
      </c>
      <c r="P288" t="s">
        <v>223</v>
      </c>
      <c r="Q288" t="s">
        <v>223</v>
      </c>
      <c r="R288" t="s">
        <v>223</v>
      </c>
      <c r="S288" t="s">
        <v>223</v>
      </c>
      <c r="T288" t="s">
        <v>223</v>
      </c>
      <c r="U288" t="s">
        <v>223</v>
      </c>
      <c r="V288" t="s">
        <v>223</v>
      </c>
      <c r="W288" t="s">
        <v>223</v>
      </c>
      <c r="X288" t="s">
        <v>223</v>
      </c>
      <c r="Y288" t="s">
        <v>223</v>
      </c>
      <c r="Z288" t="s">
        <v>223</v>
      </c>
      <c r="AA288" t="s">
        <v>223</v>
      </c>
      <c r="AB288" t="s">
        <v>223</v>
      </c>
      <c r="AC288" t="s">
        <v>223</v>
      </c>
      <c r="AD288" t="s">
        <v>223</v>
      </c>
      <c r="AE288" t="s">
        <v>223</v>
      </c>
      <c r="AF288" t="s">
        <v>223</v>
      </c>
      <c r="AG288" t="s">
        <v>223</v>
      </c>
      <c r="AH288" t="s">
        <v>223</v>
      </c>
      <c r="AI288" t="s">
        <v>223</v>
      </c>
      <c r="AJ288" t="s">
        <v>223</v>
      </c>
      <c r="AK288" t="s">
        <v>223</v>
      </c>
      <c r="AL288" t="s">
        <v>223</v>
      </c>
      <c r="AM288" t="s">
        <v>223</v>
      </c>
      <c r="AN288" s="9">
        <v>19</v>
      </c>
    </row>
    <row r="289" spans="1:40">
      <c r="A289" t="s">
        <v>381</v>
      </c>
      <c r="B289">
        <v>20</v>
      </c>
      <c r="C289" t="s">
        <v>223</v>
      </c>
      <c r="D289" t="s">
        <v>223</v>
      </c>
      <c r="E289" t="s">
        <v>223</v>
      </c>
      <c r="F289" t="s">
        <v>223</v>
      </c>
      <c r="G289" t="s">
        <v>223</v>
      </c>
      <c r="H289" t="s">
        <v>223</v>
      </c>
      <c r="I289" t="s">
        <v>223</v>
      </c>
      <c r="J289" t="s">
        <v>223</v>
      </c>
      <c r="K289" t="s">
        <v>223</v>
      </c>
      <c r="L289" t="s">
        <v>223</v>
      </c>
      <c r="M289" t="s">
        <v>223</v>
      </c>
      <c r="N289" t="s">
        <v>223</v>
      </c>
      <c r="O289" t="s">
        <v>223</v>
      </c>
      <c r="P289" t="s">
        <v>223</v>
      </c>
      <c r="Q289" t="s">
        <v>223</v>
      </c>
      <c r="R289" t="s">
        <v>223</v>
      </c>
      <c r="S289" t="s">
        <v>223</v>
      </c>
      <c r="T289" t="s">
        <v>223</v>
      </c>
      <c r="U289" t="s">
        <v>223</v>
      </c>
      <c r="V289" t="s">
        <v>223</v>
      </c>
      <c r="W289" t="s">
        <v>223</v>
      </c>
      <c r="X289" t="s">
        <v>223</v>
      </c>
      <c r="Y289" t="s">
        <v>223</v>
      </c>
      <c r="Z289" t="s">
        <v>223</v>
      </c>
      <c r="AA289" t="s">
        <v>223</v>
      </c>
      <c r="AB289" t="s">
        <v>223</v>
      </c>
      <c r="AC289" t="s">
        <v>223</v>
      </c>
      <c r="AD289" t="s">
        <v>223</v>
      </c>
      <c r="AE289" t="s">
        <v>223</v>
      </c>
      <c r="AF289" t="s">
        <v>223</v>
      </c>
      <c r="AG289" t="s">
        <v>223</v>
      </c>
      <c r="AH289" t="s">
        <v>223</v>
      </c>
      <c r="AI289" t="s">
        <v>223</v>
      </c>
      <c r="AJ289" t="s">
        <v>223</v>
      </c>
      <c r="AK289" t="s">
        <v>223</v>
      </c>
      <c r="AL289" t="s">
        <v>223</v>
      </c>
      <c r="AM289" t="s">
        <v>223</v>
      </c>
      <c r="AN289" s="9">
        <v>20</v>
      </c>
    </row>
    <row r="290" spans="1:40">
      <c r="A290" t="s">
        <v>381</v>
      </c>
      <c r="B290">
        <v>21</v>
      </c>
      <c r="C290" t="s">
        <v>223</v>
      </c>
      <c r="D290" t="s">
        <v>223</v>
      </c>
      <c r="E290" t="s">
        <v>223</v>
      </c>
      <c r="F290" t="s">
        <v>223</v>
      </c>
      <c r="G290" t="s">
        <v>223</v>
      </c>
      <c r="H290" t="s">
        <v>223</v>
      </c>
      <c r="I290" t="s">
        <v>223</v>
      </c>
      <c r="J290" t="s">
        <v>223</v>
      </c>
      <c r="K290" t="s">
        <v>223</v>
      </c>
      <c r="L290" t="s">
        <v>223</v>
      </c>
      <c r="M290" t="s">
        <v>223</v>
      </c>
      <c r="N290" t="s">
        <v>223</v>
      </c>
      <c r="O290" t="s">
        <v>223</v>
      </c>
      <c r="P290" t="s">
        <v>223</v>
      </c>
      <c r="Q290" t="s">
        <v>223</v>
      </c>
      <c r="R290" t="s">
        <v>223</v>
      </c>
      <c r="S290" t="s">
        <v>223</v>
      </c>
      <c r="T290" t="s">
        <v>223</v>
      </c>
      <c r="U290" t="s">
        <v>223</v>
      </c>
      <c r="V290" t="s">
        <v>223</v>
      </c>
      <c r="W290" t="s">
        <v>223</v>
      </c>
      <c r="X290" t="s">
        <v>223</v>
      </c>
      <c r="Y290" t="s">
        <v>223</v>
      </c>
      <c r="Z290" t="s">
        <v>223</v>
      </c>
      <c r="AA290" t="s">
        <v>223</v>
      </c>
      <c r="AB290" t="s">
        <v>223</v>
      </c>
      <c r="AC290" t="s">
        <v>223</v>
      </c>
      <c r="AD290" t="s">
        <v>223</v>
      </c>
      <c r="AE290" t="s">
        <v>223</v>
      </c>
      <c r="AF290" t="s">
        <v>223</v>
      </c>
      <c r="AG290" t="s">
        <v>223</v>
      </c>
      <c r="AH290" t="s">
        <v>223</v>
      </c>
      <c r="AI290" t="s">
        <v>223</v>
      </c>
      <c r="AJ290" t="s">
        <v>223</v>
      </c>
      <c r="AK290" t="s">
        <v>223</v>
      </c>
      <c r="AL290" t="s">
        <v>223</v>
      </c>
      <c r="AM290" t="s">
        <v>223</v>
      </c>
      <c r="AN290" s="9">
        <v>21</v>
      </c>
    </row>
    <row r="291" spans="1:40">
      <c r="A291" t="s">
        <v>381</v>
      </c>
      <c r="B291">
        <v>22</v>
      </c>
      <c r="C291" t="s">
        <v>223</v>
      </c>
      <c r="D291" t="s">
        <v>223</v>
      </c>
      <c r="E291" t="s">
        <v>223</v>
      </c>
      <c r="F291" t="s">
        <v>223</v>
      </c>
      <c r="G291" t="s">
        <v>223</v>
      </c>
      <c r="H291" t="s">
        <v>223</v>
      </c>
      <c r="I291" t="s">
        <v>223</v>
      </c>
      <c r="J291" t="s">
        <v>223</v>
      </c>
      <c r="K291" t="s">
        <v>223</v>
      </c>
      <c r="L291" t="s">
        <v>223</v>
      </c>
      <c r="M291" t="s">
        <v>223</v>
      </c>
      <c r="N291" t="s">
        <v>223</v>
      </c>
      <c r="O291" t="s">
        <v>223</v>
      </c>
      <c r="P291" t="s">
        <v>223</v>
      </c>
      <c r="Q291" t="s">
        <v>223</v>
      </c>
      <c r="R291" t="s">
        <v>223</v>
      </c>
      <c r="S291" t="s">
        <v>223</v>
      </c>
      <c r="T291" t="s">
        <v>223</v>
      </c>
      <c r="U291" t="s">
        <v>223</v>
      </c>
      <c r="V291" t="s">
        <v>223</v>
      </c>
      <c r="W291" t="s">
        <v>223</v>
      </c>
      <c r="X291" t="s">
        <v>223</v>
      </c>
      <c r="Y291" t="s">
        <v>223</v>
      </c>
      <c r="Z291" t="s">
        <v>223</v>
      </c>
      <c r="AA291" t="s">
        <v>223</v>
      </c>
      <c r="AB291" t="s">
        <v>223</v>
      </c>
      <c r="AC291" t="s">
        <v>223</v>
      </c>
      <c r="AD291" t="s">
        <v>223</v>
      </c>
      <c r="AE291" t="s">
        <v>223</v>
      </c>
      <c r="AF291" t="s">
        <v>223</v>
      </c>
      <c r="AG291" t="s">
        <v>223</v>
      </c>
      <c r="AH291" t="s">
        <v>223</v>
      </c>
      <c r="AI291" t="s">
        <v>223</v>
      </c>
      <c r="AJ291" t="s">
        <v>223</v>
      </c>
      <c r="AK291" t="s">
        <v>223</v>
      </c>
      <c r="AL291" t="s">
        <v>223</v>
      </c>
      <c r="AM291" t="s">
        <v>223</v>
      </c>
      <c r="AN291" s="9">
        <v>22</v>
      </c>
    </row>
    <row r="292" spans="1:40">
      <c r="A292" t="s">
        <v>381</v>
      </c>
      <c r="B292">
        <v>23</v>
      </c>
      <c r="C292" t="s">
        <v>223</v>
      </c>
      <c r="D292" t="s">
        <v>223</v>
      </c>
      <c r="E292" t="s">
        <v>223</v>
      </c>
      <c r="F292" t="s">
        <v>223</v>
      </c>
      <c r="G292" t="s">
        <v>223</v>
      </c>
      <c r="H292" t="s">
        <v>223</v>
      </c>
      <c r="I292" t="s">
        <v>223</v>
      </c>
      <c r="J292" t="s">
        <v>223</v>
      </c>
      <c r="K292" t="s">
        <v>223</v>
      </c>
      <c r="L292" t="s">
        <v>223</v>
      </c>
      <c r="M292" t="s">
        <v>223</v>
      </c>
      <c r="N292" t="s">
        <v>223</v>
      </c>
      <c r="O292" t="s">
        <v>223</v>
      </c>
      <c r="P292" t="s">
        <v>223</v>
      </c>
      <c r="Q292" t="s">
        <v>223</v>
      </c>
      <c r="R292" t="s">
        <v>223</v>
      </c>
      <c r="S292" t="s">
        <v>223</v>
      </c>
      <c r="T292" t="s">
        <v>223</v>
      </c>
      <c r="U292" t="s">
        <v>223</v>
      </c>
      <c r="V292" t="s">
        <v>223</v>
      </c>
      <c r="W292" t="s">
        <v>223</v>
      </c>
      <c r="X292" t="s">
        <v>223</v>
      </c>
      <c r="Y292" t="s">
        <v>223</v>
      </c>
      <c r="Z292" t="s">
        <v>223</v>
      </c>
      <c r="AA292" t="s">
        <v>223</v>
      </c>
      <c r="AB292" t="s">
        <v>223</v>
      </c>
      <c r="AC292" t="s">
        <v>223</v>
      </c>
      <c r="AD292" t="s">
        <v>223</v>
      </c>
      <c r="AE292" t="s">
        <v>223</v>
      </c>
      <c r="AF292" t="s">
        <v>223</v>
      </c>
      <c r="AG292" t="s">
        <v>223</v>
      </c>
      <c r="AH292" t="s">
        <v>223</v>
      </c>
      <c r="AI292" t="s">
        <v>223</v>
      </c>
      <c r="AJ292" t="s">
        <v>223</v>
      </c>
      <c r="AK292" t="s">
        <v>223</v>
      </c>
      <c r="AL292" t="s">
        <v>223</v>
      </c>
      <c r="AM292" t="s">
        <v>223</v>
      </c>
      <c r="AN292" s="9">
        <v>23</v>
      </c>
    </row>
    <row r="293" spans="1:40">
      <c r="A293" t="s">
        <v>381</v>
      </c>
      <c r="B293">
        <v>24</v>
      </c>
      <c r="C293" t="s">
        <v>223</v>
      </c>
      <c r="D293" t="s">
        <v>223</v>
      </c>
      <c r="E293" t="s">
        <v>223</v>
      </c>
      <c r="F293" t="s">
        <v>223</v>
      </c>
      <c r="G293" t="s">
        <v>223</v>
      </c>
      <c r="H293" t="s">
        <v>223</v>
      </c>
      <c r="I293" t="s">
        <v>223</v>
      </c>
      <c r="J293" t="s">
        <v>223</v>
      </c>
      <c r="K293" t="s">
        <v>223</v>
      </c>
      <c r="L293" t="s">
        <v>223</v>
      </c>
      <c r="M293" t="s">
        <v>223</v>
      </c>
      <c r="N293" t="s">
        <v>223</v>
      </c>
      <c r="O293" t="s">
        <v>223</v>
      </c>
      <c r="P293" t="s">
        <v>223</v>
      </c>
      <c r="Q293" t="s">
        <v>223</v>
      </c>
      <c r="R293" t="s">
        <v>223</v>
      </c>
      <c r="S293" t="s">
        <v>223</v>
      </c>
      <c r="T293" t="s">
        <v>223</v>
      </c>
      <c r="U293" t="s">
        <v>223</v>
      </c>
      <c r="V293" t="s">
        <v>223</v>
      </c>
      <c r="W293" t="s">
        <v>223</v>
      </c>
      <c r="X293" t="s">
        <v>223</v>
      </c>
      <c r="Y293" t="s">
        <v>223</v>
      </c>
      <c r="Z293" t="s">
        <v>223</v>
      </c>
      <c r="AA293" t="s">
        <v>223</v>
      </c>
      <c r="AB293" t="s">
        <v>223</v>
      </c>
      <c r="AC293" t="s">
        <v>223</v>
      </c>
      <c r="AD293" t="s">
        <v>223</v>
      </c>
      <c r="AE293" t="s">
        <v>223</v>
      </c>
      <c r="AF293" t="s">
        <v>223</v>
      </c>
      <c r="AG293" t="s">
        <v>223</v>
      </c>
      <c r="AH293" t="s">
        <v>223</v>
      </c>
      <c r="AI293" t="s">
        <v>223</v>
      </c>
      <c r="AJ293" t="s">
        <v>223</v>
      </c>
      <c r="AK293" t="s">
        <v>223</v>
      </c>
      <c r="AL293" t="s">
        <v>223</v>
      </c>
      <c r="AM293" t="s">
        <v>223</v>
      </c>
      <c r="AN293" s="9">
        <v>24</v>
      </c>
    </row>
    <row r="294" spans="1:40">
      <c r="A294" t="s">
        <v>381</v>
      </c>
      <c r="B294">
        <v>25</v>
      </c>
      <c r="C294" t="s">
        <v>223</v>
      </c>
      <c r="D294" t="s">
        <v>223</v>
      </c>
      <c r="E294" t="s">
        <v>223</v>
      </c>
      <c r="F294" t="s">
        <v>223</v>
      </c>
      <c r="G294" t="s">
        <v>223</v>
      </c>
      <c r="H294" t="s">
        <v>223</v>
      </c>
      <c r="I294" t="s">
        <v>223</v>
      </c>
      <c r="J294" t="s">
        <v>223</v>
      </c>
      <c r="K294" t="s">
        <v>223</v>
      </c>
      <c r="L294" t="s">
        <v>223</v>
      </c>
      <c r="M294" t="s">
        <v>223</v>
      </c>
      <c r="N294" t="s">
        <v>223</v>
      </c>
      <c r="O294" t="s">
        <v>223</v>
      </c>
      <c r="P294" t="s">
        <v>223</v>
      </c>
      <c r="Q294" t="s">
        <v>223</v>
      </c>
      <c r="R294" t="s">
        <v>223</v>
      </c>
      <c r="S294" t="s">
        <v>223</v>
      </c>
      <c r="T294" t="s">
        <v>223</v>
      </c>
      <c r="U294" t="s">
        <v>223</v>
      </c>
      <c r="V294" t="s">
        <v>223</v>
      </c>
      <c r="W294" t="s">
        <v>223</v>
      </c>
      <c r="X294" t="s">
        <v>223</v>
      </c>
      <c r="Y294" t="s">
        <v>223</v>
      </c>
      <c r="Z294" t="s">
        <v>223</v>
      </c>
      <c r="AA294" t="s">
        <v>223</v>
      </c>
      <c r="AB294" t="s">
        <v>223</v>
      </c>
      <c r="AC294" t="s">
        <v>223</v>
      </c>
      <c r="AD294" t="s">
        <v>223</v>
      </c>
      <c r="AE294" t="s">
        <v>223</v>
      </c>
      <c r="AF294" t="s">
        <v>223</v>
      </c>
      <c r="AG294" t="s">
        <v>223</v>
      </c>
      <c r="AH294" t="s">
        <v>223</v>
      </c>
      <c r="AI294" t="s">
        <v>223</v>
      </c>
      <c r="AJ294" t="s">
        <v>223</v>
      </c>
      <c r="AK294" t="s">
        <v>223</v>
      </c>
      <c r="AL294" t="s">
        <v>223</v>
      </c>
      <c r="AM294" t="s">
        <v>223</v>
      </c>
      <c r="AN294" s="9">
        <v>25</v>
      </c>
    </row>
    <row r="295" spans="1:40">
      <c r="A295" t="s">
        <v>381</v>
      </c>
      <c r="B295">
        <v>26</v>
      </c>
      <c r="C295" t="s">
        <v>223</v>
      </c>
      <c r="D295" t="s">
        <v>223</v>
      </c>
      <c r="E295" t="s">
        <v>223</v>
      </c>
      <c r="F295" t="s">
        <v>223</v>
      </c>
      <c r="G295" t="s">
        <v>223</v>
      </c>
      <c r="H295" t="s">
        <v>223</v>
      </c>
      <c r="I295" t="s">
        <v>223</v>
      </c>
      <c r="J295" t="s">
        <v>223</v>
      </c>
      <c r="K295" t="s">
        <v>223</v>
      </c>
      <c r="L295" t="s">
        <v>223</v>
      </c>
      <c r="M295" t="s">
        <v>223</v>
      </c>
      <c r="N295" t="s">
        <v>223</v>
      </c>
      <c r="O295" t="s">
        <v>223</v>
      </c>
      <c r="P295" t="s">
        <v>223</v>
      </c>
      <c r="Q295" t="s">
        <v>223</v>
      </c>
      <c r="R295" t="s">
        <v>223</v>
      </c>
      <c r="S295" t="s">
        <v>223</v>
      </c>
      <c r="T295" t="s">
        <v>223</v>
      </c>
      <c r="U295" t="s">
        <v>223</v>
      </c>
      <c r="V295" t="s">
        <v>223</v>
      </c>
      <c r="W295" t="s">
        <v>223</v>
      </c>
      <c r="X295" t="s">
        <v>223</v>
      </c>
      <c r="Y295" t="s">
        <v>223</v>
      </c>
      <c r="Z295" t="s">
        <v>223</v>
      </c>
      <c r="AA295" t="s">
        <v>223</v>
      </c>
      <c r="AB295" t="s">
        <v>223</v>
      </c>
      <c r="AC295" t="s">
        <v>223</v>
      </c>
      <c r="AD295" t="s">
        <v>223</v>
      </c>
      <c r="AE295" t="s">
        <v>223</v>
      </c>
      <c r="AF295" t="s">
        <v>223</v>
      </c>
      <c r="AG295" t="s">
        <v>223</v>
      </c>
      <c r="AH295" t="s">
        <v>223</v>
      </c>
      <c r="AI295" t="s">
        <v>223</v>
      </c>
      <c r="AJ295" t="s">
        <v>223</v>
      </c>
      <c r="AK295" t="s">
        <v>223</v>
      </c>
      <c r="AL295" t="s">
        <v>223</v>
      </c>
      <c r="AM295" t="s">
        <v>223</v>
      </c>
      <c r="AN295" s="9">
        <v>26</v>
      </c>
    </row>
    <row r="296" spans="1:40">
      <c r="A296" t="s">
        <v>381</v>
      </c>
      <c r="B296">
        <v>27</v>
      </c>
      <c r="C296" t="s">
        <v>223</v>
      </c>
      <c r="D296" t="s">
        <v>223</v>
      </c>
      <c r="E296" t="s">
        <v>223</v>
      </c>
      <c r="F296" t="s">
        <v>223</v>
      </c>
      <c r="G296" t="s">
        <v>223</v>
      </c>
      <c r="H296" t="s">
        <v>223</v>
      </c>
      <c r="I296" t="s">
        <v>223</v>
      </c>
      <c r="J296" t="s">
        <v>223</v>
      </c>
      <c r="K296" t="s">
        <v>223</v>
      </c>
      <c r="L296" t="s">
        <v>223</v>
      </c>
      <c r="M296" t="s">
        <v>223</v>
      </c>
      <c r="N296" t="s">
        <v>223</v>
      </c>
      <c r="O296" t="s">
        <v>223</v>
      </c>
      <c r="P296" t="s">
        <v>223</v>
      </c>
      <c r="Q296" t="s">
        <v>223</v>
      </c>
      <c r="R296" t="s">
        <v>223</v>
      </c>
      <c r="S296" t="s">
        <v>223</v>
      </c>
      <c r="T296" t="s">
        <v>223</v>
      </c>
      <c r="U296" t="s">
        <v>223</v>
      </c>
      <c r="V296" t="s">
        <v>223</v>
      </c>
      <c r="W296" t="s">
        <v>223</v>
      </c>
      <c r="X296" t="s">
        <v>223</v>
      </c>
      <c r="Y296" t="s">
        <v>223</v>
      </c>
      <c r="Z296" t="s">
        <v>223</v>
      </c>
      <c r="AA296" t="s">
        <v>223</v>
      </c>
      <c r="AB296" t="s">
        <v>223</v>
      </c>
      <c r="AC296" t="s">
        <v>223</v>
      </c>
      <c r="AD296" t="s">
        <v>223</v>
      </c>
      <c r="AE296" t="s">
        <v>223</v>
      </c>
      <c r="AF296" t="s">
        <v>223</v>
      </c>
      <c r="AG296" t="s">
        <v>223</v>
      </c>
      <c r="AH296" t="s">
        <v>223</v>
      </c>
      <c r="AI296" t="s">
        <v>223</v>
      </c>
      <c r="AJ296" t="s">
        <v>223</v>
      </c>
      <c r="AK296" t="s">
        <v>223</v>
      </c>
      <c r="AL296" t="s">
        <v>223</v>
      </c>
      <c r="AM296" t="s">
        <v>223</v>
      </c>
      <c r="AN296" s="9">
        <v>27</v>
      </c>
    </row>
    <row r="297" spans="1:40">
      <c r="A297" t="s">
        <v>381</v>
      </c>
      <c r="B297">
        <v>28</v>
      </c>
      <c r="C297" t="s">
        <v>223</v>
      </c>
      <c r="D297" t="s">
        <v>223</v>
      </c>
      <c r="E297" t="s">
        <v>223</v>
      </c>
      <c r="F297" t="s">
        <v>223</v>
      </c>
      <c r="G297" t="s">
        <v>223</v>
      </c>
      <c r="H297" t="s">
        <v>223</v>
      </c>
      <c r="I297" t="s">
        <v>223</v>
      </c>
      <c r="J297" t="s">
        <v>223</v>
      </c>
      <c r="K297" t="s">
        <v>223</v>
      </c>
      <c r="L297" t="s">
        <v>223</v>
      </c>
      <c r="M297" t="s">
        <v>223</v>
      </c>
      <c r="N297" t="s">
        <v>223</v>
      </c>
      <c r="O297" t="s">
        <v>223</v>
      </c>
      <c r="P297" t="s">
        <v>223</v>
      </c>
      <c r="Q297" t="s">
        <v>223</v>
      </c>
      <c r="R297" t="s">
        <v>223</v>
      </c>
      <c r="S297" t="s">
        <v>223</v>
      </c>
      <c r="T297" t="s">
        <v>223</v>
      </c>
      <c r="U297" t="s">
        <v>223</v>
      </c>
      <c r="V297" t="s">
        <v>223</v>
      </c>
      <c r="W297" t="s">
        <v>223</v>
      </c>
      <c r="X297" t="s">
        <v>223</v>
      </c>
      <c r="Y297" t="s">
        <v>223</v>
      </c>
      <c r="Z297" t="s">
        <v>223</v>
      </c>
      <c r="AA297" t="s">
        <v>223</v>
      </c>
      <c r="AB297" t="s">
        <v>223</v>
      </c>
      <c r="AC297" t="s">
        <v>223</v>
      </c>
      <c r="AD297" t="s">
        <v>223</v>
      </c>
      <c r="AE297" t="s">
        <v>223</v>
      </c>
      <c r="AF297" t="s">
        <v>223</v>
      </c>
      <c r="AG297" t="s">
        <v>223</v>
      </c>
      <c r="AH297" t="s">
        <v>223</v>
      </c>
      <c r="AI297" t="s">
        <v>223</v>
      </c>
      <c r="AJ297" t="s">
        <v>223</v>
      </c>
      <c r="AK297" t="s">
        <v>223</v>
      </c>
      <c r="AL297" t="s">
        <v>223</v>
      </c>
      <c r="AM297" t="s">
        <v>223</v>
      </c>
      <c r="AN297" s="9">
        <v>28</v>
      </c>
    </row>
    <row r="298" spans="1:40">
      <c r="A298" t="s">
        <v>381</v>
      </c>
      <c r="B298">
        <v>29</v>
      </c>
      <c r="C298" t="s">
        <v>223</v>
      </c>
      <c r="D298" t="s">
        <v>223</v>
      </c>
      <c r="E298" t="s">
        <v>223</v>
      </c>
      <c r="F298" t="s">
        <v>223</v>
      </c>
      <c r="G298" t="s">
        <v>223</v>
      </c>
      <c r="H298" t="s">
        <v>223</v>
      </c>
      <c r="I298" t="s">
        <v>223</v>
      </c>
      <c r="J298" t="s">
        <v>223</v>
      </c>
      <c r="K298" t="s">
        <v>223</v>
      </c>
      <c r="L298" t="s">
        <v>223</v>
      </c>
      <c r="M298" t="s">
        <v>223</v>
      </c>
      <c r="N298" t="s">
        <v>223</v>
      </c>
      <c r="O298" t="s">
        <v>223</v>
      </c>
      <c r="P298" t="s">
        <v>223</v>
      </c>
      <c r="Q298" t="s">
        <v>223</v>
      </c>
      <c r="R298" t="s">
        <v>223</v>
      </c>
      <c r="S298" t="s">
        <v>223</v>
      </c>
      <c r="T298" t="s">
        <v>223</v>
      </c>
      <c r="U298" t="s">
        <v>223</v>
      </c>
      <c r="V298" t="s">
        <v>223</v>
      </c>
      <c r="W298" t="s">
        <v>223</v>
      </c>
      <c r="X298" t="s">
        <v>223</v>
      </c>
      <c r="Y298" t="s">
        <v>223</v>
      </c>
      <c r="Z298" t="s">
        <v>223</v>
      </c>
      <c r="AA298" t="s">
        <v>223</v>
      </c>
      <c r="AB298" t="s">
        <v>223</v>
      </c>
      <c r="AC298" t="s">
        <v>223</v>
      </c>
      <c r="AD298" t="s">
        <v>223</v>
      </c>
      <c r="AE298" t="s">
        <v>223</v>
      </c>
      <c r="AF298" t="s">
        <v>223</v>
      </c>
      <c r="AG298" t="s">
        <v>223</v>
      </c>
      <c r="AH298" t="s">
        <v>223</v>
      </c>
      <c r="AI298" t="s">
        <v>223</v>
      </c>
      <c r="AJ298" t="s">
        <v>223</v>
      </c>
      <c r="AK298" t="s">
        <v>223</v>
      </c>
      <c r="AL298" t="s">
        <v>223</v>
      </c>
      <c r="AM298" t="s">
        <v>223</v>
      </c>
      <c r="AN298" s="9">
        <v>29</v>
      </c>
    </row>
    <row r="299" spans="1:40">
      <c r="A299" t="s">
        <v>381</v>
      </c>
      <c r="B299">
        <v>30</v>
      </c>
      <c r="C299" t="s">
        <v>223</v>
      </c>
      <c r="D299" t="s">
        <v>223</v>
      </c>
      <c r="E299" t="s">
        <v>223</v>
      </c>
      <c r="F299" t="s">
        <v>223</v>
      </c>
      <c r="G299" t="s">
        <v>223</v>
      </c>
      <c r="H299" t="s">
        <v>223</v>
      </c>
      <c r="I299" t="s">
        <v>223</v>
      </c>
      <c r="J299" t="s">
        <v>223</v>
      </c>
      <c r="K299" t="s">
        <v>223</v>
      </c>
      <c r="L299" t="s">
        <v>223</v>
      </c>
      <c r="M299" t="s">
        <v>223</v>
      </c>
      <c r="N299" t="s">
        <v>223</v>
      </c>
      <c r="O299" t="s">
        <v>223</v>
      </c>
      <c r="P299" t="s">
        <v>223</v>
      </c>
      <c r="Q299" t="s">
        <v>223</v>
      </c>
      <c r="R299" t="s">
        <v>223</v>
      </c>
      <c r="S299" t="s">
        <v>223</v>
      </c>
      <c r="T299" t="s">
        <v>223</v>
      </c>
      <c r="U299" t="s">
        <v>223</v>
      </c>
      <c r="V299" t="s">
        <v>223</v>
      </c>
      <c r="W299" t="s">
        <v>223</v>
      </c>
      <c r="X299" t="s">
        <v>223</v>
      </c>
      <c r="Y299" t="s">
        <v>223</v>
      </c>
      <c r="Z299" t="s">
        <v>223</v>
      </c>
      <c r="AA299" t="s">
        <v>223</v>
      </c>
      <c r="AB299" t="s">
        <v>223</v>
      </c>
      <c r="AC299" t="s">
        <v>223</v>
      </c>
      <c r="AD299" t="s">
        <v>223</v>
      </c>
      <c r="AE299" t="s">
        <v>223</v>
      </c>
      <c r="AF299" t="s">
        <v>223</v>
      </c>
      <c r="AG299" t="s">
        <v>223</v>
      </c>
      <c r="AH299" t="s">
        <v>223</v>
      </c>
      <c r="AI299" t="s">
        <v>223</v>
      </c>
      <c r="AJ299" t="s">
        <v>223</v>
      </c>
      <c r="AK299" t="s">
        <v>223</v>
      </c>
      <c r="AL299" t="s">
        <v>223</v>
      </c>
      <c r="AM299" t="s">
        <v>223</v>
      </c>
      <c r="AN299" s="9">
        <v>30</v>
      </c>
    </row>
    <row r="300" spans="1:40">
      <c r="A300" t="s">
        <v>381</v>
      </c>
      <c r="B300">
        <v>31</v>
      </c>
      <c r="C300" t="s">
        <v>223</v>
      </c>
      <c r="D300" t="s">
        <v>223</v>
      </c>
      <c r="E300" t="s">
        <v>223</v>
      </c>
      <c r="F300" t="s">
        <v>223</v>
      </c>
      <c r="G300" t="s">
        <v>223</v>
      </c>
      <c r="H300" t="s">
        <v>223</v>
      </c>
      <c r="I300" t="s">
        <v>223</v>
      </c>
      <c r="J300" t="s">
        <v>223</v>
      </c>
      <c r="K300" t="s">
        <v>223</v>
      </c>
      <c r="L300" t="s">
        <v>223</v>
      </c>
      <c r="M300" t="s">
        <v>223</v>
      </c>
      <c r="N300" t="s">
        <v>223</v>
      </c>
      <c r="O300" t="s">
        <v>223</v>
      </c>
      <c r="P300" t="s">
        <v>223</v>
      </c>
      <c r="Q300" t="s">
        <v>223</v>
      </c>
      <c r="R300" t="s">
        <v>223</v>
      </c>
      <c r="S300" t="s">
        <v>223</v>
      </c>
      <c r="T300" t="s">
        <v>223</v>
      </c>
      <c r="U300" t="s">
        <v>223</v>
      </c>
      <c r="V300" t="s">
        <v>223</v>
      </c>
      <c r="W300" t="s">
        <v>223</v>
      </c>
      <c r="X300" t="s">
        <v>223</v>
      </c>
      <c r="Y300" t="s">
        <v>223</v>
      </c>
      <c r="Z300" t="s">
        <v>223</v>
      </c>
      <c r="AA300" t="s">
        <v>223</v>
      </c>
      <c r="AB300" t="s">
        <v>223</v>
      </c>
      <c r="AC300" t="s">
        <v>223</v>
      </c>
      <c r="AD300" t="s">
        <v>223</v>
      </c>
      <c r="AE300" t="s">
        <v>223</v>
      </c>
      <c r="AF300" t="s">
        <v>223</v>
      </c>
      <c r="AG300" t="s">
        <v>223</v>
      </c>
      <c r="AH300" t="s">
        <v>223</v>
      </c>
      <c r="AI300" t="s">
        <v>223</v>
      </c>
      <c r="AJ300" t="s">
        <v>223</v>
      </c>
      <c r="AK300" t="s">
        <v>223</v>
      </c>
      <c r="AL300" t="s">
        <v>223</v>
      </c>
      <c r="AM300" t="s">
        <v>223</v>
      </c>
      <c r="AN300" s="9">
        <v>31</v>
      </c>
    </row>
    <row r="301" spans="1:40">
      <c r="A301" t="s">
        <v>381</v>
      </c>
      <c r="B301">
        <v>32</v>
      </c>
      <c r="C301" t="s">
        <v>223</v>
      </c>
      <c r="D301" t="s">
        <v>223</v>
      </c>
      <c r="E301" t="s">
        <v>223</v>
      </c>
      <c r="F301" t="s">
        <v>223</v>
      </c>
      <c r="G301" t="s">
        <v>223</v>
      </c>
      <c r="H301" t="s">
        <v>223</v>
      </c>
      <c r="I301" t="s">
        <v>223</v>
      </c>
      <c r="J301" t="s">
        <v>223</v>
      </c>
      <c r="K301" t="s">
        <v>223</v>
      </c>
      <c r="L301" t="s">
        <v>223</v>
      </c>
      <c r="M301" t="s">
        <v>223</v>
      </c>
      <c r="N301" t="s">
        <v>223</v>
      </c>
      <c r="O301" t="s">
        <v>223</v>
      </c>
      <c r="P301" t="s">
        <v>223</v>
      </c>
      <c r="Q301" t="s">
        <v>223</v>
      </c>
      <c r="R301" t="s">
        <v>223</v>
      </c>
      <c r="S301" t="s">
        <v>223</v>
      </c>
      <c r="T301" t="s">
        <v>223</v>
      </c>
      <c r="U301" t="s">
        <v>223</v>
      </c>
      <c r="V301" t="s">
        <v>223</v>
      </c>
      <c r="W301" t="s">
        <v>223</v>
      </c>
      <c r="X301" t="s">
        <v>223</v>
      </c>
      <c r="Y301" t="s">
        <v>223</v>
      </c>
      <c r="Z301" t="s">
        <v>223</v>
      </c>
      <c r="AA301" t="s">
        <v>223</v>
      </c>
      <c r="AB301" t="s">
        <v>223</v>
      </c>
      <c r="AC301" t="s">
        <v>223</v>
      </c>
      <c r="AD301" t="s">
        <v>223</v>
      </c>
      <c r="AE301" t="s">
        <v>223</v>
      </c>
      <c r="AF301" t="s">
        <v>223</v>
      </c>
      <c r="AG301" t="s">
        <v>223</v>
      </c>
      <c r="AH301" t="s">
        <v>223</v>
      </c>
      <c r="AI301" t="s">
        <v>223</v>
      </c>
      <c r="AJ301" t="s">
        <v>223</v>
      </c>
      <c r="AK301" t="s">
        <v>223</v>
      </c>
      <c r="AL301" t="s">
        <v>223</v>
      </c>
      <c r="AM301" t="s">
        <v>223</v>
      </c>
      <c r="AN301" s="9">
        <v>32</v>
      </c>
    </row>
    <row r="302" spans="1:40">
      <c r="A302" t="s">
        <v>381</v>
      </c>
      <c r="B302">
        <v>33</v>
      </c>
      <c r="C302" t="s">
        <v>223</v>
      </c>
      <c r="D302" t="s">
        <v>223</v>
      </c>
      <c r="E302" t="s">
        <v>223</v>
      </c>
      <c r="F302" t="s">
        <v>223</v>
      </c>
      <c r="G302" t="s">
        <v>223</v>
      </c>
      <c r="H302" t="s">
        <v>223</v>
      </c>
      <c r="I302" t="s">
        <v>223</v>
      </c>
      <c r="J302" t="s">
        <v>223</v>
      </c>
      <c r="K302" t="s">
        <v>223</v>
      </c>
      <c r="L302" t="s">
        <v>223</v>
      </c>
      <c r="M302" t="s">
        <v>223</v>
      </c>
      <c r="N302" t="s">
        <v>223</v>
      </c>
      <c r="O302" t="s">
        <v>223</v>
      </c>
      <c r="P302" t="s">
        <v>223</v>
      </c>
      <c r="Q302" t="s">
        <v>223</v>
      </c>
      <c r="R302" t="s">
        <v>223</v>
      </c>
      <c r="S302" t="s">
        <v>223</v>
      </c>
      <c r="T302" t="s">
        <v>223</v>
      </c>
      <c r="U302" t="s">
        <v>223</v>
      </c>
      <c r="V302" t="s">
        <v>223</v>
      </c>
      <c r="W302" t="s">
        <v>223</v>
      </c>
      <c r="X302" t="s">
        <v>223</v>
      </c>
      <c r="Y302" t="s">
        <v>223</v>
      </c>
      <c r="Z302" t="s">
        <v>223</v>
      </c>
      <c r="AA302" t="s">
        <v>223</v>
      </c>
      <c r="AB302" t="s">
        <v>223</v>
      </c>
      <c r="AC302" t="s">
        <v>223</v>
      </c>
      <c r="AD302" t="s">
        <v>223</v>
      </c>
      <c r="AE302" t="s">
        <v>223</v>
      </c>
      <c r="AF302" t="s">
        <v>223</v>
      </c>
      <c r="AG302" t="s">
        <v>223</v>
      </c>
      <c r="AH302" t="s">
        <v>223</v>
      </c>
      <c r="AI302" t="s">
        <v>223</v>
      </c>
      <c r="AJ302" t="s">
        <v>223</v>
      </c>
      <c r="AK302" t="s">
        <v>223</v>
      </c>
      <c r="AL302" t="s">
        <v>223</v>
      </c>
      <c r="AM302" t="s">
        <v>223</v>
      </c>
      <c r="AN302" s="9">
        <v>33</v>
      </c>
    </row>
    <row r="303" spans="1:40">
      <c r="A303" t="s">
        <v>381</v>
      </c>
      <c r="B303">
        <v>34</v>
      </c>
      <c r="C303" t="s">
        <v>223</v>
      </c>
      <c r="D303" t="s">
        <v>223</v>
      </c>
      <c r="E303" t="s">
        <v>223</v>
      </c>
      <c r="F303" t="s">
        <v>223</v>
      </c>
      <c r="G303" t="s">
        <v>223</v>
      </c>
      <c r="H303" t="s">
        <v>223</v>
      </c>
      <c r="I303" t="s">
        <v>223</v>
      </c>
      <c r="J303" t="s">
        <v>223</v>
      </c>
      <c r="K303" t="s">
        <v>223</v>
      </c>
      <c r="L303" t="s">
        <v>223</v>
      </c>
      <c r="M303" t="s">
        <v>223</v>
      </c>
      <c r="N303" t="s">
        <v>223</v>
      </c>
      <c r="O303" t="s">
        <v>223</v>
      </c>
      <c r="P303" t="s">
        <v>223</v>
      </c>
      <c r="Q303" t="s">
        <v>223</v>
      </c>
      <c r="R303" t="s">
        <v>223</v>
      </c>
      <c r="S303" t="s">
        <v>223</v>
      </c>
      <c r="T303" t="s">
        <v>223</v>
      </c>
      <c r="U303" t="s">
        <v>223</v>
      </c>
      <c r="V303" t="s">
        <v>223</v>
      </c>
      <c r="W303" t="s">
        <v>223</v>
      </c>
      <c r="X303" t="s">
        <v>223</v>
      </c>
      <c r="Y303" t="s">
        <v>223</v>
      </c>
      <c r="Z303" t="s">
        <v>223</v>
      </c>
      <c r="AA303" t="s">
        <v>223</v>
      </c>
      <c r="AB303" t="s">
        <v>223</v>
      </c>
      <c r="AC303" t="s">
        <v>223</v>
      </c>
      <c r="AD303" t="s">
        <v>223</v>
      </c>
      <c r="AE303" t="s">
        <v>223</v>
      </c>
      <c r="AF303" t="s">
        <v>223</v>
      </c>
      <c r="AG303" t="s">
        <v>223</v>
      </c>
      <c r="AH303" t="s">
        <v>223</v>
      </c>
      <c r="AI303" t="s">
        <v>223</v>
      </c>
      <c r="AJ303" t="s">
        <v>223</v>
      </c>
      <c r="AK303" t="s">
        <v>223</v>
      </c>
      <c r="AL303" t="s">
        <v>223</v>
      </c>
      <c r="AM303" t="s">
        <v>223</v>
      </c>
      <c r="AN303" s="9">
        <v>34</v>
      </c>
    </row>
    <row r="304" spans="1:40">
      <c r="A304" t="s">
        <v>381</v>
      </c>
      <c r="B304">
        <v>35</v>
      </c>
      <c r="C304" t="s">
        <v>223</v>
      </c>
      <c r="D304" t="s">
        <v>223</v>
      </c>
      <c r="E304" t="s">
        <v>223</v>
      </c>
      <c r="F304" t="s">
        <v>223</v>
      </c>
      <c r="G304" t="s">
        <v>223</v>
      </c>
      <c r="H304" t="s">
        <v>223</v>
      </c>
      <c r="I304" t="s">
        <v>223</v>
      </c>
      <c r="J304" t="s">
        <v>223</v>
      </c>
      <c r="K304" t="s">
        <v>223</v>
      </c>
      <c r="L304" t="s">
        <v>223</v>
      </c>
      <c r="M304" t="s">
        <v>223</v>
      </c>
      <c r="N304" t="s">
        <v>223</v>
      </c>
      <c r="O304" t="s">
        <v>223</v>
      </c>
      <c r="P304" t="s">
        <v>223</v>
      </c>
      <c r="Q304" t="s">
        <v>223</v>
      </c>
      <c r="R304" t="s">
        <v>223</v>
      </c>
      <c r="S304" t="s">
        <v>223</v>
      </c>
      <c r="T304" t="s">
        <v>223</v>
      </c>
      <c r="U304" t="s">
        <v>223</v>
      </c>
      <c r="V304" t="s">
        <v>223</v>
      </c>
      <c r="W304" t="s">
        <v>223</v>
      </c>
      <c r="X304" t="s">
        <v>223</v>
      </c>
      <c r="Y304" t="s">
        <v>223</v>
      </c>
      <c r="Z304" t="s">
        <v>223</v>
      </c>
      <c r="AA304" t="s">
        <v>223</v>
      </c>
      <c r="AB304" t="s">
        <v>223</v>
      </c>
      <c r="AC304" t="s">
        <v>223</v>
      </c>
      <c r="AD304" t="s">
        <v>223</v>
      </c>
      <c r="AE304" t="s">
        <v>223</v>
      </c>
      <c r="AF304" t="s">
        <v>223</v>
      </c>
      <c r="AG304" t="s">
        <v>223</v>
      </c>
      <c r="AH304" t="s">
        <v>223</v>
      </c>
      <c r="AI304" t="s">
        <v>223</v>
      </c>
      <c r="AJ304" t="s">
        <v>223</v>
      </c>
      <c r="AK304" t="s">
        <v>223</v>
      </c>
      <c r="AL304" t="s">
        <v>223</v>
      </c>
      <c r="AM304" t="s">
        <v>223</v>
      </c>
      <c r="AN304" s="9">
        <v>35</v>
      </c>
    </row>
    <row r="305" spans="1:40">
      <c r="A305" t="s">
        <v>381</v>
      </c>
      <c r="B305">
        <v>36</v>
      </c>
      <c r="C305" t="s">
        <v>223</v>
      </c>
      <c r="D305" t="s">
        <v>223</v>
      </c>
      <c r="E305" t="s">
        <v>223</v>
      </c>
      <c r="F305" t="s">
        <v>223</v>
      </c>
      <c r="G305" t="s">
        <v>223</v>
      </c>
      <c r="H305" t="s">
        <v>223</v>
      </c>
      <c r="I305" t="s">
        <v>223</v>
      </c>
      <c r="J305" t="s">
        <v>223</v>
      </c>
      <c r="K305" t="s">
        <v>223</v>
      </c>
      <c r="L305" t="s">
        <v>223</v>
      </c>
      <c r="M305" t="s">
        <v>223</v>
      </c>
      <c r="N305" t="s">
        <v>223</v>
      </c>
      <c r="O305" t="s">
        <v>223</v>
      </c>
      <c r="P305" t="s">
        <v>223</v>
      </c>
      <c r="Q305" t="s">
        <v>223</v>
      </c>
      <c r="R305" t="s">
        <v>223</v>
      </c>
      <c r="S305" t="s">
        <v>223</v>
      </c>
      <c r="T305" t="s">
        <v>223</v>
      </c>
      <c r="U305" t="s">
        <v>223</v>
      </c>
      <c r="V305" t="s">
        <v>223</v>
      </c>
      <c r="W305" t="s">
        <v>223</v>
      </c>
      <c r="X305" t="s">
        <v>223</v>
      </c>
      <c r="Y305" t="s">
        <v>223</v>
      </c>
      <c r="Z305" t="s">
        <v>223</v>
      </c>
      <c r="AA305" t="s">
        <v>223</v>
      </c>
      <c r="AB305" t="s">
        <v>223</v>
      </c>
      <c r="AC305" t="s">
        <v>223</v>
      </c>
      <c r="AD305" t="s">
        <v>223</v>
      </c>
      <c r="AE305" t="s">
        <v>223</v>
      </c>
      <c r="AF305" t="s">
        <v>223</v>
      </c>
      <c r="AG305" t="s">
        <v>223</v>
      </c>
      <c r="AH305" t="s">
        <v>223</v>
      </c>
      <c r="AI305" t="s">
        <v>223</v>
      </c>
      <c r="AJ305" t="s">
        <v>223</v>
      </c>
      <c r="AK305" t="s">
        <v>223</v>
      </c>
      <c r="AL305" t="s">
        <v>223</v>
      </c>
      <c r="AM305" t="s">
        <v>223</v>
      </c>
      <c r="AN305" s="9">
        <v>36</v>
      </c>
    </row>
    <row r="306" spans="1:40">
      <c r="A306" t="s">
        <v>381</v>
      </c>
      <c r="B306">
        <v>37</v>
      </c>
      <c r="C306" t="s">
        <v>223</v>
      </c>
      <c r="D306" t="s">
        <v>223</v>
      </c>
      <c r="E306" t="s">
        <v>223</v>
      </c>
      <c r="F306" t="s">
        <v>223</v>
      </c>
      <c r="G306" t="s">
        <v>223</v>
      </c>
      <c r="H306" t="s">
        <v>223</v>
      </c>
      <c r="I306" t="s">
        <v>223</v>
      </c>
      <c r="J306" t="s">
        <v>223</v>
      </c>
      <c r="K306" t="s">
        <v>223</v>
      </c>
      <c r="L306" t="s">
        <v>223</v>
      </c>
      <c r="M306" t="s">
        <v>223</v>
      </c>
      <c r="N306" t="s">
        <v>223</v>
      </c>
      <c r="O306" t="s">
        <v>223</v>
      </c>
      <c r="P306" t="s">
        <v>223</v>
      </c>
      <c r="Q306" t="s">
        <v>223</v>
      </c>
      <c r="R306" t="s">
        <v>223</v>
      </c>
      <c r="S306" t="s">
        <v>223</v>
      </c>
      <c r="T306" t="s">
        <v>223</v>
      </c>
      <c r="U306" t="s">
        <v>223</v>
      </c>
      <c r="V306" t="s">
        <v>223</v>
      </c>
      <c r="W306" t="s">
        <v>223</v>
      </c>
      <c r="X306" t="s">
        <v>223</v>
      </c>
      <c r="Y306" t="s">
        <v>223</v>
      </c>
      <c r="Z306" t="s">
        <v>223</v>
      </c>
      <c r="AA306" t="s">
        <v>223</v>
      </c>
      <c r="AB306" t="s">
        <v>223</v>
      </c>
      <c r="AC306" t="s">
        <v>223</v>
      </c>
      <c r="AD306" t="s">
        <v>223</v>
      </c>
      <c r="AE306" t="s">
        <v>223</v>
      </c>
      <c r="AF306" t="s">
        <v>223</v>
      </c>
      <c r="AG306" t="s">
        <v>223</v>
      </c>
      <c r="AH306" t="s">
        <v>223</v>
      </c>
      <c r="AI306" t="s">
        <v>223</v>
      </c>
      <c r="AJ306" t="s">
        <v>223</v>
      </c>
      <c r="AK306" t="s">
        <v>223</v>
      </c>
      <c r="AL306" t="s">
        <v>223</v>
      </c>
      <c r="AM306" t="s">
        <v>223</v>
      </c>
      <c r="AN306" s="9">
        <v>37</v>
      </c>
    </row>
    <row r="307" spans="1:40">
      <c r="A307" t="s">
        <v>381</v>
      </c>
      <c r="B307">
        <v>38</v>
      </c>
      <c r="C307" t="s">
        <v>223</v>
      </c>
      <c r="D307" t="s">
        <v>223</v>
      </c>
      <c r="E307" t="s">
        <v>223</v>
      </c>
      <c r="F307" t="s">
        <v>223</v>
      </c>
      <c r="G307" t="s">
        <v>223</v>
      </c>
      <c r="H307" t="s">
        <v>223</v>
      </c>
      <c r="I307" t="s">
        <v>223</v>
      </c>
      <c r="J307" t="s">
        <v>223</v>
      </c>
      <c r="K307" t="s">
        <v>223</v>
      </c>
      <c r="L307" t="s">
        <v>223</v>
      </c>
      <c r="M307" t="s">
        <v>223</v>
      </c>
      <c r="N307" t="s">
        <v>223</v>
      </c>
      <c r="O307" t="s">
        <v>223</v>
      </c>
      <c r="P307" t="s">
        <v>223</v>
      </c>
      <c r="Q307" t="s">
        <v>223</v>
      </c>
      <c r="R307" t="s">
        <v>223</v>
      </c>
      <c r="S307" t="s">
        <v>223</v>
      </c>
      <c r="T307" t="s">
        <v>223</v>
      </c>
      <c r="U307" t="s">
        <v>223</v>
      </c>
      <c r="V307" t="s">
        <v>223</v>
      </c>
      <c r="W307" t="s">
        <v>223</v>
      </c>
      <c r="X307" t="s">
        <v>223</v>
      </c>
      <c r="Y307" t="s">
        <v>223</v>
      </c>
      <c r="Z307" t="s">
        <v>223</v>
      </c>
      <c r="AA307" t="s">
        <v>223</v>
      </c>
      <c r="AB307" t="s">
        <v>223</v>
      </c>
      <c r="AC307" t="s">
        <v>223</v>
      </c>
      <c r="AD307" t="s">
        <v>223</v>
      </c>
      <c r="AE307" t="s">
        <v>223</v>
      </c>
      <c r="AF307" t="s">
        <v>223</v>
      </c>
      <c r="AG307" t="s">
        <v>223</v>
      </c>
      <c r="AH307" t="s">
        <v>223</v>
      </c>
      <c r="AI307" t="s">
        <v>223</v>
      </c>
      <c r="AJ307" t="s">
        <v>223</v>
      </c>
      <c r="AK307" t="s">
        <v>223</v>
      </c>
      <c r="AL307" t="s">
        <v>223</v>
      </c>
      <c r="AM307" t="s">
        <v>223</v>
      </c>
      <c r="AN307" s="9">
        <v>38</v>
      </c>
    </row>
    <row r="308" spans="1:40">
      <c r="A308" t="s">
        <v>381</v>
      </c>
      <c r="B308">
        <v>39</v>
      </c>
      <c r="C308" t="s">
        <v>223</v>
      </c>
      <c r="D308" t="s">
        <v>223</v>
      </c>
      <c r="E308" t="s">
        <v>223</v>
      </c>
      <c r="F308" t="s">
        <v>223</v>
      </c>
      <c r="G308" t="s">
        <v>223</v>
      </c>
      <c r="H308" t="s">
        <v>223</v>
      </c>
      <c r="I308" t="s">
        <v>223</v>
      </c>
      <c r="J308" t="s">
        <v>223</v>
      </c>
      <c r="K308" t="s">
        <v>223</v>
      </c>
      <c r="L308" t="s">
        <v>223</v>
      </c>
      <c r="M308" t="s">
        <v>223</v>
      </c>
      <c r="N308" t="s">
        <v>223</v>
      </c>
      <c r="O308" t="s">
        <v>223</v>
      </c>
      <c r="P308" t="s">
        <v>223</v>
      </c>
      <c r="Q308" t="s">
        <v>223</v>
      </c>
      <c r="R308" t="s">
        <v>223</v>
      </c>
      <c r="S308" t="s">
        <v>223</v>
      </c>
      <c r="T308" t="s">
        <v>223</v>
      </c>
      <c r="U308" t="s">
        <v>223</v>
      </c>
      <c r="V308" t="s">
        <v>223</v>
      </c>
      <c r="W308" t="s">
        <v>223</v>
      </c>
      <c r="X308" t="s">
        <v>223</v>
      </c>
      <c r="Y308" t="s">
        <v>223</v>
      </c>
      <c r="Z308" t="s">
        <v>223</v>
      </c>
      <c r="AA308" t="s">
        <v>223</v>
      </c>
      <c r="AB308" t="s">
        <v>223</v>
      </c>
      <c r="AC308" t="s">
        <v>223</v>
      </c>
      <c r="AD308" t="s">
        <v>223</v>
      </c>
      <c r="AE308" t="s">
        <v>223</v>
      </c>
      <c r="AF308" t="s">
        <v>223</v>
      </c>
      <c r="AG308" t="s">
        <v>223</v>
      </c>
      <c r="AH308" t="s">
        <v>223</v>
      </c>
      <c r="AI308" t="s">
        <v>223</v>
      </c>
      <c r="AJ308" t="s">
        <v>223</v>
      </c>
      <c r="AK308" t="s">
        <v>223</v>
      </c>
      <c r="AL308" t="s">
        <v>223</v>
      </c>
      <c r="AM308" t="s">
        <v>223</v>
      </c>
      <c r="AN308" s="9">
        <v>39</v>
      </c>
    </row>
    <row r="309" spans="1:40">
      <c r="A309" t="s">
        <v>381</v>
      </c>
      <c r="B309">
        <v>40</v>
      </c>
      <c r="C309" t="s">
        <v>223</v>
      </c>
      <c r="D309" t="s">
        <v>223</v>
      </c>
      <c r="E309" t="s">
        <v>223</v>
      </c>
      <c r="F309" t="s">
        <v>223</v>
      </c>
      <c r="G309" t="s">
        <v>223</v>
      </c>
      <c r="H309" t="s">
        <v>223</v>
      </c>
      <c r="I309" t="s">
        <v>223</v>
      </c>
      <c r="J309" t="s">
        <v>223</v>
      </c>
      <c r="K309" t="s">
        <v>223</v>
      </c>
      <c r="L309" t="s">
        <v>223</v>
      </c>
      <c r="M309" t="s">
        <v>223</v>
      </c>
      <c r="N309" t="s">
        <v>223</v>
      </c>
      <c r="O309" t="s">
        <v>223</v>
      </c>
      <c r="P309" t="s">
        <v>223</v>
      </c>
      <c r="Q309" t="s">
        <v>223</v>
      </c>
      <c r="R309" t="s">
        <v>223</v>
      </c>
      <c r="S309" t="s">
        <v>223</v>
      </c>
      <c r="T309" t="s">
        <v>223</v>
      </c>
      <c r="U309" t="s">
        <v>223</v>
      </c>
      <c r="V309" t="s">
        <v>223</v>
      </c>
      <c r="W309" t="s">
        <v>223</v>
      </c>
      <c r="X309" t="s">
        <v>223</v>
      </c>
      <c r="Y309" t="s">
        <v>223</v>
      </c>
      <c r="Z309" t="s">
        <v>223</v>
      </c>
      <c r="AA309" t="s">
        <v>223</v>
      </c>
      <c r="AB309" t="s">
        <v>223</v>
      </c>
      <c r="AC309" t="s">
        <v>223</v>
      </c>
      <c r="AD309" t="s">
        <v>223</v>
      </c>
      <c r="AE309" t="s">
        <v>223</v>
      </c>
      <c r="AF309" t="s">
        <v>223</v>
      </c>
      <c r="AG309" t="s">
        <v>223</v>
      </c>
      <c r="AH309" t="s">
        <v>223</v>
      </c>
      <c r="AI309" t="s">
        <v>223</v>
      </c>
      <c r="AJ309" t="s">
        <v>223</v>
      </c>
      <c r="AK309" t="s">
        <v>223</v>
      </c>
      <c r="AL309" t="s">
        <v>223</v>
      </c>
      <c r="AM309" t="s">
        <v>223</v>
      </c>
      <c r="AN309" s="9">
        <v>40</v>
      </c>
    </row>
    <row r="310" spans="1:40">
      <c r="A310" t="s">
        <v>381</v>
      </c>
      <c r="B310">
        <v>41</v>
      </c>
      <c r="C310" t="s">
        <v>223</v>
      </c>
      <c r="D310" t="s">
        <v>223</v>
      </c>
      <c r="E310" t="s">
        <v>223</v>
      </c>
      <c r="F310" t="s">
        <v>223</v>
      </c>
      <c r="G310" t="s">
        <v>223</v>
      </c>
      <c r="H310" t="s">
        <v>223</v>
      </c>
      <c r="I310" t="s">
        <v>223</v>
      </c>
      <c r="J310" t="s">
        <v>223</v>
      </c>
      <c r="K310" t="s">
        <v>223</v>
      </c>
      <c r="L310" t="s">
        <v>223</v>
      </c>
      <c r="M310" t="s">
        <v>223</v>
      </c>
      <c r="N310" t="s">
        <v>223</v>
      </c>
      <c r="O310" t="s">
        <v>223</v>
      </c>
      <c r="P310" t="s">
        <v>223</v>
      </c>
      <c r="Q310" t="s">
        <v>223</v>
      </c>
      <c r="R310" t="s">
        <v>223</v>
      </c>
      <c r="S310" t="s">
        <v>223</v>
      </c>
      <c r="T310" t="s">
        <v>223</v>
      </c>
      <c r="U310" t="s">
        <v>223</v>
      </c>
      <c r="V310" t="s">
        <v>223</v>
      </c>
      <c r="W310" t="s">
        <v>223</v>
      </c>
      <c r="X310" t="s">
        <v>223</v>
      </c>
      <c r="Y310" t="s">
        <v>223</v>
      </c>
      <c r="Z310" t="s">
        <v>223</v>
      </c>
      <c r="AA310" t="s">
        <v>223</v>
      </c>
      <c r="AB310" t="s">
        <v>223</v>
      </c>
      <c r="AC310" t="s">
        <v>223</v>
      </c>
      <c r="AD310" t="s">
        <v>223</v>
      </c>
      <c r="AE310" t="s">
        <v>223</v>
      </c>
      <c r="AF310" t="s">
        <v>223</v>
      </c>
      <c r="AG310" t="s">
        <v>223</v>
      </c>
      <c r="AH310" t="s">
        <v>223</v>
      </c>
      <c r="AI310" t="s">
        <v>223</v>
      </c>
      <c r="AJ310" t="s">
        <v>223</v>
      </c>
      <c r="AK310" t="s">
        <v>223</v>
      </c>
      <c r="AL310" t="s">
        <v>223</v>
      </c>
      <c r="AM310" t="s">
        <v>223</v>
      </c>
      <c r="AN310" s="9">
        <v>41</v>
      </c>
    </row>
    <row r="311" spans="1:40">
      <c r="A311" t="s">
        <v>381</v>
      </c>
      <c r="B311">
        <v>42</v>
      </c>
      <c r="C311" t="s">
        <v>223</v>
      </c>
      <c r="D311" t="s">
        <v>223</v>
      </c>
      <c r="E311" t="s">
        <v>223</v>
      </c>
      <c r="F311" t="s">
        <v>223</v>
      </c>
      <c r="G311" t="s">
        <v>223</v>
      </c>
      <c r="H311" t="s">
        <v>223</v>
      </c>
      <c r="I311" t="s">
        <v>223</v>
      </c>
      <c r="J311" t="s">
        <v>223</v>
      </c>
      <c r="K311" t="s">
        <v>223</v>
      </c>
      <c r="L311" t="s">
        <v>223</v>
      </c>
      <c r="M311" t="s">
        <v>223</v>
      </c>
      <c r="N311" t="s">
        <v>223</v>
      </c>
      <c r="O311" t="s">
        <v>223</v>
      </c>
      <c r="P311" t="s">
        <v>223</v>
      </c>
      <c r="Q311" t="s">
        <v>223</v>
      </c>
      <c r="R311" t="s">
        <v>223</v>
      </c>
      <c r="S311" t="s">
        <v>223</v>
      </c>
      <c r="T311" t="s">
        <v>223</v>
      </c>
      <c r="U311" t="s">
        <v>223</v>
      </c>
      <c r="V311" t="s">
        <v>223</v>
      </c>
      <c r="W311" t="s">
        <v>223</v>
      </c>
      <c r="X311" t="s">
        <v>223</v>
      </c>
      <c r="Y311" t="s">
        <v>223</v>
      </c>
      <c r="Z311" t="s">
        <v>223</v>
      </c>
      <c r="AA311" t="s">
        <v>223</v>
      </c>
      <c r="AB311" t="s">
        <v>223</v>
      </c>
      <c r="AC311" t="s">
        <v>223</v>
      </c>
      <c r="AD311" t="s">
        <v>223</v>
      </c>
      <c r="AE311" t="s">
        <v>223</v>
      </c>
      <c r="AF311" t="s">
        <v>223</v>
      </c>
      <c r="AG311" t="s">
        <v>223</v>
      </c>
      <c r="AH311" t="s">
        <v>223</v>
      </c>
      <c r="AI311" t="s">
        <v>223</v>
      </c>
      <c r="AJ311" t="s">
        <v>223</v>
      </c>
      <c r="AK311" t="s">
        <v>223</v>
      </c>
      <c r="AL311" t="s">
        <v>223</v>
      </c>
      <c r="AM311" t="s">
        <v>223</v>
      </c>
      <c r="AN311" s="9">
        <v>42</v>
      </c>
    </row>
    <row r="312" spans="1:40">
      <c r="A312" t="s">
        <v>381</v>
      </c>
      <c r="B312">
        <v>43</v>
      </c>
      <c r="C312" t="s">
        <v>223</v>
      </c>
      <c r="D312" t="s">
        <v>223</v>
      </c>
      <c r="E312" t="s">
        <v>223</v>
      </c>
      <c r="F312" t="s">
        <v>223</v>
      </c>
      <c r="G312" t="s">
        <v>223</v>
      </c>
      <c r="H312" t="s">
        <v>223</v>
      </c>
      <c r="I312" t="s">
        <v>223</v>
      </c>
      <c r="J312" t="s">
        <v>223</v>
      </c>
      <c r="K312" t="s">
        <v>223</v>
      </c>
      <c r="L312" t="s">
        <v>223</v>
      </c>
      <c r="M312" t="s">
        <v>223</v>
      </c>
      <c r="N312" t="s">
        <v>223</v>
      </c>
      <c r="O312" t="s">
        <v>223</v>
      </c>
      <c r="P312" t="s">
        <v>223</v>
      </c>
      <c r="Q312" t="s">
        <v>223</v>
      </c>
      <c r="R312" t="s">
        <v>223</v>
      </c>
      <c r="S312" t="s">
        <v>223</v>
      </c>
      <c r="T312" t="s">
        <v>223</v>
      </c>
      <c r="U312" t="s">
        <v>223</v>
      </c>
      <c r="V312" t="s">
        <v>223</v>
      </c>
      <c r="W312" t="s">
        <v>223</v>
      </c>
      <c r="X312" t="s">
        <v>223</v>
      </c>
      <c r="Y312" t="s">
        <v>223</v>
      </c>
      <c r="Z312" t="s">
        <v>223</v>
      </c>
      <c r="AA312" t="s">
        <v>223</v>
      </c>
      <c r="AB312" t="s">
        <v>223</v>
      </c>
      <c r="AC312" t="s">
        <v>223</v>
      </c>
      <c r="AD312" t="s">
        <v>223</v>
      </c>
      <c r="AE312" t="s">
        <v>223</v>
      </c>
      <c r="AF312" t="s">
        <v>223</v>
      </c>
      <c r="AG312" t="s">
        <v>223</v>
      </c>
      <c r="AH312" t="s">
        <v>223</v>
      </c>
      <c r="AI312" t="s">
        <v>223</v>
      </c>
      <c r="AJ312" t="s">
        <v>223</v>
      </c>
      <c r="AK312" t="s">
        <v>223</v>
      </c>
      <c r="AL312" t="s">
        <v>223</v>
      </c>
      <c r="AM312" t="s">
        <v>223</v>
      </c>
      <c r="AN312" s="9">
        <v>43</v>
      </c>
    </row>
    <row r="313" spans="1:40">
      <c r="A313" t="s">
        <v>381</v>
      </c>
      <c r="B313">
        <v>44</v>
      </c>
      <c r="C313" t="s">
        <v>223</v>
      </c>
      <c r="D313" t="s">
        <v>223</v>
      </c>
      <c r="E313" t="s">
        <v>223</v>
      </c>
      <c r="F313" t="s">
        <v>223</v>
      </c>
      <c r="G313" t="s">
        <v>223</v>
      </c>
      <c r="H313" t="s">
        <v>223</v>
      </c>
      <c r="I313" t="s">
        <v>223</v>
      </c>
      <c r="J313" t="s">
        <v>223</v>
      </c>
      <c r="K313" t="s">
        <v>223</v>
      </c>
      <c r="L313" t="s">
        <v>223</v>
      </c>
      <c r="M313" t="s">
        <v>223</v>
      </c>
      <c r="N313" t="s">
        <v>223</v>
      </c>
      <c r="O313" t="s">
        <v>223</v>
      </c>
      <c r="P313" t="s">
        <v>223</v>
      </c>
      <c r="Q313" t="s">
        <v>223</v>
      </c>
      <c r="R313" t="s">
        <v>223</v>
      </c>
      <c r="S313" t="s">
        <v>223</v>
      </c>
      <c r="T313" t="s">
        <v>223</v>
      </c>
      <c r="U313" t="s">
        <v>223</v>
      </c>
      <c r="V313" t="s">
        <v>223</v>
      </c>
      <c r="W313" t="s">
        <v>223</v>
      </c>
      <c r="X313" t="s">
        <v>223</v>
      </c>
      <c r="Y313" t="s">
        <v>223</v>
      </c>
      <c r="Z313" t="s">
        <v>223</v>
      </c>
      <c r="AA313" t="s">
        <v>223</v>
      </c>
      <c r="AB313" t="s">
        <v>223</v>
      </c>
      <c r="AC313" t="s">
        <v>223</v>
      </c>
      <c r="AD313" t="s">
        <v>223</v>
      </c>
      <c r="AE313" t="s">
        <v>223</v>
      </c>
      <c r="AF313" t="s">
        <v>223</v>
      </c>
      <c r="AG313" t="s">
        <v>223</v>
      </c>
      <c r="AH313" t="s">
        <v>223</v>
      </c>
      <c r="AI313" t="s">
        <v>223</v>
      </c>
      <c r="AJ313" t="s">
        <v>223</v>
      </c>
      <c r="AK313" t="s">
        <v>223</v>
      </c>
      <c r="AL313" t="s">
        <v>223</v>
      </c>
      <c r="AM313" t="s">
        <v>223</v>
      </c>
      <c r="AN313" s="9">
        <v>44</v>
      </c>
    </row>
    <row r="314" spans="1:40">
      <c r="A314" t="s">
        <v>381</v>
      </c>
      <c r="B314">
        <v>45</v>
      </c>
      <c r="C314" t="s">
        <v>223</v>
      </c>
      <c r="D314" t="s">
        <v>223</v>
      </c>
      <c r="E314" t="s">
        <v>223</v>
      </c>
      <c r="F314" t="s">
        <v>223</v>
      </c>
      <c r="G314" t="s">
        <v>223</v>
      </c>
      <c r="H314" t="s">
        <v>223</v>
      </c>
      <c r="I314" t="s">
        <v>223</v>
      </c>
      <c r="J314" t="s">
        <v>223</v>
      </c>
      <c r="K314" t="s">
        <v>223</v>
      </c>
      <c r="L314" t="s">
        <v>223</v>
      </c>
      <c r="M314" t="s">
        <v>223</v>
      </c>
      <c r="N314" t="s">
        <v>223</v>
      </c>
      <c r="O314" t="s">
        <v>223</v>
      </c>
      <c r="P314" t="s">
        <v>223</v>
      </c>
      <c r="Q314" t="s">
        <v>223</v>
      </c>
      <c r="R314" t="s">
        <v>223</v>
      </c>
      <c r="S314" t="s">
        <v>223</v>
      </c>
      <c r="T314" t="s">
        <v>223</v>
      </c>
      <c r="U314" t="s">
        <v>223</v>
      </c>
      <c r="V314" t="s">
        <v>223</v>
      </c>
      <c r="W314" t="s">
        <v>223</v>
      </c>
      <c r="X314" t="s">
        <v>223</v>
      </c>
      <c r="Y314" t="s">
        <v>223</v>
      </c>
      <c r="Z314" t="s">
        <v>223</v>
      </c>
      <c r="AA314" t="s">
        <v>223</v>
      </c>
      <c r="AB314" t="s">
        <v>223</v>
      </c>
      <c r="AC314" t="s">
        <v>223</v>
      </c>
      <c r="AD314" t="s">
        <v>223</v>
      </c>
      <c r="AE314" t="s">
        <v>223</v>
      </c>
      <c r="AF314" t="s">
        <v>223</v>
      </c>
      <c r="AG314" t="s">
        <v>223</v>
      </c>
      <c r="AH314" t="s">
        <v>223</v>
      </c>
      <c r="AI314" t="s">
        <v>223</v>
      </c>
      <c r="AJ314" t="s">
        <v>223</v>
      </c>
      <c r="AK314" t="s">
        <v>223</v>
      </c>
      <c r="AL314" t="s">
        <v>223</v>
      </c>
      <c r="AM314" t="s">
        <v>223</v>
      </c>
      <c r="AN314" s="9">
        <v>45</v>
      </c>
    </row>
    <row r="315" spans="1:40">
      <c r="A315" t="s">
        <v>381</v>
      </c>
      <c r="B315">
        <v>46</v>
      </c>
      <c r="C315" t="s">
        <v>223</v>
      </c>
      <c r="D315" t="s">
        <v>223</v>
      </c>
      <c r="E315" t="s">
        <v>223</v>
      </c>
      <c r="F315" t="s">
        <v>223</v>
      </c>
      <c r="G315" t="s">
        <v>223</v>
      </c>
      <c r="H315" t="s">
        <v>223</v>
      </c>
      <c r="I315" t="s">
        <v>223</v>
      </c>
      <c r="J315" t="s">
        <v>223</v>
      </c>
      <c r="K315" t="s">
        <v>223</v>
      </c>
      <c r="L315" t="s">
        <v>223</v>
      </c>
      <c r="M315" t="s">
        <v>223</v>
      </c>
      <c r="N315" t="s">
        <v>223</v>
      </c>
      <c r="O315" t="s">
        <v>223</v>
      </c>
      <c r="P315" t="s">
        <v>223</v>
      </c>
      <c r="Q315" t="s">
        <v>223</v>
      </c>
      <c r="R315" t="s">
        <v>223</v>
      </c>
      <c r="S315" t="s">
        <v>223</v>
      </c>
      <c r="T315" t="s">
        <v>223</v>
      </c>
      <c r="U315" t="s">
        <v>223</v>
      </c>
      <c r="V315" t="s">
        <v>223</v>
      </c>
      <c r="W315" t="s">
        <v>223</v>
      </c>
      <c r="X315" t="s">
        <v>223</v>
      </c>
      <c r="Y315" t="s">
        <v>223</v>
      </c>
      <c r="Z315" t="s">
        <v>223</v>
      </c>
      <c r="AA315" t="s">
        <v>223</v>
      </c>
      <c r="AB315" t="s">
        <v>223</v>
      </c>
      <c r="AC315" t="s">
        <v>223</v>
      </c>
      <c r="AD315" t="s">
        <v>223</v>
      </c>
      <c r="AE315" t="s">
        <v>223</v>
      </c>
      <c r="AF315" t="s">
        <v>223</v>
      </c>
      <c r="AG315" t="s">
        <v>223</v>
      </c>
      <c r="AH315" t="s">
        <v>223</v>
      </c>
      <c r="AI315" t="s">
        <v>223</v>
      </c>
      <c r="AJ315" t="s">
        <v>223</v>
      </c>
      <c r="AK315" t="s">
        <v>223</v>
      </c>
      <c r="AL315" t="s">
        <v>223</v>
      </c>
      <c r="AM315" t="s">
        <v>223</v>
      </c>
      <c r="AN315" s="9">
        <v>46</v>
      </c>
    </row>
    <row r="316" spans="1:40">
      <c r="A316" t="s">
        <v>381</v>
      </c>
      <c r="B316">
        <v>47</v>
      </c>
      <c r="C316" t="s">
        <v>223</v>
      </c>
      <c r="D316" t="s">
        <v>223</v>
      </c>
      <c r="E316" t="s">
        <v>223</v>
      </c>
      <c r="F316" t="s">
        <v>223</v>
      </c>
      <c r="G316" t="s">
        <v>223</v>
      </c>
      <c r="H316" t="s">
        <v>223</v>
      </c>
      <c r="I316" t="s">
        <v>223</v>
      </c>
      <c r="J316" t="s">
        <v>223</v>
      </c>
      <c r="K316" t="s">
        <v>223</v>
      </c>
      <c r="L316" t="s">
        <v>223</v>
      </c>
      <c r="M316" t="s">
        <v>223</v>
      </c>
      <c r="N316" t="s">
        <v>223</v>
      </c>
      <c r="O316" t="s">
        <v>223</v>
      </c>
      <c r="P316" t="s">
        <v>223</v>
      </c>
      <c r="Q316" t="s">
        <v>223</v>
      </c>
      <c r="R316" t="s">
        <v>223</v>
      </c>
      <c r="S316" t="s">
        <v>223</v>
      </c>
      <c r="T316" t="s">
        <v>223</v>
      </c>
      <c r="U316" t="s">
        <v>223</v>
      </c>
      <c r="V316" t="s">
        <v>223</v>
      </c>
      <c r="W316" t="s">
        <v>223</v>
      </c>
      <c r="X316" t="s">
        <v>223</v>
      </c>
      <c r="Y316" t="s">
        <v>223</v>
      </c>
      <c r="Z316" t="s">
        <v>223</v>
      </c>
      <c r="AA316" t="s">
        <v>223</v>
      </c>
      <c r="AB316" t="s">
        <v>223</v>
      </c>
      <c r="AC316" t="s">
        <v>223</v>
      </c>
      <c r="AD316" t="s">
        <v>223</v>
      </c>
      <c r="AE316" t="s">
        <v>223</v>
      </c>
      <c r="AF316" t="s">
        <v>223</v>
      </c>
      <c r="AG316" t="s">
        <v>223</v>
      </c>
      <c r="AH316" t="s">
        <v>223</v>
      </c>
      <c r="AI316" t="s">
        <v>223</v>
      </c>
      <c r="AJ316" t="s">
        <v>223</v>
      </c>
      <c r="AK316" t="s">
        <v>223</v>
      </c>
      <c r="AL316" t="s">
        <v>223</v>
      </c>
      <c r="AM316" t="s">
        <v>223</v>
      </c>
      <c r="AN316" s="9">
        <v>47</v>
      </c>
    </row>
    <row r="317" spans="1:40">
      <c r="A317" t="s">
        <v>381</v>
      </c>
      <c r="B317">
        <v>48</v>
      </c>
      <c r="C317" t="s">
        <v>223</v>
      </c>
      <c r="D317" t="s">
        <v>223</v>
      </c>
      <c r="E317" t="s">
        <v>223</v>
      </c>
      <c r="F317" t="s">
        <v>223</v>
      </c>
      <c r="G317" t="s">
        <v>223</v>
      </c>
      <c r="H317" t="s">
        <v>223</v>
      </c>
      <c r="I317" t="s">
        <v>223</v>
      </c>
      <c r="J317" t="s">
        <v>223</v>
      </c>
      <c r="K317" t="s">
        <v>223</v>
      </c>
      <c r="L317" t="s">
        <v>223</v>
      </c>
      <c r="M317" t="s">
        <v>223</v>
      </c>
      <c r="N317" t="s">
        <v>223</v>
      </c>
      <c r="O317" t="s">
        <v>223</v>
      </c>
      <c r="P317" t="s">
        <v>223</v>
      </c>
      <c r="Q317" t="s">
        <v>223</v>
      </c>
      <c r="R317" t="s">
        <v>223</v>
      </c>
      <c r="S317" t="s">
        <v>223</v>
      </c>
      <c r="T317" t="s">
        <v>223</v>
      </c>
      <c r="U317" t="s">
        <v>223</v>
      </c>
      <c r="V317" t="s">
        <v>223</v>
      </c>
      <c r="W317" t="s">
        <v>223</v>
      </c>
      <c r="X317" t="s">
        <v>223</v>
      </c>
      <c r="Y317" t="s">
        <v>223</v>
      </c>
      <c r="Z317" t="s">
        <v>223</v>
      </c>
      <c r="AA317" t="s">
        <v>223</v>
      </c>
      <c r="AB317" t="s">
        <v>223</v>
      </c>
      <c r="AC317" t="s">
        <v>223</v>
      </c>
      <c r="AD317" t="s">
        <v>223</v>
      </c>
      <c r="AE317" t="s">
        <v>223</v>
      </c>
      <c r="AF317" t="s">
        <v>223</v>
      </c>
      <c r="AG317" t="s">
        <v>223</v>
      </c>
      <c r="AH317" t="s">
        <v>223</v>
      </c>
      <c r="AI317" t="s">
        <v>223</v>
      </c>
      <c r="AJ317" t="s">
        <v>223</v>
      </c>
      <c r="AK317" t="s">
        <v>223</v>
      </c>
      <c r="AL317" t="s">
        <v>223</v>
      </c>
      <c r="AM317" t="s">
        <v>223</v>
      </c>
      <c r="AN317" s="9">
        <v>48</v>
      </c>
    </row>
    <row r="318" spans="1:40">
      <c r="A318" t="s">
        <v>381</v>
      </c>
      <c r="B318">
        <v>49</v>
      </c>
      <c r="C318" t="s">
        <v>223</v>
      </c>
      <c r="D318" t="s">
        <v>223</v>
      </c>
      <c r="E318" t="s">
        <v>223</v>
      </c>
      <c r="F318" t="s">
        <v>223</v>
      </c>
      <c r="G318" t="s">
        <v>223</v>
      </c>
      <c r="H318" t="s">
        <v>223</v>
      </c>
      <c r="I318" t="s">
        <v>223</v>
      </c>
      <c r="J318" t="s">
        <v>223</v>
      </c>
      <c r="K318" t="s">
        <v>223</v>
      </c>
      <c r="L318" t="s">
        <v>223</v>
      </c>
      <c r="M318" t="s">
        <v>223</v>
      </c>
      <c r="N318" t="s">
        <v>223</v>
      </c>
      <c r="O318" t="s">
        <v>223</v>
      </c>
      <c r="P318" t="s">
        <v>223</v>
      </c>
      <c r="Q318" t="s">
        <v>223</v>
      </c>
      <c r="R318" t="s">
        <v>223</v>
      </c>
      <c r="S318" t="s">
        <v>223</v>
      </c>
      <c r="T318" t="s">
        <v>223</v>
      </c>
      <c r="U318" t="s">
        <v>223</v>
      </c>
      <c r="V318" t="s">
        <v>223</v>
      </c>
      <c r="W318" t="s">
        <v>223</v>
      </c>
      <c r="X318" t="s">
        <v>223</v>
      </c>
      <c r="Y318" t="s">
        <v>223</v>
      </c>
      <c r="Z318" t="s">
        <v>223</v>
      </c>
      <c r="AA318" t="s">
        <v>223</v>
      </c>
      <c r="AB318" t="s">
        <v>223</v>
      </c>
      <c r="AC318" t="s">
        <v>223</v>
      </c>
      <c r="AD318" t="s">
        <v>223</v>
      </c>
      <c r="AE318" t="s">
        <v>223</v>
      </c>
      <c r="AF318" t="s">
        <v>223</v>
      </c>
      <c r="AG318" t="s">
        <v>223</v>
      </c>
      <c r="AH318" t="s">
        <v>223</v>
      </c>
      <c r="AI318" t="s">
        <v>223</v>
      </c>
      <c r="AJ318" t="s">
        <v>223</v>
      </c>
      <c r="AK318" t="s">
        <v>223</v>
      </c>
      <c r="AL318" t="s">
        <v>223</v>
      </c>
      <c r="AM318" t="s">
        <v>223</v>
      </c>
      <c r="AN318" s="9">
        <v>49</v>
      </c>
    </row>
    <row r="319" spans="1:40">
      <c r="A319" t="s">
        <v>381</v>
      </c>
      <c r="B319">
        <v>50</v>
      </c>
      <c r="C319" t="s">
        <v>223</v>
      </c>
      <c r="D319" t="s">
        <v>223</v>
      </c>
      <c r="E319" t="s">
        <v>223</v>
      </c>
      <c r="F319" t="s">
        <v>223</v>
      </c>
      <c r="G319" t="s">
        <v>223</v>
      </c>
      <c r="H319" t="s">
        <v>223</v>
      </c>
      <c r="I319" t="s">
        <v>223</v>
      </c>
      <c r="J319" t="s">
        <v>223</v>
      </c>
      <c r="K319" t="s">
        <v>223</v>
      </c>
      <c r="L319" t="s">
        <v>223</v>
      </c>
      <c r="M319" t="s">
        <v>223</v>
      </c>
      <c r="N319" t="s">
        <v>223</v>
      </c>
      <c r="O319" t="s">
        <v>223</v>
      </c>
      <c r="P319" t="s">
        <v>223</v>
      </c>
      <c r="Q319" t="s">
        <v>223</v>
      </c>
      <c r="R319" t="s">
        <v>223</v>
      </c>
      <c r="S319" t="s">
        <v>223</v>
      </c>
      <c r="T319" t="s">
        <v>223</v>
      </c>
      <c r="U319" t="s">
        <v>223</v>
      </c>
      <c r="V319" t="s">
        <v>223</v>
      </c>
      <c r="W319" t="s">
        <v>223</v>
      </c>
      <c r="X319" t="s">
        <v>223</v>
      </c>
      <c r="Y319" t="s">
        <v>223</v>
      </c>
      <c r="Z319" t="s">
        <v>223</v>
      </c>
      <c r="AA319" t="s">
        <v>223</v>
      </c>
      <c r="AB319" t="s">
        <v>223</v>
      </c>
      <c r="AC319" t="s">
        <v>223</v>
      </c>
      <c r="AD319" t="s">
        <v>223</v>
      </c>
      <c r="AE319" t="s">
        <v>223</v>
      </c>
      <c r="AF319" t="s">
        <v>223</v>
      </c>
      <c r="AG319" t="s">
        <v>223</v>
      </c>
      <c r="AH319" t="s">
        <v>223</v>
      </c>
      <c r="AI319" t="s">
        <v>223</v>
      </c>
      <c r="AJ319" t="s">
        <v>223</v>
      </c>
      <c r="AK319" t="s">
        <v>223</v>
      </c>
      <c r="AL319" t="s">
        <v>223</v>
      </c>
      <c r="AM319" t="s">
        <v>223</v>
      </c>
      <c r="AN319" s="9">
        <v>50</v>
      </c>
    </row>
    <row r="320" spans="1:40">
      <c r="A320" t="s">
        <v>381</v>
      </c>
      <c r="B320">
        <v>51</v>
      </c>
      <c r="C320" t="s">
        <v>223</v>
      </c>
      <c r="D320" t="s">
        <v>223</v>
      </c>
      <c r="E320" t="s">
        <v>223</v>
      </c>
      <c r="F320" t="s">
        <v>223</v>
      </c>
      <c r="G320" t="s">
        <v>223</v>
      </c>
      <c r="H320" t="s">
        <v>223</v>
      </c>
      <c r="I320" t="s">
        <v>223</v>
      </c>
      <c r="J320" t="s">
        <v>223</v>
      </c>
      <c r="K320" t="s">
        <v>223</v>
      </c>
      <c r="L320" t="s">
        <v>223</v>
      </c>
      <c r="M320" t="s">
        <v>223</v>
      </c>
      <c r="N320" t="s">
        <v>223</v>
      </c>
      <c r="O320" t="s">
        <v>223</v>
      </c>
      <c r="P320" t="s">
        <v>223</v>
      </c>
      <c r="Q320" t="s">
        <v>223</v>
      </c>
      <c r="R320" t="s">
        <v>223</v>
      </c>
      <c r="S320" t="s">
        <v>223</v>
      </c>
      <c r="T320" t="s">
        <v>223</v>
      </c>
      <c r="U320" t="s">
        <v>223</v>
      </c>
      <c r="V320" t="s">
        <v>223</v>
      </c>
      <c r="W320" t="s">
        <v>223</v>
      </c>
      <c r="X320" t="s">
        <v>223</v>
      </c>
      <c r="Y320" t="s">
        <v>223</v>
      </c>
      <c r="Z320" t="s">
        <v>223</v>
      </c>
      <c r="AA320" t="s">
        <v>223</v>
      </c>
      <c r="AB320" t="s">
        <v>223</v>
      </c>
      <c r="AC320" t="s">
        <v>223</v>
      </c>
      <c r="AD320" t="s">
        <v>223</v>
      </c>
      <c r="AE320" t="s">
        <v>223</v>
      </c>
      <c r="AF320" t="s">
        <v>223</v>
      </c>
      <c r="AG320" t="s">
        <v>223</v>
      </c>
      <c r="AH320" t="s">
        <v>223</v>
      </c>
      <c r="AI320" t="s">
        <v>223</v>
      </c>
      <c r="AJ320" t="s">
        <v>223</v>
      </c>
      <c r="AK320" t="s">
        <v>223</v>
      </c>
      <c r="AL320" t="s">
        <v>223</v>
      </c>
      <c r="AM320" t="s">
        <v>223</v>
      </c>
      <c r="AN320" s="9">
        <v>51</v>
      </c>
    </row>
    <row r="321" spans="1:40">
      <c r="A321" t="s">
        <v>381</v>
      </c>
      <c r="B321">
        <v>52</v>
      </c>
      <c r="C321" t="s">
        <v>223</v>
      </c>
      <c r="D321" t="s">
        <v>223</v>
      </c>
      <c r="E321" t="s">
        <v>223</v>
      </c>
      <c r="F321" t="s">
        <v>223</v>
      </c>
      <c r="G321" t="s">
        <v>223</v>
      </c>
      <c r="H321" t="s">
        <v>223</v>
      </c>
      <c r="I321" t="s">
        <v>223</v>
      </c>
      <c r="J321" t="s">
        <v>223</v>
      </c>
      <c r="K321" t="s">
        <v>223</v>
      </c>
      <c r="L321" t="s">
        <v>223</v>
      </c>
      <c r="M321" t="s">
        <v>223</v>
      </c>
      <c r="N321" t="s">
        <v>223</v>
      </c>
      <c r="O321" t="s">
        <v>223</v>
      </c>
      <c r="P321" t="s">
        <v>223</v>
      </c>
      <c r="Q321" t="s">
        <v>223</v>
      </c>
      <c r="R321" t="s">
        <v>223</v>
      </c>
      <c r="S321" t="s">
        <v>223</v>
      </c>
      <c r="T321" t="s">
        <v>223</v>
      </c>
      <c r="U321" t="s">
        <v>223</v>
      </c>
      <c r="V321" t="s">
        <v>223</v>
      </c>
      <c r="W321" t="s">
        <v>223</v>
      </c>
      <c r="X321" t="s">
        <v>223</v>
      </c>
      <c r="Y321" t="s">
        <v>223</v>
      </c>
      <c r="Z321" t="s">
        <v>223</v>
      </c>
      <c r="AA321" t="s">
        <v>223</v>
      </c>
      <c r="AB321" t="s">
        <v>223</v>
      </c>
      <c r="AC321" t="s">
        <v>223</v>
      </c>
      <c r="AD321" t="s">
        <v>223</v>
      </c>
      <c r="AE321" t="s">
        <v>223</v>
      </c>
      <c r="AF321" t="s">
        <v>223</v>
      </c>
      <c r="AG321" t="s">
        <v>223</v>
      </c>
      <c r="AH321" t="s">
        <v>223</v>
      </c>
      <c r="AI321" t="s">
        <v>223</v>
      </c>
      <c r="AJ321" t="s">
        <v>223</v>
      </c>
      <c r="AK321" t="s">
        <v>223</v>
      </c>
      <c r="AL321" t="s">
        <v>223</v>
      </c>
      <c r="AM321" t="s">
        <v>223</v>
      </c>
      <c r="AN321" s="9">
        <v>52</v>
      </c>
    </row>
    <row r="322" spans="1:40">
      <c r="A322" t="s">
        <v>381</v>
      </c>
      <c r="B322">
        <v>53</v>
      </c>
      <c r="C322" t="s">
        <v>223</v>
      </c>
      <c r="D322" t="s">
        <v>223</v>
      </c>
      <c r="E322" t="s">
        <v>223</v>
      </c>
      <c r="F322" t="s">
        <v>223</v>
      </c>
      <c r="G322" t="s">
        <v>223</v>
      </c>
      <c r="H322" t="s">
        <v>223</v>
      </c>
      <c r="I322" t="s">
        <v>223</v>
      </c>
      <c r="J322" t="s">
        <v>223</v>
      </c>
      <c r="K322" t="s">
        <v>223</v>
      </c>
      <c r="L322" t="s">
        <v>223</v>
      </c>
      <c r="M322" t="s">
        <v>223</v>
      </c>
      <c r="N322" t="s">
        <v>223</v>
      </c>
      <c r="O322" t="s">
        <v>223</v>
      </c>
      <c r="P322" t="s">
        <v>223</v>
      </c>
      <c r="Q322" t="s">
        <v>223</v>
      </c>
      <c r="R322" t="s">
        <v>223</v>
      </c>
      <c r="S322" t="s">
        <v>223</v>
      </c>
      <c r="T322" t="s">
        <v>223</v>
      </c>
      <c r="U322" t="s">
        <v>223</v>
      </c>
      <c r="V322" t="s">
        <v>223</v>
      </c>
      <c r="W322" t="s">
        <v>223</v>
      </c>
      <c r="X322" t="s">
        <v>223</v>
      </c>
      <c r="Y322" t="s">
        <v>223</v>
      </c>
      <c r="Z322" t="s">
        <v>223</v>
      </c>
      <c r="AA322" t="s">
        <v>223</v>
      </c>
      <c r="AB322" t="s">
        <v>223</v>
      </c>
      <c r="AC322" t="s">
        <v>223</v>
      </c>
      <c r="AD322" t="s">
        <v>223</v>
      </c>
      <c r="AE322" t="s">
        <v>223</v>
      </c>
      <c r="AF322" t="s">
        <v>223</v>
      </c>
      <c r="AG322" t="s">
        <v>223</v>
      </c>
      <c r="AH322" t="s">
        <v>223</v>
      </c>
      <c r="AI322" t="s">
        <v>223</v>
      </c>
      <c r="AJ322" t="s">
        <v>223</v>
      </c>
      <c r="AK322" t="s">
        <v>223</v>
      </c>
      <c r="AL322" t="s">
        <v>223</v>
      </c>
      <c r="AM322" t="s">
        <v>223</v>
      </c>
      <c r="AN322" s="9">
        <v>53</v>
      </c>
    </row>
    <row r="323" spans="1:40">
      <c r="A323" t="s">
        <v>382</v>
      </c>
      <c r="B323">
        <v>0</v>
      </c>
      <c r="C323" t="s">
        <v>223</v>
      </c>
      <c r="D323" t="s">
        <v>223</v>
      </c>
      <c r="E323" t="s">
        <v>223</v>
      </c>
      <c r="F323" t="s">
        <v>223</v>
      </c>
      <c r="G323" t="s">
        <v>223</v>
      </c>
      <c r="H323" t="s">
        <v>223</v>
      </c>
      <c r="I323" t="s">
        <v>223</v>
      </c>
      <c r="J323" t="s">
        <v>223</v>
      </c>
      <c r="K323" t="s">
        <v>223</v>
      </c>
      <c r="L323" t="s">
        <v>223</v>
      </c>
      <c r="M323" t="s">
        <v>223</v>
      </c>
      <c r="N323" t="s">
        <v>223</v>
      </c>
      <c r="O323" t="s">
        <v>223</v>
      </c>
      <c r="P323" t="s">
        <v>223</v>
      </c>
      <c r="Q323" t="s">
        <v>223</v>
      </c>
      <c r="R323" t="s">
        <v>223</v>
      </c>
      <c r="S323" t="s">
        <v>223</v>
      </c>
      <c r="T323" t="s">
        <v>223</v>
      </c>
      <c r="U323" t="s">
        <v>223</v>
      </c>
      <c r="V323" t="s">
        <v>223</v>
      </c>
      <c r="W323" t="s">
        <v>223</v>
      </c>
      <c r="X323" t="s">
        <v>223</v>
      </c>
      <c r="Y323" t="s">
        <v>223</v>
      </c>
      <c r="Z323" t="s">
        <v>223</v>
      </c>
      <c r="AA323" t="s">
        <v>223</v>
      </c>
      <c r="AB323" t="s">
        <v>223</v>
      </c>
      <c r="AC323" t="s">
        <v>223</v>
      </c>
      <c r="AD323" t="s">
        <v>223</v>
      </c>
      <c r="AE323" t="s">
        <v>223</v>
      </c>
      <c r="AF323" t="s">
        <v>223</v>
      </c>
      <c r="AG323" t="s">
        <v>223</v>
      </c>
      <c r="AH323" t="s">
        <v>223</v>
      </c>
      <c r="AI323" t="s">
        <v>223</v>
      </c>
      <c r="AJ323" t="s">
        <v>223</v>
      </c>
      <c r="AK323" t="s">
        <v>223</v>
      </c>
      <c r="AL323" t="s">
        <v>223</v>
      </c>
      <c r="AM323" t="s">
        <v>223</v>
      </c>
      <c r="AN323" s="9">
        <v>0</v>
      </c>
    </row>
    <row r="324" spans="1:40">
      <c r="A324" t="s">
        <v>382</v>
      </c>
      <c r="B324">
        <v>1</v>
      </c>
      <c r="C324" t="s">
        <v>223</v>
      </c>
      <c r="D324" t="s">
        <v>223</v>
      </c>
      <c r="E324" t="s">
        <v>223</v>
      </c>
      <c r="F324" t="s">
        <v>223</v>
      </c>
      <c r="G324" t="s">
        <v>223</v>
      </c>
      <c r="H324" t="s">
        <v>223</v>
      </c>
      <c r="I324" t="s">
        <v>223</v>
      </c>
      <c r="J324" t="s">
        <v>223</v>
      </c>
      <c r="K324" t="s">
        <v>223</v>
      </c>
      <c r="L324" t="s">
        <v>223</v>
      </c>
      <c r="M324" t="s">
        <v>223</v>
      </c>
      <c r="N324" t="s">
        <v>223</v>
      </c>
      <c r="O324" t="s">
        <v>223</v>
      </c>
      <c r="P324" t="s">
        <v>223</v>
      </c>
      <c r="Q324" t="s">
        <v>223</v>
      </c>
      <c r="R324" t="s">
        <v>223</v>
      </c>
      <c r="S324" t="s">
        <v>223</v>
      </c>
      <c r="T324" t="s">
        <v>223</v>
      </c>
      <c r="U324" t="s">
        <v>223</v>
      </c>
      <c r="V324" t="s">
        <v>223</v>
      </c>
      <c r="W324" t="s">
        <v>223</v>
      </c>
      <c r="X324" t="s">
        <v>223</v>
      </c>
      <c r="Y324" t="s">
        <v>223</v>
      </c>
      <c r="Z324" t="s">
        <v>223</v>
      </c>
      <c r="AA324" t="s">
        <v>223</v>
      </c>
      <c r="AB324" t="s">
        <v>223</v>
      </c>
      <c r="AC324" t="s">
        <v>223</v>
      </c>
      <c r="AD324" t="s">
        <v>223</v>
      </c>
      <c r="AE324" t="s">
        <v>223</v>
      </c>
      <c r="AF324" t="s">
        <v>223</v>
      </c>
      <c r="AG324" t="s">
        <v>223</v>
      </c>
      <c r="AH324" t="s">
        <v>223</v>
      </c>
      <c r="AI324" t="s">
        <v>223</v>
      </c>
      <c r="AJ324" t="s">
        <v>223</v>
      </c>
      <c r="AK324" t="s">
        <v>223</v>
      </c>
      <c r="AL324" t="s">
        <v>223</v>
      </c>
      <c r="AM324" t="s">
        <v>223</v>
      </c>
      <c r="AN324" s="9">
        <v>1</v>
      </c>
    </row>
    <row r="325" spans="1:40">
      <c r="A325" t="s">
        <v>382</v>
      </c>
      <c r="B325">
        <v>2</v>
      </c>
      <c r="C325" t="s">
        <v>223</v>
      </c>
      <c r="D325" t="s">
        <v>223</v>
      </c>
      <c r="E325" t="s">
        <v>223</v>
      </c>
      <c r="F325" t="s">
        <v>223</v>
      </c>
      <c r="G325" t="s">
        <v>223</v>
      </c>
      <c r="H325" t="s">
        <v>223</v>
      </c>
      <c r="I325" t="s">
        <v>223</v>
      </c>
      <c r="J325" t="s">
        <v>223</v>
      </c>
      <c r="K325" t="s">
        <v>223</v>
      </c>
      <c r="L325" t="s">
        <v>223</v>
      </c>
      <c r="M325" t="s">
        <v>223</v>
      </c>
      <c r="N325" t="s">
        <v>223</v>
      </c>
      <c r="O325" t="s">
        <v>223</v>
      </c>
      <c r="P325" t="s">
        <v>223</v>
      </c>
      <c r="Q325" t="s">
        <v>223</v>
      </c>
      <c r="R325" t="s">
        <v>223</v>
      </c>
      <c r="S325" t="s">
        <v>223</v>
      </c>
      <c r="T325" t="s">
        <v>223</v>
      </c>
      <c r="U325" t="s">
        <v>223</v>
      </c>
      <c r="V325" t="s">
        <v>223</v>
      </c>
      <c r="W325" t="s">
        <v>223</v>
      </c>
      <c r="X325" t="s">
        <v>223</v>
      </c>
      <c r="Y325" t="s">
        <v>223</v>
      </c>
      <c r="Z325" t="s">
        <v>223</v>
      </c>
      <c r="AA325" t="s">
        <v>223</v>
      </c>
      <c r="AB325" t="s">
        <v>223</v>
      </c>
      <c r="AC325" t="s">
        <v>223</v>
      </c>
      <c r="AD325" t="s">
        <v>223</v>
      </c>
      <c r="AE325" t="s">
        <v>223</v>
      </c>
      <c r="AF325" t="s">
        <v>223</v>
      </c>
      <c r="AG325" t="s">
        <v>223</v>
      </c>
      <c r="AH325" t="s">
        <v>223</v>
      </c>
      <c r="AI325" t="s">
        <v>223</v>
      </c>
      <c r="AJ325" t="s">
        <v>223</v>
      </c>
      <c r="AK325" t="s">
        <v>223</v>
      </c>
      <c r="AL325" t="s">
        <v>223</v>
      </c>
      <c r="AM325" t="s">
        <v>223</v>
      </c>
      <c r="AN325" s="9">
        <v>2</v>
      </c>
    </row>
    <row r="326" spans="1:40">
      <c r="A326" t="s">
        <v>382</v>
      </c>
      <c r="B326">
        <v>3</v>
      </c>
      <c r="C326" t="s">
        <v>223</v>
      </c>
      <c r="D326" t="s">
        <v>223</v>
      </c>
      <c r="E326" t="s">
        <v>223</v>
      </c>
      <c r="F326" t="s">
        <v>223</v>
      </c>
      <c r="G326" t="s">
        <v>223</v>
      </c>
      <c r="H326" t="s">
        <v>223</v>
      </c>
      <c r="I326" t="s">
        <v>223</v>
      </c>
      <c r="J326" t="s">
        <v>223</v>
      </c>
      <c r="K326" t="s">
        <v>223</v>
      </c>
      <c r="L326" t="s">
        <v>223</v>
      </c>
      <c r="M326" t="s">
        <v>223</v>
      </c>
      <c r="N326" t="s">
        <v>223</v>
      </c>
      <c r="O326" t="s">
        <v>223</v>
      </c>
      <c r="P326" t="s">
        <v>223</v>
      </c>
      <c r="Q326" t="s">
        <v>223</v>
      </c>
      <c r="R326" t="s">
        <v>223</v>
      </c>
      <c r="S326" t="s">
        <v>223</v>
      </c>
      <c r="T326" t="s">
        <v>223</v>
      </c>
      <c r="U326" t="s">
        <v>223</v>
      </c>
      <c r="V326" t="s">
        <v>223</v>
      </c>
      <c r="W326" t="s">
        <v>223</v>
      </c>
      <c r="X326" t="s">
        <v>223</v>
      </c>
      <c r="Y326" t="s">
        <v>223</v>
      </c>
      <c r="Z326" t="s">
        <v>223</v>
      </c>
      <c r="AA326" t="s">
        <v>223</v>
      </c>
      <c r="AB326" t="s">
        <v>223</v>
      </c>
      <c r="AC326" t="s">
        <v>223</v>
      </c>
      <c r="AD326" t="s">
        <v>223</v>
      </c>
      <c r="AE326" t="s">
        <v>223</v>
      </c>
      <c r="AF326" t="s">
        <v>223</v>
      </c>
      <c r="AG326" t="s">
        <v>223</v>
      </c>
      <c r="AH326" t="s">
        <v>223</v>
      </c>
      <c r="AI326" t="s">
        <v>223</v>
      </c>
      <c r="AJ326" t="s">
        <v>223</v>
      </c>
      <c r="AK326" t="s">
        <v>223</v>
      </c>
      <c r="AL326" t="s">
        <v>223</v>
      </c>
      <c r="AM326" t="s">
        <v>223</v>
      </c>
      <c r="AN326" s="9">
        <v>3</v>
      </c>
    </row>
    <row r="327" spans="1:40">
      <c r="A327" t="s">
        <v>382</v>
      </c>
      <c r="B327">
        <v>4</v>
      </c>
      <c r="C327" t="s">
        <v>223</v>
      </c>
      <c r="D327" t="s">
        <v>223</v>
      </c>
      <c r="E327" t="s">
        <v>223</v>
      </c>
      <c r="F327" t="s">
        <v>223</v>
      </c>
      <c r="G327" t="s">
        <v>223</v>
      </c>
      <c r="H327" t="s">
        <v>223</v>
      </c>
      <c r="I327" t="s">
        <v>223</v>
      </c>
      <c r="J327" t="s">
        <v>223</v>
      </c>
      <c r="K327" t="s">
        <v>223</v>
      </c>
      <c r="L327" t="s">
        <v>223</v>
      </c>
      <c r="M327" t="s">
        <v>223</v>
      </c>
      <c r="N327" t="s">
        <v>223</v>
      </c>
      <c r="O327" t="s">
        <v>223</v>
      </c>
      <c r="P327" t="s">
        <v>223</v>
      </c>
      <c r="Q327" t="s">
        <v>223</v>
      </c>
      <c r="R327" t="s">
        <v>223</v>
      </c>
      <c r="S327" t="s">
        <v>223</v>
      </c>
      <c r="T327" t="s">
        <v>223</v>
      </c>
      <c r="U327" t="s">
        <v>223</v>
      </c>
      <c r="V327" t="s">
        <v>223</v>
      </c>
      <c r="W327" t="s">
        <v>223</v>
      </c>
      <c r="X327" t="s">
        <v>223</v>
      </c>
      <c r="Y327" t="s">
        <v>223</v>
      </c>
      <c r="Z327" t="s">
        <v>223</v>
      </c>
      <c r="AA327" t="s">
        <v>223</v>
      </c>
      <c r="AB327" t="s">
        <v>223</v>
      </c>
      <c r="AC327" t="s">
        <v>223</v>
      </c>
      <c r="AD327" t="s">
        <v>223</v>
      </c>
      <c r="AE327" t="s">
        <v>223</v>
      </c>
      <c r="AF327" t="s">
        <v>223</v>
      </c>
      <c r="AG327" t="s">
        <v>223</v>
      </c>
      <c r="AH327" t="s">
        <v>223</v>
      </c>
      <c r="AI327" t="s">
        <v>223</v>
      </c>
      <c r="AJ327" t="s">
        <v>223</v>
      </c>
      <c r="AK327" t="s">
        <v>223</v>
      </c>
      <c r="AL327" t="s">
        <v>223</v>
      </c>
      <c r="AM327" t="s">
        <v>223</v>
      </c>
      <c r="AN327" s="9">
        <v>4</v>
      </c>
    </row>
    <row r="328" spans="1:40">
      <c r="A328" t="s">
        <v>382</v>
      </c>
      <c r="B328">
        <v>5</v>
      </c>
      <c r="C328" t="s">
        <v>223</v>
      </c>
      <c r="D328" t="s">
        <v>223</v>
      </c>
      <c r="E328" t="s">
        <v>223</v>
      </c>
      <c r="F328" t="s">
        <v>223</v>
      </c>
      <c r="G328" t="s">
        <v>223</v>
      </c>
      <c r="H328" t="s">
        <v>223</v>
      </c>
      <c r="I328" t="s">
        <v>223</v>
      </c>
      <c r="J328" t="s">
        <v>223</v>
      </c>
      <c r="K328" t="s">
        <v>223</v>
      </c>
      <c r="L328" t="s">
        <v>223</v>
      </c>
      <c r="M328" t="s">
        <v>223</v>
      </c>
      <c r="N328" t="s">
        <v>223</v>
      </c>
      <c r="O328" t="s">
        <v>223</v>
      </c>
      <c r="P328" t="s">
        <v>223</v>
      </c>
      <c r="Q328" t="s">
        <v>223</v>
      </c>
      <c r="R328" t="s">
        <v>223</v>
      </c>
      <c r="S328" t="s">
        <v>223</v>
      </c>
      <c r="T328" t="s">
        <v>223</v>
      </c>
      <c r="U328" t="s">
        <v>223</v>
      </c>
      <c r="V328" t="s">
        <v>223</v>
      </c>
      <c r="W328" t="s">
        <v>223</v>
      </c>
      <c r="X328" t="s">
        <v>223</v>
      </c>
      <c r="Y328" t="s">
        <v>223</v>
      </c>
      <c r="Z328" t="s">
        <v>223</v>
      </c>
      <c r="AA328" t="s">
        <v>223</v>
      </c>
      <c r="AB328" t="s">
        <v>223</v>
      </c>
      <c r="AC328" t="s">
        <v>223</v>
      </c>
      <c r="AD328" t="s">
        <v>223</v>
      </c>
      <c r="AE328" t="s">
        <v>223</v>
      </c>
      <c r="AF328" t="s">
        <v>223</v>
      </c>
      <c r="AG328" t="s">
        <v>223</v>
      </c>
      <c r="AH328" t="s">
        <v>223</v>
      </c>
      <c r="AI328" t="s">
        <v>223</v>
      </c>
      <c r="AJ328" t="s">
        <v>223</v>
      </c>
      <c r="AK328" t="s">
        <v>223</v>
      </c>
      <c r="AL328" t="s">
        <v>223</v>
      </c>
      <c r="AM328" t="s">
        <v>223</v>
      </c>
      <c r="AN328" s="9">
        <v>5</v>
      </c>
    </row>
    <row r="329" spans="1:40">
      <c r="A329" t="s">
        <v>382</v>
      </c>
      <c r="B329">
        <v>6</v>
      </c>
      <c r="C329" t="s">
        <v>223</v>
      </c>
      <c r="D329" t="s">
        <v>223</v>
      </c>
      <c r="E329" t="s">
        <v>223</v>
      </c>
      <c r="F329" t="s">
        <v>223</v>
      </c>
      <c r="G329" t="s">
        <v>223</v>
      </c>
      <c r="H329" t="s">
        <v>223</v>
      </c>
      <c r="I329" t="s">
        <v>223</v>
      </c>
      <c r="J329" t="s">
        <v>223</v>
      </c>
      <c r="K329" t="s">
        <v>223</v>
      </c>
      <c r="L329" t="s">
        <v>223</v>
      </c>
      <c r="M329" t="s">
        <v>223</v>
      </c>
      <c r="N329" t="s">
        <v>223</v>
      </c>
      <c r="O329" t="s">
        <v>223</v>
      </c>
      <c r="P329" t="s">
        <v>223</v>
      </c>
      <c r="Q329" t="s">
        <v>223</v>
      </c>
      <c r="R329" t="s">
        <v>223</v>
      </c>
      <c r="S329" t="s">
        <v>223</v>
      </c>
      <c r="T329" t="s">
        <v>223</v>
      </c>
      <c r="U329" t="s">
        <v>223</v>
      </c>
      <c r="V329" t="s">
        <v>223</v>
      </c>
      <c r="W329" t="s">
        <v>223</v>
      </c>
      <c r="X329" t="s">
        <v>223</v>
      </c>
      <c r="Y329" t="s">
        <v>223</v>
      </c>
      <c r="Z329" t="s">
        <v>223</v>
      </c>
      <c r="AA329" t="s">
        <v>223</v>
      </c>
      <c r="AB329" t="s">
        <v>223</v>
      </c>
      <c r="AC329" t="s">
        <v>223</v>
      </c>
      <c r="AD329" t="s">
        <v>223</v>
      </c>
      <c r="AE329" t="s">
        <v>223</v>
      </c>
      <c r="AF329" t="s">
        <v>223</v>
      </c>
      <c r="AG329" t="s">
        <v>223</v>
      </c>
      <c r="AH329" t="s">
        <v>223</v>
      </c>
      <c r="AI329" t="s">
        <v>223</v>
      </c>
      <c r="AJ329" t="s">
        <v>223</v>
      </c>
      <c r="AK329" t="s">
        <v>223</v>
      </c>
      <c r="AL329" t="s">
        <v>223</v>
      </c>
      <c r="AM329" t="s">
        <v>223</v>
      </c>
      <c r="AN329" s="9">
        <v>6</v>
      </c>
    </row>
    <row r="330" spans="1:40">
      <c r="A330" t="s">
        <v>382</v>
      </c>
      <c r="B330">
        <v>9</v>
      </c>
      <c r="C330" t="s">
        <v>223</v>
      </c>
      <c r="D330" t="s">
        <v>223</v>
      </c>
      <c r="E330" t="s">
        <v>223</v>
      </c>
      <c r="F330" t="s">
        <v>223</v>
      </c>
      <c r="G330" t="s">
        <v>223</v>
      </c>
      <c r="H330" t="s">
        <v>223</v>
      </c>
      <c r="I330" t="s">
        <v>223</v>
      </c>
      <c r="J330" t="s">
        <v>223</v>
      </c>
      <c r="K330" t="s">
        <v>223</v>
      </c>
      <c r="L330" t="s">
        <v>223</v>
      </c>
      <c r="M330" t="s">
        <v>223</v>
      </c>
      <c r="N330" t="s">
        <v>223</v>
      </c>
      <c r="O330" t="s">
        <v>223</v>
      </c>
      <c r="P330" t="s">
        <v>223</v>
      </c>
      <c r="Q330" t="s">
        <v>223</v>
      </c>
      <c r="R330" t="s">
        <v>223</v>
      </c>
      <c r="S330" t="s">
        <v>223</v>
      </c>
      <c r="T330" t="s">
        <v>223</v>
      </c>
      <c r="U330" t="s">
        <v>223</v>
      </c>
      <c r="V330" t="s">
        <v>223</v>
      </c>
      <c r="W330" t="s">
        <v>223</v>
      </c>
      <c r="X330" t="s">
        <v>223</v>
      </c>
      <c r="Y330" t="s">
        <v>223</v>
      </c>
      <c r="Z330" t="s">
        <v>223</v>
      </c>
      <c r="AA330" t="s">
        <v>223</v>
      </c>
      <c r="AB330" t="s">
        <v>223</v>
      </c>
      <c r="AC330" t="s">
        <v>223</v>
      </c>
      <c r="AD330" t="s">
        <v>223</v>
      </c>
      <c r="AE330" t="s">
        <v>223</v>
      </c>
      <c r="AF330" t="s">
        <v>223</v>
      </c>
      <c r="AG330" t="s">
        <v>223</v>
      </c>
      <c r="AH330" t="s">
        <v>223</v>
      </c>
      <c r="AI330" t="s">
        <v>223</v>
      </c>
      <c r="AJ330" t="s">
        <v>223</v>
      </c>
      <c r="AK330" t="s">
        <v>223</v>
      </c>
      <c r="AL330" t="s">
        <v>223</v>
      </c>
      <c r="AM330" t="s">
        <v>223</v>
      </c>
      <c r="AN330" s="9">
        <v>9</v>
      </c>
    </row>
    <row r="331" spans="1:40">
      <c r="A331" t="s">
        <v>382</v>
      </c>
      <c r="B331">
        <v>10</v>
      </c>
      <c r="C331" t="s">
        <v>223</v>
      </c>
      <c r="D331" t="s">
        <v>223</v>
      </c>
      <c r="E331" t="s">
        <v>223</v>
      </c>
      <c r="F331" t="s">
        <v>223</v>
      </c>
      <c r="G331" t="s">
        <v>223</v>
      </c>
      <c r="H331" t="s">
        <v>223</v>
      </c>
      <c r="I331" t="s">
        <v>223</v>
      </c>
      <c r="J331" t="s">
        <v>223</v>
      </c>
      <c r="K331" t="s">
        <v>223</v>
      </c>
      <c r="L331" t="s">
        <v>223</v>
      </c>
      <c r="M331" t="s">
        <v>223</v>
      </c>
      <c r="N331" t="s">
        <v>223</v>
      </c>
      <c r="O331" t="s">
        <v>223</v>
      </c>
      <c r="P331" t="s">
        <v>223</v>
      </c>
      <c r="Q331" t="s">
        <v>223</v>
      </c>
      <c r="R331" t="s">
        <v>223</v>
      </c>
      <c r="S331" t="s">
        <v>223</v>
      </c>
      <c r="T331" t="s">
        <v>223</v>
      </c>
      <c r="U331" t="s">
        <v>223</v>
      </c>
      <c r="V331" t="s">
        <v>223</v>
      </c>
      <c r="W331" t="s">
        <v>223</v>
      </c>
      <c r="X331" t="s">
        <v>223</v>
      </c>
      <c r="Y331" t="s">
        <v>223</v>
      </c>
      <c r="Z331" t="s">
        <v>223</v>
      </c>
      <c r="AA331" t="s">
        <v>223</v>
      </c>
      <c r="AB331" t="s">
        <v>223</v>
      </c>
      <c r="AC331" t="s">
        <v>223</v>
      </c>
      <c r="AD331" t="s">
        <v>223</v>
      </c>
      <c r="AE331" t="s">
        <v>223</v>
      </c>
      <c r="AF331" t="s">
        <v>223</v>
      </c>
      <c r="AG331" t="s">
        <v>223</v>
      </c>
      <c r="AH331" t="s">
        <v>223</v>
      </c>
      <c r="AI331" t="s">
        <v>223</v>
      </c>
      <c r="AJ331" t="s">
        <v>223</v>
      </c>
      <c r="AK331" t="s">
        <v>223</v>
      </c>
      <c r="AL331" t="s">
        <v>223</v>
      </c>
      <c r="AM331" t="s">
        <v>223</v>
      </c>
      <c r="AN331" s="9">
        <v>10</v>
      </c>
    </row>
    <row r="332" spans="1:40">
      <c r="A332" t="s">
        <v>382</v>
      </c>
      <c r="B332">
        <v>11</v>
      </c>
      <c r="C332" t="s">
        <v>223</v>
      </c>
      <c r="D332" t="s">
        <v>223</v>
      </c>
      <c r="E332" t="s">
        <v>223</v>
      </c>
      <c r="F332" t="s">
        <v>223</v>
      </c>
      <c r="G332" t="s">
        <v>223</v>
      </c>
      <c r="H332" t="s">
        <v>223</v>
      </c>
      <c r="I332" t="s">
        <v>223</v>
      </c>
      <c r="J332" t="s">
        <v>223</v>
      </c>
      <c r="K332" t="s">
        <v>223</v>
      </c>
      <c r="L332" t="s">
        <v>223</v>
      </c>
      <c r="M332" t="s">
        <v>223</v>
      </c>
      <c r="N332" t="s">
        <v>223</v>
      </c>
      <c r="O332" t="s">
        <v>223</v>
      </c>
      <c r="P332" t="s">
        <v>223</v>
      </c>
      <c r="Q332" t="s">
        <v>223</v>
      </c>
      <c r="R332" t="s">
        <v>223</v>
      </c>
      <c r="S332" t="s">
        <v>223</v>
      </c>
      <c r="T332" t="s">
        <v>223</v>
      </c>
      <c r="U332" t="s">
        <v>223</v>
      </c>
      <c r="V332" t="s">
        <v>223</v>
      </c>
      <c r="W332" t="s">
        <v>223</v>
      </c>
      <c r="X332" t="s">
        <v>223</v>
      </c>
      <c r="Y332" t="s">
        <v>223</v>
      </c>
      <c r="Z332" t="s">
        <v>223</v>
      </c>
      <c r="AA332" t="s">
        <v>223</v>
      </c>
      <c r="AB332" t="s">
        <v>223</v>
      </c>
      <c r="AC332" t="s">
        <v>223</v>
      </c>
      <c r="AD332" t="s">
        <v>223</v>
      </c>
      <c r="AE332" t="s">
        <v>223</v>
      </c>
      <c r="AF332" t="s">
        <v>223</v>
      </c>
      <c r="AG332" t="s">
        <v>223</v>
      </c>
      <c r="AH332" t="s">
        <v>223</v>
      </c>
      <c r="AI332" t="s">
        <v>223</v>
      </c>
      <c r="AJ332" t="s">
        <v>223</v>
      </c>
      <c r="AK332" t="s">
        <v>223</v>
      </c>
      <c r="AL332" t="s">
        <v>223</v>
      </c>
      <c r="AM332" t="s">
        <v>223</v>
      </c>
      <c r="AN332" s="9">
        <v>11</v>
      </c>
    </row>
    <row r="333" spans="1:40">
      <c r="A333" t="s">
        <v>382</v>
      </c>
      <c r="B333">
        <v>12</v>
      </c>
      <c r="C333" t="s">
        <v>223</v>
      </c>
      <c r="D333" t="s">
        <v>223</v>
      </c>
      <c r="E333" t="s">
        <v>223</v>
      </c>
      <c r="F333" t="s">
        <v>223</v>
      </c>
      <c r="G333" t="s">
        <v>223</v>
      </c>
      <c r="H333" t="s">
        <v>223</v>
      </c>
      <c r="I333" t="s">
        <v>223</v>
      </c>
      <c r="J333" t="s">
        <v>223</v>
      </c>
      <c r="K333" t="s">
        <v>223</v>
      </c>
      <c r="L333" t="s">
        <v>223</v>
      </c>
      <c r="M333" t="s">
        <v>223</v>
      </c>
      <c r="N333" t="s">
        <v>223</v>
      </c>
      <c r="O333" t="s">
        <v>223</v>
      </c>
      <c r="P333" t="s">
        <v>223</v>
      </c>
      <c r="Q333" t="s">
        <v>223</v>
      </c>
      <c r="R333" t="s">
        <v>223</v>
      </c>
      <c r="S333" t="s">
        <v>223</v>
      </c>
      <c r="T333" t="s">
        <v>223</v>
      </c>
      <c r="U333" t="s">
        <v>223</v>
      </c>
      <c r="V333" t="s">
        <v>223</v>
      </c>
      <c r="W333" t="s">
        <v>223</v>
      </c>
      <c r="X333" t="s">
        <v>223</v>
      </c>
      <c r="Y333" t="s">
        <v>223</v>
      </c>
      <c r="Z333" t="s">
        <v>223</v>
      </c>
      <c r="AA333" t="s">
        <v>223</v>
      </c>
      <c r="AB333" t="s">
        <v>223</v>
      </c>
      <c r="AC333" t="s">
        <v>223</v>
      </c>
      <c r="AD333" t="s">
        <v>223</v>
      </c>
      <c r="AE333" t="s">
        <v>223</v>
      </c>
      <c r="AF333" t="s">
        <v>223</v>
      </c>
      <c r="AG333" t="s">
        <v>223</v>
      </c>
      <c r="AH333" t="s">
        <v>223</v>
      </c>
      <c r="AI333" t="s">
        <v>223</v>
      </c>
      <c r="AJ333" t="s">
        <v>223</v>
      </c>
      <c r="AK333" t="s">
        <v>223</v>
      </c>
      <c r="AL333" t="s">
        <v>223</v>
      </c>
      <c r="AM333" t="s">
        <v>223</v>
      </c>
      <c r="AN333" s="9">
        <v>12</v>
      </c>
    </row>
    <row r="334" spans="1:40">
      <c r="A334" t="s">
        <v>382</v>
      </c>
      <c r="B334">
        <v>13</v>
      </c>
      <c r="C334" t="s">
        <v>223</v>
      </c>
      <c r="D334" t="s">
        <v>223</v>
      </c>
      <c r="E334" t="s">
        <v>223</v>
      </c>
      <c r="F334" t="s">
        <v>223</v>
      </c>
      <c r="G334" t="s">
        <v>223</v>
      </c>
      <c r="H334" t="s">
        <v>223</v>
      </c>
      <c r="I334" t="s">
        <v>223</v>
      </c>
      <c r="J334" t="s">
        <v>223</v>
      </c>
      <c r="K334" t="s">
        <v>223</v>
      </c>
      <c r="L334" t="s">
        <v>223</v>
      </c>
      <c r="M334" t="s">
        <v>223</v>
      </c>
      <c r="N334" t="s">
        <v>223</v>
      </c>
      <c r="O334" t="s">
        <v>223</v>
      </c>
      <c r="P334" t="s">
        <v>223</v>
      </c>
      <c r="Q334" t="s">
        <v>223</v>
      </c>
      <c r="R334" t="s">
        <v>223</v>
      </c>
      <c r="S334" t="s">
        <v>223</v>
      </c>
      <c r="T334" t="s">
        <v>223</v>
      </c>
      <c r="U334" t="s">
        <v>223</v>
      </c>
      <c r="V334" t="s">
        <v>223</v>
      </c>
      <c r="W334" t="s">
        <v>223</v>
      </c>
      <c r="X334" t="s">
        <v>223</v>
      </c>
      <c r="Y334" t="s">
        <v>223</v>
      </c>
      <c r="Z334" t="s">
        <v>223</v>
      </c>
      <c r="AA334" t="s">
        <v>223</v>
      </c>
      <c r="AB334" t="s">
        <v>223</v>
      </c>
      <c r="AC334" t="s">
        <v>223</v>
      </c>
      <c r="AD334" t="s">
        <v>223</v>
      </c>
      <c r="AE334" t="s">
        <v>223</v>
      </c>
      <c r="AF334" t="s">
        <v>223</v>
      </c>
      <c r="AG334" t="s">
        <v>223</v>
      </c>
      <c r="AH334" t="s">
        <v>223</v>
      </c>
      <c r="AI334" t="s">
        <v>223</v>
      </c>
      <c r="AJ334" t="s">
        <v>223</v>
      </c>
      <c r="AK334" t="s">
        <v>223</v>
      </c>
      <c r="AL334" t="s">
        <v>223</v>
      </c>
      <c r="AM334" t="s">
        <v>223</v>
      </c>
      <c r="AN334" s="9">
        <v>13</v>
      </c>
    </row>
    <row r="335" spans="1:40">
      <c r="A335" t="s">
        <v>382</v>
      </c>
      <c r="B335">
        <v>14</v>
      </c>
      <c r="C335" t="s">
        <v>223</v>
      </c>
      <c r="D335" t="s">
        <v>223</v>
      </c>
      <c r="E335" t="s">
        <v>223</v>
      </c>
      <c r="F335" t="s">
        <v>223</v>
      </c>
      <c r="G335" t="s">
        <v>223</v>
      </c>
      <c r="H335" t="s">
        <v>223</v>
      </c>
      <c r="I335" t="s">
        <v>223</v>
      </c>
      <c r="J335" t="s">
        <v>223</v>
      </c>
      <c r="K335" t="s">
        <v>223</v>
      </c>
      <c r="L335" t="s">
        <v>223</v>
      </c>
      <c r="M335" t="s">
        <v>223</v>
      </c>
      <c r="N335" t="s">
        <v>223</v>
      </c>
      <c r="O335" t="s">
        <v>223</v>
      </c>
      <c r="P335" t="s">
        <v>223</v>
      </c>
      <c r="Q335" t="s">
        <v>223</v>
      </c>
      <c r="R335" t="s">
        <v>223</v>
      </c>
      <c r="S335" t="s">
        <v>223</v>
      </c>
      <c r="T335" t="s">
        <v>223</v>
      </c>
      <c r="U335" t="s">
        <v>223</v>
      </c>
      <c r="V335" t="s">
        <v>223</v>
      </c>
      <c r="W335" t="s">
        <v>223</v>
      </c>
      <c r="X335" t="s">
        <v>223</v>
      </c>
      <c r="Y335" t="s">
        <v>223</v>
      </c>
      <c r="Z335" t="s">
        <v>223</v>
      </c>
      <c r="AA335" t="s">
        <v>223</v>
      </c>
      <c r="AB335" t="s">
        <v>223</v>
      </c>
      <c r="AC335" t="s">
        <v>223</v>
      </c>
      <c r="AD335" t="s">
        <v>223</v>
      </c>
      <c r="AE335" t="s">
        <v>223</v>
      </c>
      <c r="AF335" t="s">
        <v>223</v>
      </c>
      <c r="AG335" t="s">
        <v>223</v>
      </c>
      <c r="AH335" t="s">
        <v>223</v>
      </c>
      <c r="AI335" t="s">
        <v>223</v>
      </c>
      <c r="AJ335" t="s">
        <v>223</v>
      </c>
      <c r="AK335" t="s">
        <v>223</v>
      </c>
      <c r="AL335" t="s">
        <v>223</v>
      </c>
      <c r="AM335" t="s">
        <v>223</v>
      </c>
      <c r="AN335" s="9">
        <v>14</v>
      </c>
    </row>
    <row r="336" spans="1:40">
      <c r="A336" t="s">
        <v>382</v>
      </c>
      <c r="B336">
        <v>15</v>
      </c>
      <c r="C336" t="s">
        <v>223</v>
      </c>
      <c r="D336" t="s">
        <v>223</v>
      </c>
      <c r="E336" t="s">
        <v>223</v>
      </c>
      <c r="F336" t="s">
        <v>223</v>
      </c>
      <c r="G336" t="s">
        <v>223</v>
      </c>
      <c r="H336" t="s">
        <v>223</v>
      </c>
      <c r="I336" t="s">
        <v>223</v>
      </c>
      <c r="J336" t="s">
        <v>223</v>
      </c>
      <c r="K336" t="s">
        <v>223</v>
      </c>
      <c r="L336" t="s">
        <v>223</v>
      </c>
      <c r="M336" t="s">
        <v>223</v>
      </c>
      <c r="N336" t="s">
        <v>223</v>
      </c>
      <c r="O336" t="s">
        <v>223</v>
      </c>
      <c r="P336" t="s">
        <v>223</v>
      </c>
      <c r="Q336" t="s">
        <v>223</v>
      </c>
      <c r="R336" t="s">
        <v>223</v>
      </c>
      <c r="S336" t="s">
        <v>223</v>
      </c>
      <c r="T336" t="s">
        <v>223</v>
      </c>
      <c r="U336" t="s">
        <v>223</v>
      </c>
      <c r="V336" t="s">
        <v>223</v>
      </c>
      <c r="W336" t="s">
        <v>223</v>
      </c>
      <c r="X336" t="s">
        <v>223</v>
      </c>
      <c r="Y336" t="s">
        <v>223</v>
      </c>
      <c r="Z336" t="s">
        <v>223</v>
      </c>
      <c r="AA336" t="s">
        <v>223</v>
      </c>
      <c r="AB336" t="s">
        <v>223</v>
      </c>
      <c r="AC336" t="s">
        <v>223</v>
      </c>
      <c r="AD336" t="s">
        <v>223</v>
      </c>
      <c r="AE336" t="s">
        <v>223</v>
      </c>
      <c r="AF336" t="s">
        <v>223</v>
      </c>
      <c r="AG336" t="s">
        <v>223</v>
      </c>
      <c r="AH336" t="s">
        <v>223</v>
      </c>
      <c r="AI336" t="s">
        <v>223</v>
      </c>
      <c r="AJ336" t="s">
        <v>223</v>
      </c>
      <c r="AK336" t="s">
        <v>223</v>
      </c>
      <c r="AL336" t="s">
        <v>223</v>
      </c>
      <c r="AM336" t="s">
        <v>223</v>
      </c>
      <c r="AN336" s="9">
        <v>15</v>
      </c>
    </row>
    <row r="337" spans="1:40">
      <c r="A337" t="s">
        <v>382</v>
      </c>
      <c r="B337">
        <v>16</v>
      </c>
      <c r="C337" t="s">
        <v>223</v>
      </c>
      <c r="D337" t="s">
        <v>223</v>
      </c>
      <c r="E337" t="s">
        <v>223</v>
      </c>
      <c r="F337" t="s">
        <v>223</v>
      </c>
      <c r="G337" t="s">
        <v>223</v>
      </c>
      <c r="H337" t="s">
        <v>223</v>
      </c>
      <c r="I337" t="s">
        <v>223</v>
      </c>
      <c r="J337" t="s">
        <v>223</v>
      </c>
      <c r="K337" t="s">
        <v>223</v>
      </c>
      <c r="L337" t="s">
        <v>223</v>
      </c>
      <c r="M337" t="s">
        <v>223</v>
      </c>
      <c r="N337" t="s">
        <v>223</v>
      </c>
      <c r="O337" t="s">
        <v>223</v>
      </c>
      <c r="P337" t="s">
        <v>223</v>
      </c>
      <c r="Q337" t="s">
        <v>223</v>
      </c>
      <c r="R337" t="s">
        <v>223</v>
      </c>
      <c r="S337" t="s">
        <v>223</v>
      </c>
      <c r="T337" t="s">
        <v>223</v>
      </c>
      <c r="U337" t="s">
        <v>223</v>
      </c>
      <c r="V337" t="s">
        <v>223</v>
      </c>
      <c r="W337" t="s">
        <v>223</v>
      </c>
      <c r="X337" t="s">
        <v>223</v>
      </c>
      <c r="Y337" t="s">
        <v>223</v>
      </c>
      <c r="Z337" t="s">
        <v>223</v>
      </c>
      <c r="AA337" t="s">
        <v>223</v>
      </c>
      <c r="AB337" t="s">
        <v>223</v>
      </c>
      <c r="AC337" t="s">
        <v>223</v>
      </c>
      <c r="AD337" t="s">
        <v>223</v>
      </c>
      <c r="AE337" t="s">
        <v>223</v>
      </c>
      <c r="AF337" t="s">
        <v>223</v>
      </c>
      <c r="AG337" t="s">
        <v>223</v>
      </c>
      <c r="AH337" t="s">
        <v>223</v>
      </c>
      <c r="AI337" t="s">
        <v>223</v>
      </c>
      <c r="AJ337" t="s">
        <v>223</v>
      </c>
      <c r="AK337" t="s">
        <v>223</v>
      </c>
      <c r="AL337" t="s">
        <v>223</v>
      </c>
      <c r="AM337" t="s">
        <v>223</v>
      </c>
      <c r="AN337" s="9">
        <v>16</v>
      </c>
    </row>
    <row r="338" spans="1:40">
      <c r="A338" t="s">
        <v>382</v>
      </c>
      <c r="B338">
        <v>17</v>
      </c>
      <c r="C338" t="s">
        <v>223</v>
      </c>
      <c r="D338" t="s">
        <v>223</v>
      </c>
      <c r="E338" t="s">
        <v>223</v>
      </c>
      <c r="F338" t="s">
        <v>223</v>
      </c>
      <c r="G338" t="s">
        <v>223</v>
      </c>
      <c r="H338" t="s">
        <v>223</v>
      </c>
      <c r="I338" t="s">
        <v>223</v>
      </c>
      <c r="J338" t="s">
        <v>223</v>
      </c>
      <c r="K338" t="s">
        <v>223</v>
      </c>
      <c r="L338" t="s">
        <v>223</v>
      </c>
      <c r="M338" t="s">
        <v>223</v>
      </c>
      <c r="N338" t="s">
        <v>223</v>
      </c>
      <c r="O338" t="s">
        <v>223</v>
      </c>
      <c r="P338" t="s">
        <v>223</v>
      </c>
      <c r="Q338" t="s">
        <v>223</v>
      </c>
      <c r="R338" t="s">
        <v>223</v>
      </c>
      <c r="S338" t="s">
        <v>223</v>
      </c>
      <c r="T338" t="s">
        <v>223</v>
      </c>
      <c r="U338" t="s">
        <v>223</v>
      </c>
      <c r="V338" t="s">
        <v>223</v>
      </c>
      <c r="W338" t="s">
        <v>223</v>
      </c>
      <c r="X338" t="s">
        <v>223</v>
      </c>
      <c r="Y338" t="s">
        <v>223</v>
      </c>
      <c r="Z338" t="s">
        <v>223</v>
      </c>
      <c r="AA338" t="s">
        <v>223</v>
      </c>
      <c r="AB338" t="s">
        <v>223</v>
      </c>
      <c r="AC338" t="s">
        <v>223</v>
      </c>
      <c r="AD338" t="s">
        <v>223</v>
      </c>
      <c r="AE338" t="s">
        <v>223</v>
      </c>
      <c r="AF338" t="s">
        <v>223</v>
      </c>
      <c r="AG338" t="s">
        <v>223</v>
      </c>
      <c r="AH338" t="s">
        <v>223</v>
      </c>
      <c r="AI338" t="s">
        <v>223</v>
      </c>
      <c r="AJ338" t="s">
        <v>223</v>
      </c>
      <c r="AK338" t="s">
        <v>223</v>
      </c>
      <c r="AL338" t="s">
        <v>223</v>
      </c>
      <c r="AM338" t="s">
        <v>223</v>
      </c>
      <c r="AN338" s="9">
        <v>17</v>
      </c>
    </row>
    <row r="339" spans="1:40">
      <c r="A339" t="s">
        <v>382</v>
      </c>
      <c r="B339">
        <v>18</v>
      </c>
      <c r="C339" t="s">
        <v>223</v>
      </c>
      <c r="D339" t="s">
        <v>223</v>
      </c>
      <c r="E339" t="s">
        <v>223</v>
      </c>
      <c r="F339" t="s">
        <v>223</v>
      </c>
      <c r="G339" t="s">
        <v>223</v>
      </c>
      <c r="H339" t="s">
        <v>223</v>
      </c>
      <c r="I339" t="s">
        <v>223</v>
      </c>
      <c r="J339" t="s">
        <v>223</v>
      </c>
      <c r="K339" t="s">
        <v>223</v>
      </c>
      <c r="L339" t="s">
        <v>223</v>
      </c>
      <c r="M339" t="s">
        <v>223</v>
      </c>
      <c r="N339" t="s">
        <v>223</v>
      </c>
      <c r="O339" t="s">
        <v>223</v>
      </c>
      <c r="P339" t="s">
        <v>223</v>
      </c>
      <c r="Q339" t="s">
        <v>223</v>
      </c>
      <c r="R339" t="s">
        <v>223</v>
      </c>
      <c r="S339" t="s">
        <v>223</v>
      </c>
      <c r="T339" t="s">
        <v>223</v>
      </c>
      <c r="U339" t="s">
        <v>223</v>
      </c>
      <c r="V339" t="s">
        <v>223</v>
      </c>
      <c r="W339" t="s">
        <v>223</v>
      </c>
      <c r="X339" t="s">
        <v>223</v>
      </c>
      <c r="Y339" t="s">
        <v>223</v>
      </c>
      <c r="Z339" t="s">
        <v>223</v>
      </c>
      <c r="AA339" t="s">
        <v>223</v>
      </c>
      <c r="AB339" t="s">
        <v>223</v>
      </c>
      <c r="AC339" t="s">
        <v>223</v>
      </c>
      <c r="AD339" t="s">
        <v>223</v>
      </c>
      <c r="AE339" t="s">
        <v>223</v>
      </c>
      <c r="AF339" t="s">
        <v>223</v>
      </c>
      <c r="AG339" t="s">
        <v>223</v>
      </c>
      <c r="AH339" t="s">
        <v>223</v>
      </c>
      <c r="AI339" t="s">
        <v>223</v>
      </c>
      <c r="AJ339" t="s">
        <v>223</v>
      </c>
      <c r="AK339" t="s">
        <v>223</v>
      </c>
      <c r="AL339" t="s">
        <v>223</v>
      </c>
      <c r="AM339" t="s">
        <v>223</v>
      </c>
      <c r="AN339" s="9">
        <v>18</v>
      </c>
    </row>
    <row r="340" spans="1:40">
      <c r="A340" t="s">
        <v>382</v>
      </c>
      <c r="B340">
        <v>19</v>
      </c>
      <c r="C340" t="s">
        <v>223</v>
      </c>
      <c r="D340" t="s">
        <v>223</v>
      </c>
      <c r="E340" t="s">
        <v>223</v>
      </c>
      <c r="F340" t="s">
        <v>223</v>
      </c>
      <c r="G340" t="s">
        <v>223</v>
      </c>
      <c r="H340" t="s">
        <v>223</v>
      </c>
      <c r="I340" t="s">
        <v>223</v>
      </c>
      <c r="J340" t="s">
        <v>223</v>
      </c>
      <c r="K340" t="s">
        <v>223</v>
      </c>
      <c r="L340" t="s">
        <v>223</v>
      </c>
      <c r="M340" t="s">
        <v>223</v>
      </c>
      <c r="N340" t="s">
        <v>223</v>
      </c>
      <c r="O340" t="s">
        <v>223</v>
      </c>
      <c r="P340" t="s">
        <v>223</v>
      </c>
      <c r="Q340" t="s">
        <v>223</v>
      </c>
      <c r="R340" t="s">
        <v>223</v>
      </c>
      <c r="S340" t="s">
        <v>223</v>
      </c>
      <c r="T340" t="s">
        <v>223</v>
      </c>
      <c r="U340" t="s">
        <v>223</v>
      </c>
      <c r="V340" t="s">
        <v>223</v>
      </c>
      <c r="W340" t="s">
        <v>223</v>
      </c>
      <c r="X340" t="s">
        <v>223</v>
      </c>
      <c r="Y340" t="s">
        <v>223</v>
      </c>
      <c r="Z340" t="s">
        <v>223</v>
      </c>
      <c r="AA340" t="s">
        <v>223</v>
      </c>
      <c r="AB340" t="s">
        <v>223</v>
      </c>
      <c r="AC340" t="s">
        <v>223</v>
      </c>
      <c r="AD340" t="s">
        <v>223</v>
      </c>
      <c r="AE340" t="s">
        <v>223</v>
      </c>
      <c r="AF340" t="s">
        <v>223</v>
      </c>
      <c r="AG340" t="s">
        <v>223</v>
      </c>
      <c r="AH340" t="s">
        <v>223</v>
      </c>
      <c r="AI340" t="s">
        <v>223</v>
      </c>
      <c r="AJ340" t="s">
        <v>223</v>
      </c>
      <c r="AK340" t="s">
        <v>223</v>
      </c>
      <c r="AL340" t="s">
        <v>223</v>
      </c>
      <c r="AM340" t="s">
        <v>223</v>
      </c>
      <c r="AN340" s="9">
        <v>19</v>
      </c>
    </row>
    <row r="341" spans="1:40">
      <c r="A341" t="s">
        <v>382</v>
      </c>
      <c r="B341">
        <v>20</v>
      </c>
      <c r="C341" t="s">
        <v>223</v>
      </c>
      <c r="D341" t="s">
        <v>223</v>
      </c>
      <c r="E341" t="s">
        <v>223</v>
      </c>
      <c r="F341" t="s">
        <v>223</v>
      </c>
      <c r="G341" t="s">
        <v>223</v>
      </c>
      <c r="H341" t="s">
        <v>223</v>
      </c>
      <c r="I341" t="s">
        <v>223</v>
      </c>
      <c r="J341" t="s">
        <v>223</v>
      </c>
      <c r="K341" t="s">
        <v>223</v>
      </c>
      <c r="L341" t="s">
        <v>223</v>
      </c>
      <c r="M341" t="s">
        <v>223</v>
      </c>
      <c r="N341" t="s">
        <v>223</v>
      </c>
      <c r="O341" t="s">
        <v>223</v>
      </c>
      <c r="P341" t="s">
        <v>223</v>
      </c>
      <c r="Q341" t="s">
        <v>223</v>
      </c>
      <c r="R341" t="s">
        <v>223</v>
      </c>
      <c r="S341" t="s">
        <v>223</v>
      </c>
      <c r="T341" t="s">
        <v>223</v>
      </c>
      <c r="U341" t="s">
        <v>223</v>
      </c>
      <c r="V341" t="s">
        <v>223</v>
      </c>
      <c r="W341" t="s">
        <v>223</v>
      </c>
      <c r="X341" t="s">
        <v>223</v>
      </c>
      <c r="Y341" t="s">
        <v>223</v>
      </c>
      <c r="Z341" t="s">
        <v>223</v>
      </c>
      <c r="AA341" t="s">
        <v>223</v>
      </c>
      <c r="AB341" t="s">
        <v>223</v>
      </c>
      <c r="AC341" t="s">
        <v>223</v>
      </c>
      <c r="AD341" t="s">
        <v>223</v>
      </c>
      <c r="AE341" t="s">
        <v>223</v>
      </c>
      <c r="AF341" t="s">
        <v>223</v>
      </c>
      <c r="AG341" t="s">
        <v>223</v>
      </c>
      <c r="AH341" t="s">
        <v>223</v>
      </c>
      <c r="AI341" t="s">
        <v>223</v>
      </c>
      <c r="AJ341" t="s">
        <v>223</v>
      </c>
      <c r="AK341" t="s">
        <v>223</v>
      </c>
      <c r="AL341" t="s">
        <v>223</v>
      </c>
      <c r="AM341" t="s">
        <v>223</v>
      </c>
      <c r="AN341" s="9">
        <v>20</v>
      </c>
    </row>
    <row r="342" spans="1:40">
      <c r="A342" t="s">
        <v>382</v>
      </c>
      <c r="B342">
        <v>21</v>
      </c>
      <c r="C342" t="s">
        <v>223</v>
      </c>
      <c r="D342" t="s">
        <v>223</v>
      </c>
      <c r="E342" t="s">
        <v>223</v>
      </c>
      <c r="F342" t="s">
        <v>223</v>
      </c>
      <c r="G342" t="s">
        <v>223</v>
      </c>
      <c r="H342" t="s">
        <v>223</v>
      </c>
      <c r="I342" t="s">
        <v>223</v>
      </c>
      <c r="J342" t="s">
        <v>223</v>
      </c>
      <c r="K342" t="s">
        <v>223</v>
      </c>
      <c r="L342" t="s">
        <v>223</v>
      </c>
      <c r="M342" t="s">
        <v>223</v>
      </c>
      <c r="N342" t="s">
        <v>223</v>
      </c>
      <c r="O342" t="s">
        <v>223</v>
      </c>
      <c r="P342" t="s">
        <v>223</v>
      </c>
      <c r="Q342" t="s">
        <v>223</v>
      </c>
      <c r="R342" t="s">
        <v>223</v>
      </c>
      <c r="S342" t="s">
        <v>223</v>
      </c>
      <c r="T342" t="s">
        <v>223</v>
      </c>
      <c r="U342" t="s">
        <v>223</v>
      </c>
      <c r="V342" t="s">
        <v>223</v>
      </c>
      <c r="W342" t="s">
        <v>223</v>
      </c>
      <c r="X342" t="s">
        <v>223</v>
      </c>
      <c r="Y342" t="s">
        <v>223</v>
      </c>
      <c r="Z342" t="s">
        <v>223</v>
      </c>
      <c r="AA342" t="s">
        <v>223</v>
      </c>
      <c r="AB342" t="s">
        <v>223</v>
      </c>
      <c r="AC342" t="s">
        <v>223</v>
      </c>
      <c r="AD342" t="s">
        <v>223</v>
      </c>
      <c r="AE342" t="s">
        <v>223</v>
      </c>
      <c r="AF342" t="s">
        <v>223</v>
      </c>
      <c r="AG342" t="s">
        <v>223</v>
      </c>
      <c r="AH342" t="s">
        <v>223</v>
      </c>
      <c r="AI342" t="s">
        <v>223</v>
      </c>
      <c r="AJ342" t="s">
        <v>223</v>
      </c>
      <c r="AK342" t="s">
        <v>223</v>
      </c>
      <c r="AL342" t="s">
        <v>223</v>
      </c>
      <c r="AM342" t="s">
        <v>223</v>
      </c>
      <c r="AN342" s="9">
        <v>21</v>
      </c>
    </row>
    <row r="343" spans="1:40">
      <c r="A343" t="s">
        <v>382</v>
      </c>
      <c r="B343">
        <v>22</v>
      </c>
      <c r="C343" t="s">
        <v>223</v>
      </c>
      <c r="D343" t="s">
        <v>223</v>
      </c>
      <c r="E343" t="s">
        <v>223</v>
      </c>
      <c r="F343" t="s">
        <v>223</v>
      </c>
      <c r="G343" t="s">
        <v>223</v>
      </c>
      <c r="H343" t="s">
        <v>223</v>
      </c>
      <c r="I343" t="s">
        <v>223</v>
      </c>
      <c r="J343" t="s">
        <v>223</v>
      </c>
      <c r="K343" t="s">
        <v>223</v>
      </c>
      <c r="L343" t="s">
        <v>223</v>
      </c>
      <c r="M343" t="s">
        <v>223</v>
      </c>
      <c r="N343" t="s">
        <v>223</v>
      </c>
      <c r="O343" t="s">
        <v>223</v>
      </c>
      <c r="P343" t="s">
        <v>223</v>
      </c>
      <c r="Q343" t="s">
        <v>223</v>
      </c>
      <c r="R343" t="s">
        <v>223</v>
      </c>
      <c r="S343" t="s">
        <v>223</v>
      </c>
      <c r="T343" t="s">
        <v>223</v>
      </c>
      <c r="U343" t="s">
        <v>223</v>
      </c>
      <c r="V343" t="s">
        <v>223</v>
      </c>
      <c r="W343" t="s">
        <v>223</v>
      </c>
      <c r="X343" t="s">
        <v>223</v>
      </c>
      <c r="Y343" t="s">
        <v>223</v>
      </c>
      <c r="Z343" t="s">
        <v>223</v>
      </c>
      <c r="AA343" t="s">
        <v>223</v>
      </c>
      <c r="AB343" t="s">
        <v>223</v>
      </c>
      <c r="AC343" t="s">
        <v>223</v>
      </c>
      <c r="AD343" t="s">
        <v>223</v>
      </c>
      <c r="AE343" t="s">
        <v>223</v>
      </c>
      <c r="AF343" t="s">
        <v>223</v>
      </c>
      <c r="AG343" t="s">
        <v>223</v>
      </c>
      <c r="AH343" t="s">
        <v>223</v>
      </c>
      <c r="AI343" t="s">
        <v>223</v>
      </c>
      <c r="AJ343" t="s">
        <v>223</v>
      </c>
      <c r="AK343" t="s">
        <v>223</v>
      </c>
      <c r="AL343" t="s">
        <v>223</v>
      </c>
      <c r="AM343" t="s">
        <v>223</v>
      </c>
      <c r="AN343" s="9">
        <v>22</v>
      </c>
    </row>
    <row r="344" spans="1:40">
      <c r="A344" t="s">
        <v>382</v>
      </c>
      <c r="B344">
        <v>23</v>
      </c>
      <c r="C344" t="s">
        <v>223</v>
      </c>
      <c r="D344" t="s">
        <v>223</v>
      </c>
      <c r="E344" t="s">
        <v>223</v>
      </c>
      <c r="F344" t="s">
        <v>223</v>
      </c>
      <c r="G344" t="s">
        <v>223</v>
      </c>
      <c r="H344" t="s">
        <v>223</v>
      </c>
      <c r="I344" t="s">
        <v>223</v>
      </c>
      <c r="J344" t="s">
        <v>223</v>
      </c>
      <c r="K344" t="s">
        <v>223</v>
      </c>
      <c r="L344" t="s">
        <v>223</v>
      </c>
      <c r="M344" t="s">
        <v>223</v>
      </c>
      <c r="N344" t="s">
        <v>223</v>
      </c>
      <c r="O344" t="s">
        <v>223</v>
      </c>
      <c r="P344" t="s">
        <v>223</v>
      </c>
      <c r="Q344" t="s">
        <v>223</v>
      </c>
      <c r="R344" t="s">
        <v>223</v>
      </c>
      <c r="S344" t="s">
        <v>223</v>
      </c>
      <c r="T344" t="s">
        <v>223</v>
      </c>
      <c r="U344" t="s">
        <v>223</v>
      </c>
      <c r="V344" t="s">
        <v>223</v>
      </c>
      <c r="W344" t="s">
        <v>223</v>
      </c>
      <c r="X344" t="s">
        <v>223</v>
      </c>
      <c r="Y344" t="s">
        <v>223</v>
      </c>
      <c r="Z344" t="s">
        <v>223</v>
      </c>
      <c r="AA344" t="s">
        <v>223</v>
      </c>
      <c r="AB344" t="s">
        <v>223</v>
      </c>
      <c r="AC344" t="s">
        <v>223</v>
      </c>
      <c r="AD344" t="s">
        <v>223</v>
      </c>
      <c r="AE344" t="s">
        <v>223</v>
      </c>
      <c r="AF344" t="s">
        <v>223</v>
      </c>
      <c r="AG344" t="s">
        <v>223</v>
      </c>
      <c r="AH344" t="s">
        <v>223</v>
      </c>
      <c r="AI344" t="s">
        <v>223</v>
      </c>
      <c r="AJ344" t="s">
        <v>223</v>
      </c>
      <c r="AK344" t="s">
        <v>223</v>
      </c>
      <c r="AL344" t="s">
        <v>223</v>
      </c>
      <c r="AM344" t="s">
        <v>223</v>
      </c>
      <c r="AN344" s="9">
        <v>23</v>
      </c>
    </row>
    <row r="345" spans="1:40">
      <c r="A345" t="s">
        <v>382</v>
      </c>
      <c r="B345">
        <v>24</v>
      </c>
      <c r="C345" t="s">
        <v>223</v>
      </c>
      <c r="D345" t="s">
        <v>223</v>
      </c>
      <c r="E345" t="s">
        <v>223</v>
      </c>
      <c r="F345" t="s">
        <v>223</v>
      </c>
      <c r="G345" t="s">
        <v>223</v>
      </c>
      <c r="H345" t="s">
        <v>223</v>
      </c>
      <c r="I345" t="s">
        <v>223</v>
      </c>
      <c r="J345" t="s">
        <v>223</v>
      </c>
      <c r="K345" t="s">
        <v>223</v>
      </c>
      <c r="L345" t="s">
        <v>223</v>
      </c>
      <c r="M345" t="s">
        <v>223</v>
      </c>
      <c r="N345" t="s">
        <v>223</v>
      </c>
      <c r="O345" t="s">
        <v>223</v>
      </c>
      <c r="P345" t="s">
        <v>223</v>
      </c>
      <c r="Q345" t="s">
        <v>223</v>
      </c>
      <c r="R345" t="s">
        <v>223</v>
      </c>
      <c r="S345" t="s">
        <v>223</v>
      </c>
      <c r="T345" t="s">
        <v>223</v>
      </c>
      <c r="U345" t="s">
        <v>223</v>
      </c>
      <c r="V345" t="s">
        <v>223</v>
      </c>
      <c r="W345" t="s">
        <v>223</v>
      </c>
      <c r="X345" t="s">
        <v>223</v>
      </c>
      <c r="Y345" t="s">
        <v>223</v>
      </c>
      <c r="Z345" t="s">
        <v>223</v>
      </c>
      <c r="AA345" t="s">
        <v>223</v>
      </c>
      <c r="AB345" t="s">
        <v>223</v>
      </c>
      <c r="AC345" t="s">
        <v>223</v>
      </c>
      <c r="AD345" t="s">
        <v>223</v>
      </c>
      <c r="AE345" t="s">
        <v>223</v>
      </c>
      <c r="AF345" t="s">
        <v>223</v>
      </c>
      <c r="AG345" t="s">
        <v>223</v>
      </c>
      <c r="AH345" t="s">
        <v>223</v>
      </c>
      <c r="AI345" t="s">
        <v>223</v>
      </c>
      <c r="AJ345" t="s">
        <v>223</v>
      </c>
      <c r="AK345" t="s">
        <v>223</v>
      </c>
      <c r="AL345" t="s">
        <v>223</v>
      </c>
      <c r="AM345" t="s">
        <v>223</v>
      </c>
      <c r="AN345" s="9">
        <v>24</v>
      </c>
    </row>
    <row r="346" spans="1:40">
      <c r="A346" t="s">
        <v>382</v>
      </c>
      <c r="B346">
        <v>25</v>
      </c>
      <c r="C346" t="s">
        <v>223</v>
      </c>
      <c r="D346" t="s">
        <v>223</v>
      </c>
      <c r="E346" t="s">
        <v>223</v>
      </c>
      <c r="F346" t="s">
        <v>223</v>
      </c>
      <c r="G346" t="s">
        <v>223</v>
      </c>
      <c r="H346" t="s">
        <v>223</v>
      </c>
      <c r="I346" t="s">
        <v>223</v>
      </c>
      <c r="J346" t="s">
        <v>223</v>
      </c>
      <c r="K346" t="s">
        <v>223</v>
      </c>
      <c r="L346" t="s">
        <v>223</v>
      </c>
      <c r="M346" t="s">
        <v>223</v>
      </c>
      <c r="N346" t="s">
        <v>223</v>
      </c>
      <c r="O346" t="s">
        <v>223</v>
      </c>
      <c r="P346" t="s">
        <v>223</v>
      </c>
      <c r="Q346" t="s">
        <v>223</v>
      </c>
      <c r="R346" t="s">
        <v>223</v>
      </c>
      <c r="S346" t="s">
        <v>223</v>
      </c>
      <c r="T346" t="s">
        <v>223</v>
      </c>
      <c r="U346" t="s">
        <v>223</v>
      </c>
      <c r="V346" t="s">
        <v>223</v>
      </c>
      <c r="W346" t="s">
        <v>223</v>
      </c>
      <c r="X346" t="s">
        <v>223</v>
      </c>
      <c r="Y346" t="s">
        <v>223</v>
      </c>
      <c r="Z346" t="s">
        <v>223</v>
      </c>
      <c r="AA346" t="s">
        <v>223</v>
      </c>
      <c r="AB346" t="s">
        <v>223</v>
      </c>
      <c r="AC346" t="s">
        <v>223</v>
      </c>
      <c r="AD346" t="s">
        <v>223</v>
      </c>
      <c r="AE346" t="s">
        <v>223</v>
      </c>
      <c r="AF346" t="s">
        <v>223</v>
      </c>
      <c r="AG346" t="s">
        <v>223</v>
      </c>
      <c r="AH346" t="s">
        <v>223</v>
      </c>
      <c r="AI346" t="s">
        <v>223</v>
      </c>
      <c r="AJ346" t="s">
        <v>223</v>
      </c>
      <c r="AK346" t="s">
        <v>223</v>
      </c>
      <c r="AL346" t="s">
        <v>223</v>
      </c>
      <c r="AM346" t="s">
        <v>223</v>
      </c>
      <c r="AN346" s="9">
        <v>25</v>
      </c>
    </row>
    <row r="347" spans="1:40">
      <c r="A347" t="s">
        <v>382</v>
      </c>
      <c r="B347">
        <v>26</v>
      </c>
      <c r="C347" t="s">
        <v>223</v>
      </c>
      <c r="D347" t="s">
        <v>223</v>
      </c>
      <c r="E347" t="s">
        <v>223</v>
      </c>
      <c r="F347" t="s">
        <v>223</v>
      </c>
      <c r="G347" t="s">
        <v>223</v>
      </c>
      <c r="H347" t="s">
        <v>223</v>
      </c>
      <c r="I347" t="s">
        <v>223</v>
      </c>
      <c r="J347" t="s">
        <v>223</v>
      </c>
      <c r="K347" t="s">
        <v>223</v>
      </c>
      <c r="L347" t="s">
        <v>223</v>
      </c>
      <c r="M347" t="s">
        <v>223</v>
      </c>
      <c r="N347" t="s">
        <v>223</v>
      </c>
      <c r="O347" t="s">
        <v>223</v>
      </c>
      <c r="P347" t="s">
        <v>223</v>
      </c>
      <c r="Q347" t="s">
        <v>223</v>
      </c>
      <c r="R347" t="s">
        <v>223</v>
      </c>
      <c r="S347" t="s">
        <v>223</v>
      </c>
      <c r="T347" t="s">
        <v>223</v>
      </c>
      <c r="U347" t="s">
        <v>223</v>
      </c>
      <c r="V347" t="s">
        <v>223</v>
      </c>
      <c r="W347" t="s">
        <v>223</v>
      </c>
      <c r="X347" t="s">
        <v>223</v>
      </c>
      <c r="Y347" t="s">
        <v>223</v>
      </c>
      <c r="Z347" t="s">
        <v>223</v>
      </c>
      <c r="AA347" t="s">
        <v>223</v>
      </c>
      <c r="AB347" t="s">
        <v>223</v>
      </c>
      <c r="AC347" t="s">
        <v>223</v>
      </c>
      <c r="AD347" t="s">
        <v>223</v>
      </c>
      <c r="AE347" t="s">
        <v>223</v>
      </c>
      <c r="AF347" t="s">
        <v>223</v>
      </c>
      <c r="AG347" t="s">
        <v>223</v>
      </c>
      <c r="AH347" t="s">
        <v>223</v>
      </c>
      <c r="AI347" t="s">
        <v>223</v>
      </c>
      <c r="AJ347" t="s">
        <v>223</v>
      </c>
      <c r="AK347" t="s">
        <v>223</v>
      </c>
      <c r="AL347" t="s">
        <v>223</v>
      </c>
      <c r="AM347" t="s">
        <v>223</v>
      </c>
      <c r="AN347" s="9">
        <v>26</v>
      </c>
    </row>
    <row r="348" spans="1:40">
      <c r="A348" t="s">
        <v>382</v>
      </c>
      <c r="B348">
        <v>27</v>
      </c>
      <c r="C348" t="s">
        <v>223</v>
      </c>
      <c r="D348" t="s">
        <v>223</v>
      </c>
      <c r="E348" t="s">
        <v>223</v>
      </c>
      <c r="F348" t="s">
        <v>223</v>
      </c>
      <c r="G348" t="s">
        <v>223</v>
      </c>
      <c r="H348" t="s">
        <v>223</v>
      </c>
      <c r="I348" t="s">
        <v>223</v>
      </c>
      <c r="J348" t="s">
        <v>223</v>
      </c>
      <c r="K348" t="s">
        <v>223</v>
      </c>
      <c r="L348" t="s">
        <v>223</v>
      </c>
      <c r="M348" t="s">
        <v>223</v>
      </c>
      <c r="N348" t="s">
        <v>223</v>
      </c>
      <c r="O348" t="s">
        <v>223</v>
      </c>
      <c r="P348" t="s">
        <v>223</v>
      </c>
      <c r="Q348" t="s">
        <v>223</v>
      </c>
      <c r="R348" t="s">
        <v>223</v>
      </c>
      <c r="S348" t="s">
        <v>223</v>
      </c>
      <c r="T348" t="s">
        <v>223</v>
      </c>
      <c r="U348" t="s">
        <v>223</v>
      </c>
      <c r="V348" t="s">
        <v>223</v>
      </c>
      <c r="W348" t="s">
        <v>223</v>
      </c>
      <c r="X348" t="s">
        <v>223</v>
      </c>
      <c r="Y348" t="s">
        <v>223</v>
      </c>
      <c r="Z348" t="s">
        <v>223</v>
      </c>
      <c r="AA348" t="s">
        <v>223</v>
      </c>
      <c r="AB348" t="s">
        <v>223</v>
      </c>
      <c r="AC348" t="s">
        <v>223</v>
      </c>
      <c r="AD348" t="s">
        <v>223</v>
      </c>
      <c r="AE348" t="s">
        <v>223</v>
      </c>
      <c r="AF348" t="s">
        <v>223</v>
      </c>
      <c r="AG348" t="s">
        <v>223</v>
      </c>
      <c r="AH348" t="s">
        <v>223</v>
      </c>
      <c r="AI348" t="s">
        <v>223</v>
      </c>
      <c r="AJ348" t="s">
        <v>223</v>
      </c>
      <c r="AK348" t="s">
        <v>223</v>
      </c>
      <c r="AL348" t="s">
        <v>223</v>
      </c>
      <c r="AM348" t="s">
        <v>223</v>
      </c>
      <c r="AN348" s="9">
        <v>27</v>
      </c>
    </row>
    <row r="349" spans="1:40">
      <c r="A349" t="s">
        <v>382</v>
      </c>
      <c r="B349">
        <v>28</v>
      </c>
      <c r="C349" t="s">
        <v>223</v>
      </c>
      <c r="D349" t="s">
        <v>223</v>
      </c>
      <c r="E349" t="s">
        <v>223</v>
      </c>
      <c r="F349" t="s">
        <v>223</v>
      </c>
      <c r="G349" t="s">
        <v>223</v>
      </c>
      <c r="H349" t="s">
        <v>223</v>
      </c>
      <c r="I349" t="s">
        <v>223</v>
      </c>
      <c r="J349" t="s">
        <v>223</v>
      </c>
      <c r="K349" t="s">
        <v>223</v>
      </c>
      <c r="L349" t="s">
        <v>223</v>
      </c>
      <c r="M349" t="s">
        <v>223</v>
      </c>
      <c r="N349" t="s">
        <v>223</v>
      </c>
      <c r="O349" t="s">
        <v>223</v>
      </c>
      <c r="P349" t="s">
        <v>223</v>
      </c>
      <c r="Q349" t="s">
        <v>223</v>
      </c>
      <c r="R349" t="s">
        <v>223</v>
      </c>
      <c r="S349" t="s">
        <v>223</v>
      </c>
      <c r="T349" t="s">
        <v>223</v>
      </c>
      <c r="U349" t="s">
        <v>223</v>
      </c>
      <c r="V349" t="s">
        <v>223</v>
      </c>
      <c r="W349" t="s">
        <v>223</v>
      </c>
      <c r="X349" t="s">
        <v>223</v>
      </c>
      <c r="Y349" t="s">
        <v>223</v>
      </c>
      <c r="Z349" t="s">
        <v>223</v>
      </c>
      <c r="AA349" t="s">
        <v>223</v>
      </c>
      <c r="AB349" t="s">
        <v>223</v>
      </c>
      <c r="AC349" t="s">
        <v>223</v>
      </c>
      <c r="AD349" t="s">
        <v>223</v>
      </c>
      <c r="AE349" t="s">
        <v>223</v>
      </c>
      <c r="AF349" t="s">
        <v>223</v>
      </c>
      <c r="AG349" t="s">
        <v>223</v>
      </c>
      <c r="AH349" t="s">
        <v>223</v>
      </c>
      <c r="AI349" t="s">
        <v>223</v>
      </c>
      <c r="AJ349" t="s">
        <v>223</v>
      </c>
      <c r="AK349" t="s">
        <v>223</v>
      </c>
      <c r="AL349" t="s">
        <v>223</v>
      </c>
      <c r="AM349" t="s">
        <v>223</v>
      </c>
      <c r="AN349" s="9">
        <v>28</v>
      </c>
    </row>
    <row r="350" spans="1:40">
      <c r="A350" t="s">
        <v>382</v>
      </c>
      <c r="B350">
        <v>29</v>
      </c>
      <c r="C350" t="s">
        <v>223</v>
      </c>
      <c r="D350" t="s">
        <v>223</v>
      </c>
      <c r="E350" t="s">
        <v>223</v>
      </c>
      <c r="F350" t="s">
        <v>223</v>
      </c>
      <c r="G350" t="s">
        <v>223</v>
      </c>
      <c r="H350" t="s">
        <v>223</v>
      </c>
      <c r="I350" t="s">
        <v>223</v>
      </c>
      <c r="J350" t="s">
        <v>223</v>
      </c>
      <c r="K350" t="s">
        <v>223</v>
      </c>
      <c r="L350" t="s">
        <v>223</v>
      </c>
      <c r="M350" t="s">
        <v>223</v>
      </c>
      <c r="N350" t="s">
        <v>223</v>
      </c>
      <c r="O350" t="s">
        <v>223</v>
      </c>
      <c r="P350" t="s">
        <v>223</v>
      </c>
      <c r="Q350" t="s">
        <v>223</v>
      </c>
      <c r="R350" t="s">
        <v>223</v>
      </c>
      <c r="S350" t="s">
        <v>223</v>
      </c>
      <c r="T350" t="s">
        <v>223</v>
      </c>
      <c r="U350" t="s">
        <v>223</v>
      </c>
      <c r="V350" t="s">
        <v>223</v>
      </c>
      <c r="W350" t="s">
        <v>223</v>
      </c>
      <c r="X350" t="s">
        <v>223</v>
      </c>
      <c r="Y350" t="s">
        <v>223</v>
      </c>
      <c r="Z350" t="s">
        <v>223</v>
      </c>
      <c r="AA350" t="s">
        <v>223</v>
      </c>
      <c r="AB350" t="s">
        <v>223</v>
      </c>
      <c r="AC350" t="s">
        <v>223</v>
      </c>
      <c r="AD350" t="s">
        <v>223</v>
      </c>
      <c r="AE350" t="s">
        <v>223</v>
      </c>
      <c r="AF350" t="s">
        <v>223</v>
      </c>
      <c r="AG350" t="s">
        <v>223</v>
      </c>
      <c r="AH350" t="s">
        <v>223</v>
      </c>
      <c r="AI350" t="s">
        <v>223</v>
      </c>
      <c r="AJ350" t="s">
        <v>223</v>
      </c>
      <c r="AK350" t="s">
        <v>223</v>
      </c>
      <c r="AL350" t="s">
        <v>223</v>
      </c>
      <c r="AM350" t="s">
        <v>223</v>
      </c>
      <c r="AN350" s="9">
        <v>29</v>
      </c>
    </row>
    <row r="351" spans="1:40">
      <c r="A351" t="s">
        <v>382</v>
      </c>
      <c r="B351">
        <v>30</v>
      </c>
      <c r="C351" t="s">
        <v>223</v>
      </c>
      <c r="D351" t="s">
        <v>223</v>
      </c>
      <c r="E351" t="s">
        <v>223</v>
      </c>
      <c r="F351" t="s">
        <v>223</v>
      </c>
      <c r="G351" t="s">
        <v>223</v>
      </c>
      <c r="H351" t="s">
        <v>223</v>
      </c>
      <c r="I351" t="s">
        <v>223</v>
      </c>
      <c r="J351" t="s">
        <v>223</v>
      </c>
      <c r="K351" t="s">
        <v>223</v>
      </c>
      <c r="L351" t="s">
        <v>223</v>
      </c>
      <c r="M351" t="s">
        <v>223</v>
      </c>
      <c r="N351" t="s">
        <v>223</v>
      </c>
      <c r="O351" t="s">
        <v>223</v>
      </c>
      <c r="P351" t="s">
        <v>223</v>
      </c>
      <c r="Q351" t="s">
        <v>223</v>
      </c>
      <c r="R351" t="s">
        <v>223</v>
      </c>
      <c r="S351" t="s">
        <v>223</v>
      </c>
      <c r="T351" t="s">
        <v>223</v>
      </c>
      <c r="U351" t="s">
        <v>223</v>
      </c>
      <c r="V351" t="s">
        <v>223</v>
      </c>
      <c r="W351" t="s">
        <v>223</v>
      </c>
      <c r="X351" t="s">
        <v>223</v>
      </c>
      <c r="Y351" t="s">
        <v>223</v>
      </c>
      <c r="Z351" t="s">
        <v>223</v>
      </c>
      <c r="AA351" t="s">
        <v>223</v>
      </c>
      <c r="AB351" t="s">
        <v>223</v>
      </c>
      <c r="AC351" t="s">
        <v>223</v>
      </c>
      <c r="AD351" t="s">
        <v>223</v>
      </c>
      <c r="AE351" t="s">
        <v>223</v>
      </c>
      <c r="AF351" t="s">
        <v>223</v>
      </c>
      <c r="AG351" t="s">
        <v>223</v>
      </c>
      <c r="AH351" t="s">
        <v>223</v>
      </c>
      <c r="AI351" t="s">
        <v>223</v>
      </c>
      <c r="AJ351" t="s">
        <v>223</v>
      </c>
      <c r="AK351" t="s">
        <v>223</v>
      </c>
      <c r="AL351" t="s">
        <v>223</v>
      </c>
      <c r="AM351" t="s">
        <v>223</v>
      </c>
      <c r="AN351" s="9">
        <v>30</v>
      </c>
    </row>
    <row r="352" spans="1:40">
      <c r="A352" t="s">
        <v>382</v>
      </c>
      <c r="B352">
        <v>31</v>
      </c>
      <c r="C352" t="s">
        <v>223</v>
      </c>
      <c r="D352" t="s">
        <v>223</v>
      </c>
      <c r="E352" t="s">
        <v>223</v>
      </c>
      <c r="F352" t="s">
        <v>223</v>
      </c>
      <c r="G352" t="s">
        <v>223</v>
      </c>
      <c r="H352" t="s">
        <v>223</v>
      </c>
      <c r="I352" t="s">
        <v>223</v>
      </c>
      <c r="J352" t="s">
        <v>223</v>
      </c>
      <c r="K352" t="s">
        <v>223</v>
      </c>
      <c r="L352" t="s">
        <v>223</v>
      </c>
      <c r="M352" t="s">
        <v>223</v>
      </c>
      <c r="N352" t="s">
        <v>223</v>
      </c>
      <c r="O352" t="s">
        <v>223</v>
      </c>
      <c r="P352" t="s">
        <v>223</v>
      </c>
      <c r="Q352" t="s">
        <v>223</v>
      </c>
      <c r="R352" t="s">
        <v>223</v>
      </c>
      <c r="S352" t="s">
        <v>223</v>
      </c>
      <c r="T352" t="s">
        <v>223</v>
      </c>
      <c r="U352" t="s">
        <v>223</v>
      </c>
      <c r="V352" t="s">
        <v>223</v>
      </c>
      <c r="W352" t="s">
        <v>223</v>
      </c>
      <c r="X352" t="s">
        <v>223</v>
      </c>
      <c r="Y352" t="s">
        <v>223</v>
      </c>
      <c r="Z352" t="s">
        <v>223</v>
      </c>
      <c r="AA352" t="s">
        <v>223</v>
      </c>
      <c r="AB352" t="s">
        <v>223</v>
      </c>
      <c r="AC352" t="s">
        <v>223</v>
      </c>
      <c r="AD352" t="s">
        <v>223</v>
      </c>
      <c r="AE352" t="s">
        <v>223</v>
      </c>
      <c r="AF352" t="s">
        <v>223</v>
      </c>
      <c r="AG352" t="s">
        <v>223</v>
      </c>
      <c r="AH352" t="s">
        <v>223</v>
      </c>
      <c r="AI352" t="s">
        <v>223</v>
      </c>
      <c r="AJ352" t="s">
        <v>223</v>
      </c>
      <c r="AK352" t="s">
        <v>223</v>
      </c>
      <c r="AL352" t="s">
        <v>223</v>
      </c>
      <c r="AM352" t="s">
        <v>223</v>
      </c>
      <c r="AN352" s="9">
        <v>31</v>
      </c>
    </row>
    <row r="353" spans="1:40">
      <c r="A353" t="s">
        <v>382</v>
      </c>
      <c r="B353">
        <v>32</v>
      </c>
      <c r="C353" t="s">
        <v>223</v>
      </c>
      <c r="D353" t="s">
        <v>223</v>
      </c>
      <c r="E353" t="s">
        <v>223</v>
      </c>
      <c r="F353" t="s">
        <v>223</v>
      </c>
      <c r="G353" t="s">
        <v>223</v>
      </c>
      <c r="H353" t="s">
        <v>223</v>
      </c>
      <c r="I353" t="s">
        <v>223</v>
      </c>
      <c r="J353" t="s">
        <v>223</v>
      </c>
      <c r="K353" t="s">
        <v>223</v>
      </c>
      <c r="L353" t="s">
        <v>223</v>
      </c>
      <c r="M353" t="s">
        <v>223</v>
      </c>
      <c r="N353" t="s">
        <v>223</v>
      </c>
      <c r="O353" t="s">
        <v>223</v>
      </c>
      <c r="P353" t="s">
        <v>223</v>
      </c>
      <c r="Q353" t="s">
        <v>223</v>
      </c>
      <c r="R353" t="s">
        <v>223</v>
      </c>
      <c r="S353" t="s">
        <v>223</v>
      </c>
      <c r="T353" t="s">
        <v>223</v>
      </c>
      <c r="U353" t="s">
        <v>223</v>
      </c>
      <c r="V353" t="s">
        <v>223</v>
      </c>
      <c r="W353" t="s">
        <v>223</v>
      </c>
      <c r="X353" t="s">
        <v>223</v>
      </c>
      <c r="Y353" t="s">
        <v>223</v>
      </c>
      <c r="Z353" t="s">
        <v>223</v>
      </c>
      <c r="AA353" t="s">
        <v>223</v>
      </c>
      <c r="AB353" t="s">
        <v>223</v>
      </c>
      <c r="AC353" t="s">
        <v>223</v>
      </c>
      <c r="AD353" t="s">
        <v>223</v>
      </c>
      <c r="AE353" t="s">
        <v>223</v>
      </c>
      <c r="AF353" t="s">
        <v>223</v>
      </c>
      <c r="AG353" t="s">
        <v>223</v>
      </c>
      <c r="AH353" t="s">
        <v>223</v>
      </c>
      <c r="AI353" t="s">
        <v>223</v>
      </c>
      <c r="AJ353" t="s">
        <v>223</v>
      </c>
      <c r="AK353" t="s">
        <v>223</v>
      </c>
      <c r="AL353" t="s">
        <v>223</v>
      </c>
      <c r="AM353" t="s">
        <v>223</v>
      </c>
      <c r="AN353" s="9">
        <v>32</v>
      </c>
    </row>
    <row r="354" spans="1:40">
      <c r="A354" t="s">
        <v>382</v>
      </c>
      <c r="B354">
        <v>33</v>
      </c>
      <c r="C354" t="s">
        <v>223</v>
      </c>
      <c r="D354" t="s">
        <v>223</v>
      </c>
      <c r="E354" t="s">
        <v>223</v>
      </c>
      <c r="F354" t="s">
        <v>223</v>
      </c>
      <c r="G354" t="s">
        <v>223</v>
      </c>
      <c r="H354" t="s">
        <v>223</v>
      </c>
      <c r="I354" t="s">
        <v>223</v>
      </c>
      <c r="J354" t="s">
        <v>223</v>
      </c>
      <c r="K354" t="s">
        <v>223</v>
      </c>
      <c r="L354" t="s">
        <v>223</v>
      </c>
      <c r="M354" t="s">
        <v>223</v>
      </c>
      <c r="N354" t="s">
        <v>223</v>
      </c>
      <c r="O354" t="s">
        <v>223</v>
      </c>
      <c r="P354" t="s">
        <v>223</v>
      </c>
      <c r="Q354" t="s">
        <v>223</v>
      </c>
      <c r="R354" t="s">
        <v>223</v>
      </c>
      <c r="S354" t="s">
        <v>223</v>
      </c>
      <c r="T354" t="s">
        <v>223</v>
      </c>
      <c r="U354" t="s">
        <v>223</v>
      </c>
      <c r="V354" t="s">
        <v>223</v>
      </c>
      <c r="W354" t="s">
        <v>223</v>
      </c>
      <c r="X354" t="s">
        <v>223</v>
      </c>
      <c r="Y354" t="s">
        <v>223</v>
      </c>
      <c r="Z354" t="s">
        <v>223</v>
      </c>
      <c r="AA354" t="s">
        <v>223</v>
      </c>
      <c r="AB354" t="s">
        <v>223</v>
      </c>
      <c r="AC354" t="s">
        <v>223</v>
      </c>
      <c r="AD354" t="s">
        <v>223</v>
      </c>
      <c r="AE354" t="s">
        <v>223</v>
      </c>
      <c r="AF354" t="s">
        <v>223</v>
      </c>
      <c r="AG354" t="s">
        <v>223</v>
      </c>
      <c r="AH354" t="s">
        <v>223</v>
      </c>
      <c r="AI354" t="s">
        <v>223</v>
      </c>
      <c r="AJ354" t="s">
        <v>223</v>
      </c>
      <c r="AK354" t="s">
        <v>223</v>
      </c>
      <c r="AL354" t="s">
        <v>223</v>
      </c>
      <c r="AM354" t="s">
        <v>223</v>
      </c>
      <c r="AN354" s="9">
        <v>33</v>
      </c>
    </row>
    <row r="355" spans="1:40">
      <c r="A355" t="s">
        <v>382</v>
      </c>
      <c r="B355">
        <v>34</v>
      </c>
      <c r="C355" t="s">
        <v>223</v>
      </c>
      <c r="D355" t="s">
        <v>223</v>
      </c>
      <c r="E355" t="s">
        <v>223</v>
      </c>
      <c r="F355" t="s">
        <v>223</v>
      </c>
      <c r="G355" t="s">
        <v>223</v>
      </c>
      <c r="H355" t="s">
        <v>223</v>
      </c>
      <c r="I355" t="s">
        <v>223</v>
      </c>
      <c r="J355" t="s">
        <v>223</v>
      </c>
      <c r="K355" t="s">
        <v>223</v>
      </c>
      <c r="L355" t="s">
        <v>223</v>
      </c>
      <c r="M355" t="s">
        <v>223</v>
      </c>
      <c r="N355" t="s">
        <v>223</v>
      </c>
      <c r="O355" t="s">
        <v>223</v>
      </c>
      <c r="P355" t="s">
        <v>223</v>
      </c>
      <c r="Q355" t="s">
        <v>223</v>
      </c>
      <c r="R355" t="s">
        <v>223</v>
      </c>
      <c r="S355" t="s">
        <v>223</v>
      </c>
      <c r="T355" t="s">
        <v>223</v>
      </c>
      <c r="U355" t="s">
        <v>223</v>
      </c>
      <c r="V355" t="s">
        <v>223</v>
      </c>
      <c r="W355" t="s">
        <v>223</v>
      </c>
      <c r="X355" t="s">
        <v>223</v>
      </c>
      <c r="Y355" t="s">
        <v>223</v>
      </c>
      <c r="Z355" t="s">
        <v>223</v>
      </c>
      <c r="AA355" t="s">
        <v>223</v>
      </c>
      <c r="AB355" t="s">
        <v>223</v>
      </c>
      <c r="AC355" t="s">
        <v>223</v>
      </c>
      <c r="AD355" t="s">
        <v>223</v>
      </c>
      <c r="AE355" t="s">
        <v>223</v>
      </c>
      <c r="AF355" t="s">
        <v>223</v>
      </c>
      <c r="AG355" t="s">
        <v>223</v>
      </c>
      <c r="AH355" t="s">
        <v>223</v>
      </c>
      <c r="AI355" t="s">
        <v>223</v>
      </c>
      <c r="AJ355" t="s">
        <v>223</v>
      </c>
      <c r="AK355" t="s">
        <v>223</v>
      </c>
      <c r="AL355" t="s">
        <v>223</v>
      </c>
      <c r="AM355" t="s">
        <v>223</v>
      </c>
      <c r="AN355" s="9">
        <v>34</v>
      </c>
    </row>
    <row r="356" spans="1:40">
      <c r="A356" t="s">
        <v>382</v>
      </c>
      <c r="B356">
        <v>35</v>
      </c>
      <c r="C356" t="s">
        <v>223</v>
      </c>
      <c r="D356" t="s">
        <v>223</v>
      </c>
      <c r="E356" t="s">
        <v>223</v>
      </c>
      <c r="F356" t="s">
        <v>223</v>
      </c>
      <c r="G356" t="s">
        <v>223</v>
      </c>
      <c r="H356" t="s">
        <v>223</v>
      </c>
      <c r="I356" t="s">
        <v>223</v>
      </c>
      <c r="J356" t="s">
        <v>223</v>
      </c>
      <c r="K356" t="s">
        <v>223</v>
      </c>
      <c r="L356" t="s">
        <v>223</v>
      </c>
      <c r="M356" t="s">
        <v>223</v>
      </c>
      <c r="N356" t="s">
        <v>223</v>
      </c>
      <c r="O356" t="s">
        <v>223</v>
      </c>
      <c r="P356" t="s">
        <v>223</v>
      </c>
      <c r="Q356" t="s">
        <v>223</v>
      </c>
      <c r="R356" t="s">
        <v>223</v>
      </c>
      <c r="S356" t="s">
        <v>223</v>
      </c>
      <c r="T356" t="s">
        <v>223</v>
      </c>
      <c r="U356" t="s">
        <v>223</v>
      </c>
      <c r="V356" t="s">
        <v>223</v>
      </c>
      <c r="W356" t="s">
        <v>223</v>
      </c>
      <c r="X356" t="s">
        <v>223</v>
      </c>
      <c r="Y356" t="s">
        <v>223</v>
      </c>
      <c r="Z356" t="s">
        <v>223</v>
      </c>
      <c r="AA356" t="s">
        <v>223</v>
      </c>
      <c r="AB356" t="s">
        <v>223</v>
      </c>
      <c r="AC356" t="s">
        <v>223</v>
      </c>
      <c r="AD356" t="s">
        <v>223</v>
      </c>
      <c r="AE356" t="s">
        <v>223</v>
      </c>
      <c r="AF356" t="s">
        <v>223</v>
      </c>
      <c r="AG356" t="s">
        <v>223</v>
      </c>
      <c r="AH356" t="s">
        <v>223</v>
      </c>
      <c r="AI356" t="s">
        <v>223</v>
      </c>
      <c r="AJ356" t="s">
        <v>223</v>
      </c>
      <c r="AK356" t="s">
        <v>223</v>
      </c>
      <c r="AL356" t="s">
        <v>223</v>
      </c>
      <c r="AM356" t="s">
        <v>223</v>
      </c>
      <c r="AN356" s="9">
        <v>35</v>
      </c>
    </row>
    <row r="357" spans="1:40">
      <c r="A357" t="s">
        <v>382</v>
      </c>
      <c r="B357">
        <v>36</v>
      </c>
      <c r="C357" t="s">
        <v>223</v>
      </c>
      <c r="D357" t="s">
        <v>223</v>
      </c>
      <c r="E357" t="s">
        <v>223</v>
      </c>
      <c r="F357" t="s">
        <v>223</v>
      </c>
      <c r="G357" t="s">
        <v>223</v>
      </c>
      <c r="H357" t="s">
        <v>223</v>
      </c>
      <c r="I357" t="s">
        <v>223</v>
      </c>
      <c r="J357" t="s">
        <v>223</v>
      </c>
      <c r="K357" t="s">
        <v>223</v>
      </c>
      <c r="L357" t="s">
        <v>223</v>
      </c>
      <c r="M357" t="s">
        <v>223</v>
      </c>
      <c r="N357" t="s">
        <v>223</v>
      </c>
      <c r="O357" t="s">
        <v>223</v>
      </c>
      <c r="P357" t="s">
        <v>223</v>
      </c>
      <c r="Q357" t="s">
        <v>223</v>
      </c>
      <c r="R357" t="s">
        <v>223</v>
      </c>
      <c r="S357" t="s">
        <v>223</v>
      </c>
      <c r="T357" t="s">
        <v>223</v>
      </c>
      <c r="U357" t="s">
        <v>223</v>
      </c>
      <c r="V357" t="s">
        <v>223</v>
      </c>
      <c r="W357" t="s">
        <v>223</v>
      </c>
      <c r="X357" t="s">
        <v>223</v>
      </c>
      <c r="Y357" t="s">
        <v>223</v>
      </c>
      <c r="Z357" t="s">
        <v>223</v>
      </c>
      <c r="AA357" t="s">
        <v>223</v>
      </c>
      <c r="AB357" t="s">
        <v>223</v>
      </c>
      <c r="AC357" t="s">
        <v>223</v>
      </c>
      <c r="AD357" t="s">
        <v>223</v>
      </c>
      <c r="AE357" t="s">
        <v>223</v>
      </c>
      <c r="AF357" t="s">
        <v>223</v>
      </c>
      <c r="AG357" t="s">
        <v>223</v>
      </c>
      <c r="AH357" t="s">
        <v>223</v>
      </c>
      <c r="AI357" t="s">
        <v>223</v>
      </c>
      <c r="AJ357" t="s">
        <v>223</v>
      </c>
      <c r="AK357" t="s">
        <v>223</v>
      </c>
      <c r="AL357" t="s">
        <v>223</v>
      </c>
      <c r="AM357" t="s">
        <v>223</v>
      </c>
      <c r="AN357" s="9">
        <v>36</v>
      </c>
    </row>
    <row r="358" spans="1:40">
      <c r="A358" t="s">
        <v>382</v>
      </c>
      <c r="B358">
        <v>37</v>
      </c>
      <c r="C358" t="s">
        <v>223</v>
      </c>
      <c r="D358" t="s">
        <v>223</v>
      </c>
      <c r="E358" t="s">
        <v>223</v>
      </c>
      <c r="F358" t="s">
        <v>223</v>
      </c>
      <c r="G358" t="s">
        <v>223</v>
      </c>
      <c r="H358" t="s">
        <v>223</v>
      </c>
      <c r="I358" t="s">
        <v>223</v>
      </c>
      <c r="J358" t="s">
        <v>223</v>
      </c>
      <c r="K358" t="s">
        <v>223</v>
      </c>
      <c r="L358" t="s">
        <v>223</v>
      </c>
      <c r="M358" t="s">
        <v>223</v>
      </c>
      <c r="N358" t="s">
        <v>223</v>
      </c>
      <c r="O358" t="s">
        <v>223</v>
      </c>
      <c r="P358" t="s">
        <v>223</v>
      </c>
      <c r="Q358" t="s">
        <v>223</v>
      </c>
      <c r="R358" t="s">
        <v>223</v>
      </c>
      <c r="S358" t="s">
        <v>223</v>
      </c>
      <c r="T358" t="s">
        <v>223</v>
      </c>
      <c r="U358" t="s">
        <v>223</v>
      </c>
      <c r="V358" t="s">
        <v>223</v>
      </c>
      <c r="W358" t="s">
        <v>223</v>
      </c>
      <c r="X358" t="s">
        <v>223</v>
      </c>
      <c r="Y358" t="s">
        <v>223</v>
      </c>
      <c r="Z358" t="s">
        <v>223</v>
      </c>
      <c r="AA358" t="s">
        <v>223</v>
      </c>
      <c r="AB358" t="s">
        <v>223</v>
      </c>
      <c r="AC358" t="s">
        <v>223</v>
      </c>
      <c r="AD358" t="s">
        <v>223</v>
      </c>
      <c r="AE358" t="s">
        <v>223</v>
      </c>
      <c r="AF358" t="s">
        <v>223</v>
      </c>
      <c r="AG358" t="s">
        <v>223</v>
      </c>
      <c r="AH358" t="s">
        <v>223</v>
      </c>
      <c r="AI358" t="s">
        <v>223</v>
      </c>
      <c r="AJ358" t="s">
        <v>223</v>
      </c>
      <c r="AK358" t="s">
        <v>223</v>
      </c>
      <c r="AL358" t="s">
        <v>223</v>
      </c>
      <c r="AM358" t="s">
        <v>223</v>
      </c>
      <c r="AN358" s="9">
        <v>37</v>
      </c>
    </row>
    <row r="359" spans="1:40">
      <c r="A359" t="s">
        <v>382</v>
      </c>
      <c r="B359">
        <v>38</v>
      </c>
      <c r="C359" t="s">
        <v>223</v>
      </c>
      <c r="D359" t="s">
        <v>223</v>
      </c>
      <c r="E359" t="s">
        <v>223</v>
      </c>
      <c r="F359" t="s">
        <v>223</v>
      </c>
      <c r="G359" t="s">
        <v>223</v>
      </c>
      <c r="H359" t="s">
        <v>223</v>
      </c>
      <c r="I359" t="s">
        <v>223</v>
      </c>
      <c r="J359" t="s">
        <v>223</v>
      </c>
      <c r="K359" t="s">
        <v>223</v>
      </c>
      <c r="L359" t="s">
        <v>223</v>
      </c>
      <c r="M359" t="s">
        <v>223</v>
      </c>
      <c r="N359" t="s">
        <v>223</v>
      </c>
      <c r="O359" t="s">
        <v>223</v>
      </c>
      <c r="P359" t="s">
        <v>223</v>
      </c>
      <c r="Q359" t="s">
        <v>223</v>
      </c>
      <c r="R359" t="s">
        <v>223</v>
      </c>
      <c r="S359" t="s">
        <v>223</v>
      </c>
      <c r="T359" t="s">
        <v>223</v>
      </c>
      <c r="U359" t="s">
        <v>223</v>
      </c>
      <c r="V359" t="s">
        <v>223</v>
      </c>
      <c r="W359" t="s">
        <v>223</v>
      </c>
      <c r="X359" t="s">
        <v>223</v>
      </c>
      <c r="Y359" t="s">
        <v>223</v>
      </c>
      <c r="Z359" t="s">
        <v>223</v>
      </c>
      <c r="AA359" t="s">
        <v>223</v>
      </c>
      <c r="AB359" t="s">
        <v>223</v>
      </c>
      <c r="AC359" t="s">
        <v>223</v>
      </c>
      <c r="AD359" t="s">
        <v>223</v>
      </c>
      <c r="AE359" t="s">
        <v>223</v>
      </c>
      <c r="AF359" t="s">
        <v>223</v>
      </c>
      <c r="AG359" t="s">
        <v>223</v>
      </c>
      <c r="AH359" t="s">
        <v>223</v>
      </c>
      <c r="AI359" t="s">
        <v>223</v>
      </c>
      <c r="AJ359" t="s">
        <v>223</v>
      </c>
      <c r="AK359" t="s">
        <v>223</v>
      </c>
      <c r="AL359" t="s">
        <v>223</v>
      </c>
      <c r="AM359" t="s">
        <v>223</v>
      </c>
      <c r="AN359" s="9">
        <v>38</v>
      </c>
    </row>
    <row r="360" spans="1:40">
      <c r="A360" t="s">
        <v>382</v>
      </c>
      <c r="B360">
        <v>39</v>
      </c>
      <c r="C360" t="s">
        <v>223</v>
      </c>
      <c r="D360" t="s">
        <v>223</v>
      </c>
      <c r="E360" t="s">
        <v>223</v>
      </c>
      <c r="F360" t="s">
        <v>223</v>
      </c>
      <c r="G360" t="s">
        <v>223</v>
      </c>
      <c r="H360" t="s">
        <v>223</v>
      </c>
      <c r="I360" t="s">
        <v>223</v>
      </c>
      <c r="J360" t="s">
        <v>223</v>
      </c>
      <c r="K360" t="s">
        <v>223</v>
      </c>
      <c r="L360" t="s">
        <v>223</v>
      </c>
      <c r="M360" t="s">
        <v>223</v>
      </c>
      <c r="N360" t="s">
        <v>223</v>
      </c>
      <c r="O360" t="s">
        <v>223</v>
      </c>
      <c r="P360" t="s">
        <v>223</v>
      </c>
      <c r="Q360" t="s">
        <v>223</v>
      </c>
      <c r="R360" t="s">
        <v>223</v>
      </c>
      <c r="S360" t="s">
        <v>223</v>
      </c>
      <c r="T360" t="s">
        <v>223</v>
      </c>
      <c r="U360" t="s">
        <v>223</v>
      </c>
      <c r="V360" t="s">
        <v>223</v>
      </c>
      <c r="W360" t="s">
        <v>223</v>
      </c>
      <c r="X360" t="s">
        <v>223</v>
      </c>
      <c r="Y360" t="s">
        <v>223</v>
      </c>
      <c r="Z360" t="s">
        <v>223</v>
      </c>
      <c r="AA360" t="s">
        <v>223</v>
      </c>
      <c r="AB360" t="s">
        <v>223</v>
      </c>
      <c r="AC360" t="s">
        <v>223</v>
      </c>
      <c r="AD360" t="s">
        <v>223</v>
      </c>
      <c r="AE360" t="s">
        <v>223</v>
      </c>
      <c r="AF360" t="s">
        <v>223</v>
      </c>
      <c r="AG360" t="s">
        <v>223</v>
      </c>
      <c r="AH360" t="s">
        <v>223</v>
      </c>
      <c r="AI360" t="s">
        <v>223</v>
      </c>
      <c r="AJ360" t="s">
        <v>223</v>
      </c>
      <c r="AK360" t="s">
        <v>223</v>
      </c>
      <c r="AL360" t="s">
        <v>223</v>
      </c>
      <c r="AM360" t="s">
        <v>223</v>
      </c>
      <c r="AN360" s="9">
        <v>39</v>
      </c>
    </row>
    <row r="361" spans="1:40">
      <c r="A361" t="s">
        <v>382</v>
      </c>
      <c r="B361">
        <v>40</v>
      </c>
      <c r="C361" t="s">
        <v>223</v>
      </c>
      <c r="D361" t="s">
        <v>223</v>
      </c>
      <c r="E361" t="s">
        <v>223</v>
      </c>
      <c r="F361" t="s">
        <v>223</v>
      </c>
      <c r="G361" t="s">
        <v>223</v>
      </c>
      <c r="H361" t="s">
        <v>223</v>
      </c>
      <c r="I361" t="s">
        <v>223</v>
      </c>
      <c r="J361" t="s">
        <v>223</v>
      </c>
      <c r="K361" t="s">
        <v>223</v>
      </c>
      <c r="L361" t="s">
        <v>223</v>
      </c>
      <c r="M361" t="s">
        <v>223</v>
      </c>
      <c r="N361" t="s">
        <v>223</v>
      </c>
      <c r="O361" t="s">
        <v>223</v>
      </c>
      <c r="P361" t="s">
        <v>223</v>
      </c>
      <c r="Q361" t="s">
        <v>223</v>
      </c>
      <c r="R361" t="s">
        <v>223</v>
      </c>
      <c r="S361" t="s">
        <v>223</v>
      </c>
      <c r="T361" t="s">
        <v>223</v>
      </c>
      <c r="U361" t="s">
        <v>223</v>
      </c>
      <c r="V361" t="s">
        <v>223</v>
      </c>
      <c r="W361" t="s">
        <v>223</v>
      </c>
      <c r="X361" t="s">
        <v>223</v>
      </c>
      <c r="Y361" t="s">
        <v>223</v>
      </c>
      <c r="Z361" t="s">
        <v>223</v>
      </c>
      <c r="AA361" t="s">
        <v>223</v>
      </c>
      <c r="AB361" t="s">
        <v>223</v>
      </c>
      <c r="AC361" t="s">
        <v>223</v>
      </c>
      <c r="AD361" t="s">
        <v>223</v>
      </c>
      <c r="AE361" t="s">
        <v>223</v>
      </c>
      <c r="AF361" t="s">
        <v>223</v>
      </c>
      <c r="AG361" t="s">
        <v>223</v>
      </c>
      <c r="AH361" t="s">
        <v>223</v>
      </c>
      <c r="AI361" t="s">
        <v>223</v>
      </c>
      <c r="AJ361" t="s">
        <v>223</v>
      </c>
      <c r="AK361" t="s">
        <v>223</v>
      </c>
      <c r="AL361" t="s">
        <v>223</v>
      </c>
      <c r="AM361" t="s">
        <v>223</v>
      </c>
      <c r="AN361" s="9">
        <v>40</v>
      </c>
    </row>
    <row r="362" spans="1:40">
      <c r="A362" t="s">
        <v>382</v>
      </c>
      <c r="B362">
        <v>41</v>
      </c>
      <c r="C362" t="s">
        <v>223</v>
      </c>
      <c r="D362" t="s">
        <v>223</v>
      </c>
      <c r="E362" t="s">
        <v>223</v>
      </c>
      <c r="F362" t="s">
        <v>223</v>
      </c>
      <c r="G362" t="s">
        <v>223</v>
      </c>
      <c r="H362" t="s">
        <v>223</v>
      </c>
      <c r="I362" t="s">
        <v>223</v>
      </c>
      <c r="J362" t="s">
        <v>223</v>
      </c>
      <c r="K362" t="s">
        <v>223</v>
      </c>
      <c r="L362" t="s">
        <v>223</v>
      </c>
      <c r="M362" t="s">
        <v>223</v>
      </c>
      <c r="N362" t="s">
        <v>223</v>
      </c>
      <c r="O362" t="s">
        <v>223</v>
      </c>
      <c r="P362" t="s">
        <v>223</v>
      </c>
      <c r="Q362" t="s">
        <v>223</v>
      </c>
      <c r="R362" t="s">
        <v>223</v>
      </c>
      <c r="S362" t="s">
        <v>223</v>
      </c>
      <c r="T362" t="s">
        <v>223</v>
      </c>
      <c r="U362" t="s">
        <v>223</v>
      </c>
      <c r="V362" t="s">
        <v>223</v>
      </c>
      <c r="W362" t="s">
        <v>223</v>
      </c>
      <c r="X362" t="s">
        <v>223</v>
      </c>
      <c r="Y362" t="s">
        <v>223</v>
      </c>
      <c r="Z362" t="s">
        <v>223</v>
      </c>
      <c r="AA362" t="s">
        <v>223</v>
      </c>
      <c r="AB362" t="s">
        <v>223</v>
      </c>
      <c r="AC362" t="s">
        <v>223</v>
      </c>
      <c r="AD362" t="s">
        <v>223</v>
      </c>
      <c r="AE362" t="s">
        <v>223</v>
      </c>
      <c r="AF362" t="s">
        <v>223</v>
      </c>
      <c r="AG362" t="s">
        <v>223</v>
      </c>
      <c r="AH362" t="s">
        <v>223</v>
      </c>
      <c r="AI362" t="s">
        <v>223</v>
      </c>
      <c r="AJ362" t="s">
        <v>223</v>
      </c>
      <c r="AK362" t="s">
        <v>223</v>
      </c>
      <c r="AL362" t="s">
        <v>223</v>
      </c>
      <c r="AM362" t="s">
        <v>223</v>
      </c>
      <c r="AN362" s="9">
        <v>41</v>
      </c>
    </row>
    <row r="363" spans="1:40">
      <c r="A363" t="s">
        <v>382</v>
      </c>
      <c r="B363">
        <v>42</v>
      </c>
      <c r="C363" t="s">
        <v>223</v>
      </c>
      <c r="D363" t="s">
        <v>223</v>
      </c>
      <c r="E363" t="s">
        <v>223</v>
      </c>
      <c r="F363" t="s">
        <v>223</v>
      </c>
      <c r="G363" t="s">
        <v>223</v>
      </c>
      <c r="H363" t="s">
        <v>223</v>
      </c>
      <c r="I363" t="s">
        <v>223</v>
      </c>
      <c r="J363" t="s">
        <v>223</v>
      </c>
      <c r="K363" t="s">
        <v>223</v>
      </c>
      <c r="L363" t="s">
        <v>223</v>
      </c>
      <c r="M363" t="s">
        <v>223</v>
      </c>
      <c r="N363" t="s">
        <v>223</v>
      </c>
      <c r="O363" t="s">
        <v>223</v>
      </c>
      <c r="P363" t="s">
        <v>223</v>
      </c>
      <c r="Q363" t="s">
        <v>223</v>
      </c>
      <c r="R363" t="s">
        <v>223</v>
      </c>
      <c r="S363" t="s">
        <v>223</v>
      </c>
      <c r="T363" t="s">
        <v>223</v>
      </c>
      <c r="U363" t="s">
        <v>223</v>
      </c>
      <c r="V363" t="s">
        <v>223</v>
      </c>
      <c r="W363" t="s">
        <v>223</v>
      </c>
      <c r="X363" t="s">
        <v>223</v>
      </c>
      <c r="Y363" t="s">
        <v>223</v>
      </c>
      <c r="Z363" t="s">
        <v>223</v>
      </c>
      <c r="AA363" t="s">
        <v>223</v>
      </c>
      <c r="AB363" t="s">
        <v>223</v>
      </c>
      <c r="AC363" t="s">
        <v>223</v>
      </c>
      <c r="AD363" t="s">
        <v>223</v>
      </c>
      <c r="AE363" t="s">
        <v>223</v>
      </c>
      <c r="AF363" t="s">
        <v>223</v>
      </c>
      <c r="AG363" t="s">
        <v>223</v>
      </c>
      <c r="AH363" t="s">
        <v>223</v>
      </c>
      <c r="AI363" t="s">
        <v>223</v>
      </c>
      <c r="AJ363" t="s">
        <v>223</v>
      </c>
      <c r="AK363" t="s">
        <v>223</v>
      </c>
      <c r="AL363" t="s">
        <v>223</v>
      </c>
      <c r="AM363" t="s">
        <v>223</v>
      </c>
      <c r="AN363" s="9">
        <v>42</v>
      </c>
    </row>
    <row r="364" spans="1:40">
      <c r="A364" t="s">
        <v>382</v>
      </c>
      <c r="B364">
        <v>43</v>
      </c>
      <c r="C364" t="s">
        <v>223</v>
      </c>
      <c r="D364" t="s">
        <v>223</v>
      </c>
      <c r="E364" t="s">
        <v>223</v>
      </c>
      <c r="F364" t="s">
        <v>223</v>
      </c>
      <c r="G364" t="s">
        <v>223</v>
      </c>
      <c r="H364" t="s">
        <v>223</v>
      </c>
      <c r="I364" t="s">
        <v>223</v>
      </c>
      <c r="J364" t="s">
        <v>223</v>
      </c>
      <c r="K364" t="s">
        <v>223</v>
      </c>
      <c r="L364" t="s">
        <v>223</v>
      </c>
      <c r="M364" t="s">
        <v>223</v>
      </c>
      <c r="N364" t="s">
        <v>223</v>
      </c>
      <c r="O364" t="s">
        <v>223</v>
      </c>
      <c r="P364" t="s">
        <v>223</v>
      </c>
      <c r="Q364" t="s">
        <v>223</v>
      </c>
      <c r="R364" t="s">
        <v>223</v>
      </c>
      <c r="S364" t="s">
        <v>223</v>
      </c>
      <c r="T364" t="s">
        <v>223</v>
      </c>
      <c r="U364" t="s">
        <v>223</v>
      </c>
      <c r="V364" t="s">
        <v>223</v>
      </c>
      <c r="W364" t="s">
        <v>223</v>
      </c>
      <c r="X364" t="s">
        <v>223</v>
      </c>
      <c r="Y364" t="s">
        <v>223</v>
      </c>
      <c r="Z364" t="s">
        <v>223</v>
      </c>
      <c r="AA364" t="s">
        <v>223</v>
      </c>
      <c r="AB364" t="s">
        <v>223</v>
      </c>
      <c r="AC364" t="s">
        <v>223</v>
      </c>
      <c r="AD364" t="s">
        <v>223</v>
      </c>
      <c r="AE364" t="s">
        <v>223</v>
      </c>
      <c r="AF364" t="s">
        <v>223</v>
      </c>
      <c r="AG364" t="s">
        <v>223</v>
      </c>
      <c r="AH364" t="s">
        <v>223</v>
      </c>
      <c r="AI364" t="s">
        <v>223</v>
      </c>
      <c r="AJ364" t="s">
        <v>223</v>
      </c>
      <c r="AK364" t="s">
        <v>223</v>
      </c>
      <c r="AL364" t="s">
        <v>223</v>
      </c>
      <c r="AM364" t="s">
        <v>223</v>
      </c>
      <c r="AN364" s="9">
        <v>43</v>
      </c>
    </row>
    <row r="365" spans="1:40">
      <c r="A365" t="s">
        <v>382</v>
      </c>
      <c r="B365">
        <v>44</v>
      </c>
      <c r="C365" t="s">
        <v>223</v>
      </c>
      <c r="D365" t="s">
        <v>223</v>
      </c>
      <c r="E365" t="s">
        <v>223</v>
      </c>
      <c r="F365" t="s">
        <v>223</v>
      </c>
      <c r="G365" t="s">
        <v>223</v>
      </c>
      <c r="H365" t="s">
        <v>223</v>
      </c>
      <c r="I365" t="s">
        <v>223</v>
      </c>
      <c r="J365" t="s">
        <v>223</v>
      </c>
      <c r="K365" t="s">
        <v>223</v>
      </c>
      <c r="L365" t="s">
        <v>223</v>
      </c>
      <c r="M365" t="s">
        <v>223</v>
      </c>
      <c r="N365" t="s">
        <v>223</v>
      </c>
      <c r="O365" t="s">
        <v>223</v>
      </c>
      <c r="P365" t="s">
        <v>223</v>
      </c>
      <c r="Q365" t="s">
        <v>223</v>
      </c>
      <c r="R365" t="s">
        <v>223</v>
      </c>
      <c r="S365" t="s">
        <v>223</v>
      </c>
      <c r="T365" t="s">
        <v>223</v>
      </c>
      <c r="U365" t="s">
        <v>223</v>
      </c>
      <c r="V365" t="s">
        <v>223</v>
      </c>
      <c r="W365" t="s">
        <v>223</v>
      </c>
      <c r="X365" t="s">
        <v>223</v>
      </c>
      <c r="Y365" t="s">
        <v>223</v>
      </c>
      <c r="Z365" t="s">
        <v>223</v>
      </c>
      <c r="AA365" t="s">
        <v>223</v>
      </c>
      <c r="AB365" t="s">
        <v>223</v>
      </c>
      <c r="AC365" t="s">
        <v>223</v>
      </c>
      <c r="AD365" t="s">
        <v>223</v>
      </c>
      <c r="AE365" t="s">
        <v>223</v>
      </c>
      <c r="AF365" t="s">
        <v>223</v>
      </c>
      <c r="AG365" t="s">
        <v>223</v>
      </c>
      <c r="AH365" t="s">
        <v>223</v>
      </c>
      <c r="AI365" t="s">
        <v>223</v>
      </c>
      <c r="AJ365" t="s">
        <v>223</v>
      </c>
      <c r="AK365" t="s">
        <v>223</v>
      </c>
      <c r="AL365" t="s">
        <v>223</v>
      </c>
      <c r="AM365" t="s">
        <v>223</v>
      </c>
      <c r="AN365" s="9">
        <v>44</v>
      </c>
    </row>
    <row r="366" spans="1:40">
      <c r="A366" t="s">
        <v>382</v>
      </c>
      <c r="B366">
        <v>45</v>
      </c>
      <c r="C366" t="s">
        <v>223</v>
      </c>
      <c r="D366" t="s">
        <v>223</v>
      </c>
      <c r="E366" t="s">
        <v>223</v>
      </c>
      <c r="F366" t="s">
        <v>223</v>
      </c>
      <c r="G366" t="s">
        <v>223</v>
      </c>
      <c r="H366" t="s">
        <v>223</v>
      </c>
      <c r="I366" t="s">
        <v>223</v>
      </c>
      <c r="J366" t="s">
        <v>223</v>
      </c>
      <c r="K366" t="s">
        <v>223</v>
      </c>
      <c r="L366" t="s">
        <v>223</v>
      </c>
      <c r="M366" t="s">
        <v>223</v>
      </c>
      <c r="N366" t="s">
        <v>223</v>
      </c>
      <c r="O366" t="s">
        <v>223</v>
      </c>
      <c r="P366" t="s">
        <v>223</v>
      </c>
      <c r="Q366" t="s">
        <v>223</v>
      </c>
      <c r="R366" t="s">
        <v>223</v>
      </c>
      <c r="S366" t="s">
        <v>223</v>
      </c>
      <c r="T366" t="s">
        <v>223</v>
      </c>
      <c r="U366" t="s">
        <v>223</v>
      </c>
      <c r="V366" t="s">
        <v>223</v>
      </c>
      <c r="W366" t="s">
        <v>223</v>
      </c>
      <c r="X366" t="s">
        <v>223</v>
      </c>
      <c r="Y366" t="s">
        <v>223</v>
      </c>
      <c r="Z366" t="s">
        <v>223</v>
      </c>
      <c r="AA366" t="s">
        <v>223</v>
      </c>
      <c r="AB366" t="s">
        <v>223</v>
      </c>
      <c r="AC366" t="s">
        <v>223</v>
      </c>
      <c r="AD366" t="s">
        <v>223</v>
      </c>
      <c r="AE366" t="s">
        <v>223</v>
      </c>
      <c r="AF366" t="s">
        <v>223</v>
      </c>
      <c r="AG366" t="s">
        <v>223</v>
      </c>
      <c r="AH366" t="s">
        <v>223</v>
      </c>
      <c r="AI366" t="s">
        <v>223</v>
      </c>
      <c r="AJ366" t="s">
        <v>223</v>
      </c>
      <c r="AK366" t="s">
        <v>223</v>
      </c>
      <c r="AL366" t="s">
        <v>223</v>
      </c>
      <c r="AM366" t="s">
        <v>223</v>
      </c>
      <c r="AN366" s="9">
        <v>45</v>
      </c>
    </row>
    <row r="367" spans="1:40">
      <c r="A367" t="s">
        <v>382</v>
      </c>
      <c r="B367">
        <v>46</v>
      </c>
      <c r="C367" t="s">
        <v>223</v>
      </c>
      <c r="D367" t="s">
        <v>223</v>
      </c>
      <c r="E367" t="s">
        <v>223</v>
      </c>
      <c r="F367" t="s">
        <v>223</v>
      </c>
      <c r="G367" t="s">
        <v>223</v>
      </c>
      <c r="H367" t="s">
        <v>223</v>
      </c>
      <c r="I367" t="s">
        <v>223</v>
      </c>
      <c r="J367" t="s">
        <v>223</v>
      </c>
      <c r="K367" t="s">
        <v>223</v>
      </c>
      <c r="L367" t="s">
        <v>223</v>
      </c>
      <c r="M367" t="s">
        <v>223</v>
      </c>
      <c r="N367" t="s">
        <v>223</v>
      </c>
      <c r="O367" t="s">
        <v>223</v>
      </c>
      <c r="P367" t="s">
        <v>223</v>
      </c>
      <c r="Q367" t="s">
        <v>223</v>
      </c>
      <c r="R367" t="s">
        <v>223</v>
      </c>
      <c r="S367" t="s">
        <v>223</v>
      </c>
      <c r="T367" t="s">
        <v>223</v>
      </c>
      <c r="U367" t="s">
        <v>223</v>
      </c>
      <c r="V367" t="s">
        <v>223</v>
      </c>
      <c r="W367" t="s">
        <v>223</v>
      </c>
      <c r="X367" t="s">
        <v>223</v>
      </c>
      <c r="Y367" t="s">
        <v>223</v>
      </c>
      <c r="Z367" t="s">
        <v>223</v>
      </c>
      <c r="AA367" t="s">
        <v>223</v>
      </c>
      <c r="AB367" t="s">
        <v>223</v>
      </c>
      <c r="AC367" t="s">
        <v>223</v>
      </c>
      <c r="AD367" t="s">
        <v>223</v>
      </c>
      <c r="AE367" t="s">
        <v>223</v>
      </c>
      <c r="AF367" t="s">
        <v>223</v>
      </c>
      <c r="AG367" t="s">
        <v>223</v>
      </c>
      <c r="AH367" t="s">
        <v>223</v>
      </c>
      <c r="AI367" t="s">
        <v>223</v>
      </c>
      <c r="AJ367" t="s">
        <v>223</v>
      </c>
      <c r="AK367" t="s">
        <v>223</v>
      </c>
      <c r="AL367" t="s">
        <v>223</v>
      </c>
      <c r="AM367" t="s">
        <v>223</v>
      </c>
      <c r="AN367" s="9">
        <v>46</v>
      </c>
    </row>
    <row r="368" spans="1:40">
      <c r="A368" t="s">
        <v>382</v>
      </c>
      <c r="B368">
        <v>47</v>
      </c>
      <c r="C368" t="s">
        <v>223</v>
      </c>
      <c r="D368" t="s">
        <v>223</v>
      </c>
      <c r="E368" t="s">
        <v>223</v>
      </c>
      <c r="F368" t="s">
        <v>223</v>
      </c>
      <c r="G368" t="s">
        <v>223</v>
      </c>
      <c r="H368" t="s">
        <v>223</v>
      </c>
      <c r="I368" t="s">
        <v>223</v>
      </c>
      <c r="J368" t="s">
        <v>223</v>
      </c>
      <c r="K368" t="s">
        <v>223</v>
      </c>
      <c r="L368" t="s">
        <v>223</v>
      </c>
      <c r="M368" t="s">
        <v>223</v>
      </c>
      <c r="N368" t="s">
        <v>223</v>
      </c>
      <c r="O368" t="s">
        <v>223</v>
      </c>
      <c r="P368" t="s">
        <v>223</v>
      </c>
      <c r="Q368" t="s">
        <v>223</v>
      </c>
      <c r="R368" t="s">
        <v>223</v>
      </c>
      <c r="S368" t="s">
        <v>223</v>
      </c>
      <c r="T368" t="s">
        <v>223</v>
      </c>
      <c r="U368" t="s">
        <v>223</v>
      </c>
      <c r="V368" t="s">
        <v>223</v>
      </c>
      <c r="W368" t="s">
        <v>223</v>
      </c>
      <c r="X368" t="s">
        <v>223</v>
      </c>
      <c r="Y368" t="s">
        <v>223</v>
      </c>
      <c r="Z368" t="s">
        <v>223</v>
      </c>
      <c r="AA368" t="s">
        <v>223</v>
      </c>
      <c r="AB368" t="s">
        <v>223</v>
      </c>
      <c r="AC368" t="s">
        <v>223</v>
      </c>
      <c r="AD368" t="s">
        <v>223</v>
      </c>
      <c r="AE368" t="s">
        <v>223</v>
      </c>
      <c r="AF368" t="s">
        <v>223</v>
      </c>
      <c r="AG368" t="s">
        <v>223</v>
      </c>
      <c r="AH368" t="s">
        <v>223</v>
      </c>
      <c r="AI368" t="s">
        <v>223</v>
      </c>
      <c r="AJ368" t="s">
        <v>223</v>
      </c>
      <c r="AK368" t="s">
        <v>223</v>
      </c>
      <c r="AL368" t="s">
        <v>223</v>
      </c>
      <c r="AM368" t="s">
        <v>223</v>
      </c>
      <c r="AN368" s="9">
        <v>47</v>
      </c>
    </row>
    <row r="369" spans="1:40">
      <c r="A369" t="s">
        <v>382</v>
      </c>
      <c r="B369">
        <v>48</v>
      </c>
      <c r="C369" t="s">
        <v>223</v>
      </c>
      <c r="D369" t="s">
        <v>223</v>
      </c>
      <c r="E369" t="s">
        <v>223</v>
      </c>
      <c r="F369" t="s">
        <v>223</v>
      </c>
      <c r="G369" t="s">
        <v>223</v>
      </c>
      <c r="H369" t="s">
        <v>223</v>
      </c>
      <c r="I369" t="s">
        <v>223</v>
      </c>
      <c r="J369" t="s">
        <v>223</v>
      </c>
      <c r="K369" t="s">
        <v>223</v>
      </c>
      <c r="L369" t="s">
        <v>223</v>
      </c>
      <c r="M369" t="s">
        <v>223</v>
      </c>
      <c r="N369" t="s">
        <v>223</v>
      </c>
      <c r="O369" t="s">
        <v>223</v>
      </c>
      <c r="P369" t="s">
        <v>223</v>
      </c>
      <c r="Q369" t="s">
        <v>223</v>
      </c>
      <c r="R369" t="s">
        <v>223</v>
      </c>
      <c r="S369" t="s">
        <v>223</v>
      </c>
      <c r="T369" t="s">
        <v>223</v>
      </c>
      <c r="U369" t="s">
        <v>223</v>
      </c>
      <c r="V369" t="s">
        <v>223</v>
      </c>
      <c r="W369" t="s">
        <v>223</v>
      </c>
      <c r="X369" t="s">
        <v>223</v>
      </c>
      <c r="Y369" t="s">
        <v>223</v>
      </c>
      <c r="Z369" t="s">
        <v>223</v>
      </c>
      <c r="AA369" t="s">
        <v>223</v>
      </c>
      <c r="AB369" t="s">
        <v>223</v>
      </c>
      <c r="AC369" t="s">
        <v>223</v>
      </c>
      <c r="AD369" t="s">
        <v>223</v>
      </c>
      <c r="AE369" t="s">
        <v>223</v>
      </c>
      <c r="AF369" t="s">
        <v>223</v>
      </c>
      <c r="AG369" t="s">
        <v>223</v>
      </c>
      <c r="AH369" t="s">
        <v>223</v>
      </c>
      <c r="AI369" t="s">
        <v>223</v>
      </c>
      <c r="AJ369" t="s">
        <v>223</v>
      </c>
      <c r="AK369" t="s">
        <v>223</v>
      </c>
      <c r="AL369" t="s">
        <v>223</v>
      </c>
      <c r="AM369" t="s">
        <v>223</v>
      </c>
      <c r="AN369" s="9">
        <v>48</v>
      </c>
    </row>
    <row r="370" spans="1:40">
      <c r="A370" t="s">
        <v>382</v>
      </c>
      <c r="B370">
        <v>49</v>
      </c>
      <c r="C370" t="s">
        <v>223</v>
      </c>
      <c r="D370" t="s">
        <v>223</v>
      </c>
      <c r="E370" t="s">
        <v>223</v>
      </c>
      <c r="F370" t="s">
        <v>223</v>
      </c>
      <c r="G370" t="s">
        <v>223</v>
      </c>
      <c r="H370" t="s">
        <v>223</v>
      </c>
      <c r="I370" t="s">
        <v>223</v>
      </c>
      <c r="J370" t="s">
        <v>223</v>
      </c>
      <c r="K370" t="s">
        <v>223</v>
      </c>
      <c r="L370" t="s">
        <v>223</v>
      </c>
      <c r="M370" t="s">
        <v>223</v>
      </c>
      <c r="N370" t="s">
        <v>223</v>
      </c>
      <c r="O370" t="s">
        <v>223</v>
      </c>
      <c r="P370" t="s">
        <v>223</v>
      </c>
      <c r="Q370" t="s">
        <v>223</v>
      </c>
      <c r="R370" t="s">
        <v>223</v>
      </c>
      <c r="S370" t="s">
        <v>223</v>
      </c>
      <c r="T370" t="s">
        <v>223</v>
      </c>
      <c r="U370" t="s">
        <v>223</v>
      </c>
      <c r="V370" t="s">
        <v>223</v>
      </c>
      <c r="W370" t="s">
        <v>223</v>
      </c>
      <c r="X370" t="s">
        <v>223</v>
      </c>
      <c r="Y370" t="s">
        <v>223</v>
      </c>
      <c r="Z370" t="s">
        <v>223</v>
      </c>
      <c r="AA370" t="s">
        <v>223</v>
      </c>
      <c r="AB370" t="s">
        <v>223</v>
      </c>
      <c r="AC370" t="s">
        <v>223</v>
      </c>
      <c r="AD370" t="s">
        <v>223</v>
      </c>
      <c r="AE370" t="s">
        <v>223</v>
      </c>
      <c r="AF370" t="s">
        <v>223</v>
      </c>
      <c r="AG370" t="s">
        <v>223</v>
      </c>
      <c r="AH370" t="s">
        <v>223</v>
      </c>
      <c r="AI370" t="s">
        <v>223</v>
      </c>
      <c r="AJ370" t="s">
        <v>223</v>
      </c>
      <c r="AK370" t="s">
        <v>223</v>
      </c>
      <c r="AL370" t="s">
        <v>223</v>
      </c>
      <c r="AM370" t="s">
        <v>223</v>
      </c>
      <c r="AN370" s="9">
        <v>49</v>
      </c>
    </row>
    <row r="371" spans="1:40">
      <c r="A371" t="s">
        <v>382</v>
      </c>
      <c r="B371">
        <v>50</v>
      </c>
      <c r="C371" t="s">
        <v>223</v>
      </c>
      <c r="D371" t="s">
        <v>223</v>
      </c>
      <c r="E371" t="s">
        <v>223</v>
      </c>
      <c r="F371" t="s">
        <v>223</v>
      </c>
      <c r="G371" t="s">
        <v>223</v>
      </c>
      <c r="H371" t="s">
        <v>223</v>
      </c>
      <c r="I371" t="s">
        <v>223</v>
      </c>
      <c r="J371" t="s">
        <v>223</v>
      </c>
      <c r="K371" t="s">
        <v>223</v>
      </c>
      <c r="L371" t="s">
        <v>223</v>
      </c>
      <c r="M371" t="s">
        <v>223</v>
      </c>
      <c r="N371" t="s">
        <v>223</v>
      </c>
      <c r="O371" t="s">
        <v>223</v>
      </c>
      <c r="P371" t="s">
        <v>223</v>
      </c>
      <c r="Q371" t="s">
        <v>223</v>
      </c>
      <c r="R371" t="s">
        <v>223</v>
      </c>
      <c r="S371" t="s">
        <v>223</v>
      </c>
      <c r="T371" t="s">
        <v>223</v>
      </c>
      <c r="U371" t="s">
        <v>223</v>
      </c>
      <c r="V371" t="s">
        <v>223</v>
      </c>
      <c r="W371" t="s">
        <v>223</v>
      </c>
      <c r="X371" t="s">
        <v>223</v>
      </c>
      <c r="Y371" t="s">
        <v>223</v>
      </c>
      <c r="Z371" t="s">
        <v>223</v>
      </c>
      <c r="AA371" t="s">
        <v>223</v>
      </c>
      <c r="AB371" t="s">
        <v>223</v>
      </c>
      <c r="AC371" t="s">
        <v>223</v>
      </c>
      <c r="AD371" t="s">
        <v>223</v>
      </c>
      <c r="AE371" t="s">
        <v>223</v>
      </c>
      <c r="AF371" t="s">
        <v>223</v>
      </c>
      <c r="AG371" t="s">
        <v>223</v>
      </c>
      <c r="AH371" t="s">
        <v>223</v>
      </c>
      <c r="AI371" t="s">
        <v>223</v>
      </c>
      <c r="AJ371" t="s">
        <v>223</v>
      </c>
      <c r="AK371" t="s">
        <v>223</v>
      </c>
      <c r="AL371" t="s">
        <v>223</v>
      </c>
      <c r="AM371" t="s">
        <v>223</v>
      </c>
      <c r="AN371" s="9">
        <v>50</v>
      </c>
    </row>
    <row r="372" spans="1:40">
      <c r="A372" t="s">
        <v>382</v>
      </c>
      <c r="B372">
        <v>51</v>
      </c>
      <c r="C372" t="s">
        <v>223</v>
      </c>
      <c r="D372" t="s">
        <v>223</v>
      </c>
      <c r="E372" t="s">
        <v>223</v>
      </c>
      <c r="F372" t="s">
        <v>223</v>
      </c>
      <c r="G372" t="s">
        <v>223</v>
      </c>
      <c r="H372" t="s">
        <v>223</v>
      </c>
      <c r="I372" t="s">
        <v>223</v>
      </c>
      <c r="J372" t="s">
        <v>223</v>
      </c>
      <c r="K372" t="s">
        <v>223</v>
      </c>
      <c r="L372" t="s">
        <v>223</v>
      </c>
      <c r="M372" t="s">
        <v>223</v>
      </c>
      <c r="N372" t="s">
        <v>223</v>
      </c>
      <c r="O372" t="s">
        <v>223</v>
      </c>
      <c r="P372" t="s">
        <v>223</v>
      </c>
      <c r="Q372" t="s">
        <v>223</v>
      </c>
      <c r="R372" t="s">
        <v>223</v>
      </c>
      <c r="S372" t="s">
        <v>223</v>
      </c>
      <c r="T372" t="s">
        <v>223</v>
      </c>
      <c r="U372" t="s">
        <v>223</v>
      </c>
      <c r="V372" t="s">
        <v>223</v>
      </c>
      <c r="W372" t="s">
        <v>223</v>
      </c>
      <c r="X372" t="s">
        <v>223</v>
      </c>
      <c r="Y372" t="s">
        <v>223</v>
      </c>
      <c r="Z372" t="s">
        <v>223</v>
      </c>
      <c r="AA372" t="s">
        <v>223</v>
      </c>
      <c r="AB372" t="s">
        <v>223</v>
      </c>
      <c r="AC372" t="s">
        <v>223</v>
      </c>
      <c r="AD372" t="s">
        <v>223</v>
      </c>
      <c r="AE372" t="s">
        <v>223</v>
      </c>
      <c r="AF372" t="s">
        <v>223</v>
      </c>
      <c r="AG372" t="s">
        <v>223</v>
      </c>
      <c r="AH372" t="s">
        <v>223</v>
      </c>
      <c r="AI372" t="s">
        <v>223</v>
      </c>
      <c r="AJ372" t="s">
        <v>223</v>
      </c>
      <c r="AK372" t="s">
        <v>223</v>
      </c>
      <c r="AL372" t="s">
        <v>223</v>
      </c>
      <c r="AM372" t="s">
        <v>223</v>
      </c>
      <c r="AN372" s="9">
        <v>51</v>
      </c>
    </row>
    <row r="373" spans="1:40">
      <c r="A373" t="s">
        <v>382</v>
      </c>
      <c r="B373">
        <v>52</v>
      </c>
      <c r="C373" t="s">
        <v>223</v>
      </c>
      <c r="D373" t="s">
        <v>223</v>
      </c>
      <c r="E373" t="s">
        <v>223</v>
      </c>
      <c r="F373" t="s">
        <v>223</v>
      </c>
      <c r="G373" t="s">
        <v>223</v>
      </c>
      <c r="H373" t="s">
        <v>223</v>
      </c>
      <c r="I373" t="s">
        <v>223</v>
      </c>
      <c r="J373" t="s">
        <v>223</v>
      </c>
      <c r="K373" t="s">
        <v>223</v>
      </c>
      <c r="L373" t="s">
        <v>223</v>
      </c>
      <c r="M373" t="s">
        <v>223</v>
      </c>
      <c r="N373" t="s">
        <v>223</v>
      </c>
      <c r="O373" t="s">
        <v>223</v>
      </c>
      <c r="P373" t="s">
        <v>223</v>
      </c>
      <c r="Q373" t="s">
        <v>223</v>
      </c>
      <c r="R373" t="s">
        <v>223</v>
      </c>
      <c r="S373" t="s">
        <v>223</v>
      </c>
      <c r="T373" t="s">
        <v>223</v>
      </c>
      <c r="U373" t="s">
        <v>223</v>
      </c>
      <c r="V373" t="s">
        <v>223</v>
      </c>
      <c r="W373" t="s">
        <v>223</v>
      </c>
      <c r="X373" t="s">
        <v>223</v>
      </c>
      <c r="Y373" t="s">
        <v>223</v>
      </c>
      <c r="Z373" t="s">
        <v>223</v>
      </c>
      <c r="AA373" t="s">
        <v>223</v>
      </c>
      <c r="AB373" t="s">
        <v>223</v>
      </c>
      <c r="AC373" t="s">
        <v>223</v>
      </c>
      <c r="AD373" t="s">
        <v>223</v>
      </c>
      <c r="AE373" t="s">
        <v>223</v>
      </c>
      <c r="AF373" t="s">
        <v>223</v>
      </c>
      <c r="AG373" t="s">
        <v>223</v>
      </c>
      <c r="AH373" t="s">
        <v>223</v>
      </c>
      <c r="AI373" t="s">
        <v>223</v>
      </c>
      <c r="AJ373" t="s">
        <v>223</v>
      </c>
      <c r="AK373" t="s">
        <v>223</v>
      </c>
      <c r="AL373" t="s">
        <v>223</v>
      </c>
      <c r="AM373" t="s">
        <v>223</v>
      </c>
      <c r="AN373" s="9">
        <v>52</v>
      </c>
    </row>
    <row r="374" spans="1:40">
      <c r="A374" t="s">
        <v>382</v>
      </c>
      <c r="B374">
        <v>53</v>
      </c>
      <c r="C374" t="s">
        <v>223</v>
      </c>
      <c r="D374" t="s">
        <v>223</v>
      </c>
      <c r="E374" t="s">
        <v>223</v>
      </c>
      <c r="F374" t="s">
        <v>223</v>
      </c>
      <c r="G374" t="s">
        <v>223</v>
      </c>
      <c r="H374" t="s">
        <v>223</v>
      </c>
      <c r="I374" t="s">
        <v>223</v>
      </c>
      <c r="J374" t="s">
        <v>223</v>
      </c>
      <c r="K374" t="s">
        <v>223</v>
      </c>
      <c r="L374" t="s">
        <v>223</v>
      </c>
      <c r="M374" t="s">
        <v>223</v>
      </c>
      <c r="N374" t="s">
        <v>223</v>
      </c>
      <c r="O374" t="s">
        <v>223</v>
      </c>
      <c r="P374" t="s">
        <v>223</v>
      </c>
      <c r="Q374" t="s">
        <v>223</v>
      </c>
      <c r="R374" t="s">
        <v>223</v>
      </c>
      <c r="S374" t="s">
        <v>223</v>
      </c>
      <c r="T374" t="s">
        <v>223</v>
      </c>
      <c r="U374" t="s">
        <v>223</v>
      </c>
      <c r="V374" t="s">
        <v>223</v>
      </c>
      <c r="W374" t="s">
        <v>223</v>
      </c>
      <c r="X374" t="s">
        <v>223</v>
      </c>
      <c r="Y374" t="s">
        <v>223</v>
      </c>
      <c r="Z374" t="s">
        <v>223</v>
      </c>
      <c r="AA374" t="s">
        <v>223</v>
      </c>
      <c r="AB374" t="s">
        <v>223</v>
      </c>
      <c r="AC374" t="s">
        <v>223</v>
      </c>
      <c r="AD374" t="s">
        <v>223</v>
      </c>
      <c r="AE374" t="s">
        <v>223</v>
      </c>
      <c r="AF374" t="s">
        <v>223</v>
      </c>
      <c r="AG374" t="s">
        <v>223</v>
      </c>
      <c r="AH374" t="s">
        <v>223</v>
      </c>
      <c r="AI374" t="s">
        <v>223</v>
      </c>
      <c r="AJ374" t="s">
        <v>223</v>
      </c>
      <c r="AK374" t="s">
        <v>223</v>
      </c>
      <c r="AL374" t="s">
        <v>223</v>
      </c>
      <c r="AM374" t="s">
        <v>223</v>
      </c>
      <c r="AN374" s="9">
        <v>53</v>
      </c>
    </row>
    <row r="375" spans="1:40">
      <c r="A375" t="s">
        <v>383</v>
      </c>
      <c r="B375">
        <v>0</v>
      </c>
      <c r="C375" t="s">
        <v>223</v>
      </c>
      <c r="D375" t="s">
        <v>223</v>
      </c>
      <c r="E375" t="s">
        <v>223</v>
      </c>
      <c r="F375" t="s">
        <v>223</v>
      </c>
      <c r="G375" t="s">
        <v>223</v>
      </c>
      <c r="H375" t="s">
        <v>223</v>
      </c>
      <c r="I375" t="s">
        <v>223</v>
      </c>
      <c r="J375" t="s">
        <v>223</v>
      </c>
      <c r="K375" t="s">
        <v>223</v>
      </c>
      <c r="L375" t="s">
        <v>223</v>
      </c>
      <c r="M375" t="s">
        <v>223</v>
      </c>
      <c r="N375" t="s">
        <v>223</v>
      </c>
      <c r="O375" t="s">
        <v>223</v>
      </c>
      <c r="P375" t="s">
        <v>223</v>
      </c>
      <c r="Q375" t="s">
        <v>223</v>
      </c>
      <c r="R375" t="s">
        <v>223</v>
      </c>
      <c r="S375" t="s">
        <v>223</v>
      </c>
      <c r="T375" t="s">
        <v>223</v>
      </c>
      <c r="U375" t="s">
        <v>223</v>
      </c>
      <c r="V375" t="s">
        <v>223</v>
      </c>
      <c r="W375" t="s">
        <v>223</v>
      </c>
      <c r="X375" t="s">
        <v>223</v>
      </c>
      <c r="Y375" t="s">
        <v>223</v>
      </c>
      <c r="Z375" t="s">
        <v>223</v>
      </c>
      <c r="AA375" t="s">
        <v>223</v>
      </c>
      <c r="AB375" t="s">
        <v>223</v>
      </c>
      <c r="AC375" t="s">
        <v>223</v>
      </c>
      <c r="AD375" t="s">
        <v>223</v>
      </c>
      <c r="AE375" t="s">
        <v>223</v>
      </c>
      <c r="AF375" t="s">
        <v>223</v>
      </c>
      <c r="AG375" t="s">
        <v>223</v>
      </c>
      <c r="AH375" t="s">
        <v>223</v>
      </c>
      <c r="AI375" t="s">
        <v>223</v>
      </c>
      <c r="AJ375" t="s">
        <v>223</v>
      </c>
      <c r="AK375" t="s">
        <v>223</v>
      </c>
      <c r="AL375" t="s">
        <v>223</v>
      </c>
      <c r="AM375" t="s">
        <v>223</v>
      </c>
      <c r="AN375" s="9">
        <v>0</v>
      </c>
    </row>
    <row r="376" spans="1:40">
      <c r="A376" t="s">
        <v>383</v>
      </c>
      <c r="B376">
        <v>1</v>
      </c>
      <c r="C376" t="s">
        <v>223</v>
      </c>
      <c r="D376" t="s">
        <v>223</v>
      </c>
      <c r="E376" t="s">
        <v>223</v>
      </c>
      <c r="F376" t="s">
        <v>223</v>
      </c>
      <c r="G376" t="s">
        <v>223</v>
      </c>
      <c r="H376" t="s">
        <v>223</v>
      </c>
      <c r="I376" t="s">
        <v>223</v>
      </c>
      <c r="J376" t="s">
        <v>223</v>
      </c>
      <c r="K376" t="s">
        <v>223</v>
      </c>
      <c r="L376" t="s">
        <v>223</v>
      </c>
      <c r="M376" t="s">
        <v>223</v>
      </c>
      <c r="N376" t="s">
        <v>223</v>
      </c>
      <c r="O376" t="s">
        <v>223</v>
      </c>
      <c r="P376" t="s">
        <v>223</v>
      </c>
      <c r="Q376" t="s">
        <v>223</v>
      </c>
      <c r="R376" t="s">
        <v>223</v>
      </c>
      <c r="S376" t="s">
        <v>223</v>
      </c>
      <c r="T376" t="s">
        <v>223</v>
      </c>
      <c r="U376" t="s">
        <v>223</v>
      </c>
      <c r="V376" t="s">
        <v>223</v>
      </c>
      <c r="W376" t="s">
        <v>223</v>
      </c>
      <c r="X376" t="s">
        <v>223</v>
      </c>
      <c r="Y376" t="s">
        <v>223</v>
      </c>
      <c r="Z376" t="s">
        <v>223</v>
      </c>
      <c r="AA376" t="s">
        <v>223</v>
      </c>
      <c r="AB376" t="s">
        <v>223</v>
      </c>
      <c r="AC376" t="s">
        <v>223</v>
      </c>
      <c r="AD376" t="s">
        <v>223</v>
      </c>
      <c r="AE376" t="s">
        <v>223</v>
      </c>
      <c r="AF376" t="s">
        <v>223</v>
      </c>
      <c r="AG376" t="s">
        <v>223</v>
      </c>
      <c r="AH376" t="s">
        <v>223</v>
      </c>
      <c r="AI376" t="s">
        <v>223</v>
      </c>
      <c r="AJ376" t="s">
        <v>223</v>
      </c>
      <c r="AK376" t="s">
        <v>223</v>
      </c>
      <c r="AL376" t="s">
        <v>223</v>
      </c>
      <c r="AM376" t="s">
        <v>223</v>
      </c>
      <c r="AN376" s="9">
        <v>1</v>
      </c>
    </row>
    <row r="377" spans="1:40">
      <c r="A377" t="s">
        <v>383</v>
      </c>
      <c r="B377">
        <v>2</v>
      </c>
      <c r="C377" t="s">
        <v>223</v>
      </c>
      <c r="D377" t="s">
        <v>223</v>
      </c>
      <c r="E377" t="s">
        <v>223</v>
      </c>
      <c r="F377" t="s">
        <v>223</v>
      </c>
      <c r="G377" t="s">
        <v>223</v>
      </c>
      <c r="H377" t="s">
        <v>223</v>
      </c>
      <c r="I377" t="s">
        <v>223</v>
      </c>
      <c r="J377" t="s">
        <v>223</v>
      </c>
      <c r="K377" t="s">
        <v>223</v>
      </c>
      <c r="L377" t="s">
        <v>223</v>
      </c>
      <c r="M377" t="s">
        <v>223</v>
      </c>
      <c r="N377" t="s">
        <v>223</v>
      </c>
      <c r="O377" t="s">
        <v>223</v>
      </c>
      <c r="P377" t="s">
        <v>223</v>
      </c>
      <c r="Q377" t="s">
        <v>223</v>
      </c>
      <c r="R377" t="s">
        <v>223</v>
      </c>
      <c r="S377" t="s">
        <v>223</v>
      </c>
      <c r="T377" t="s">
        <v>223</v>
      </c>
      <c r="U377" t="s">
        <v>223</v>
      </c>
      <c r="V377" t="s">
        <v>223</v>
      </c>
      <c r="W377" t="s">
        <v>223</v>
      </c>
      <c r="X377" t="s">
        <v>223</v>
      </c>
      <c r="Y377" t="s">
        <v>223</v>
      </c>
      <c r="Z377" t="s">
        <v>223</v>
      </c>
      <c r="AA377" t="s">
        <v>223</v>
      </c>
      <c r="AB377" t="s">
        <v>223</v>
      </c>
      <c r="AC377" t="s">
        <v>223</v>
      </c>
      <c r="AD377" t="s">
        <v>223</v>
      </c>
      <c r="AE377" t="s">
        <v>223</v>
      </c>
      <c r="AF377" t="s">
        <v>223</v>
      </c>
      <c r="AG377" t="s">
        <v>223</v>
      </c>
      <c r="AH377" t="s">
        <v>223</v>
      </c>
      <c r="AI377" t="s">
        <v>223</v>
      </c>
      <c r="AJ377" t="s">
        <v>223</v>
      </c>
      <c r="AK377" t="s">
        <v>223</v>
      </c>
      <c r="AL377" t="s">
        <v>223</v>
      </c>
      <c r="AM377" t="s">
        <v>223</v>
      </c>
      <c r="AN377" s="9">
        <v>2</v>
      </c>
    </row>
    <row r="378" spans="1:40">
      <c r="A378" t="s">
        <v>383</v>
      </c>
      <c r="B378">
        <v>3</v>
      </c>
      <c r="C378" t="s">
        <v>223</v>
      </c>
      <c r="D378" t="s">
        <v>223</v>
      </c>
      <c r="E378" t="s">
        <v>223</v>
      </c>
      <c r="F378" t="s">
        <v>223</v>
      </c>
      <c r="G378" t="s">
        <v>223</v>
      </c>
      <c r="H378" t="s">
        <v>223</v>
      </c>
      <c r="I378" t="s">
        <v>223</v>
      </c>
      <c r="J378" t="s">
        <v>223</v>
      </c>
      <c r="K378" t="s">
        <v>223</v>
      </c>
      <c r="L378" t="s">
        <v>223</v>
      </c>
      <c r="M378" t="s">
        <v>223</v>
      </c>
      <c r="N378" t="s">
        <v>223</v>
      </c>
      <c r="O378" t="s">
        <v>223</v>
      </c>
      <c r="P378" t="s">
        <v>223</v>
      </c>
      <c r="Q378" t="s">
        <v>223</v>
      </c>
      <c r="R378" t="s">
        <v>223</v>
      </c>
      <c r="S378" t="s">
        <v>223</v>
      </c>
      <c r="T378" t="s">
        <v>223</v>
      </c>
      <c r="U378" t="s">
        <v>223</v>
      </c>
      <c r="V378" t="s">
        <v>223</v>
      </c>
      <c r="W378" t="s">
        <v>223</v>
      </c>
      <c r="X378" t="s">
        <v>223</v>
      </c>
      <c r="Y378" t="s">
        <v>223</v>
      </c>
      <c r="Z378" t="s">
        <v>223</v>
      </c>
      <c r="AA378" t="s">
        <v>223</v>
      </c>
      <c r="AB378" t="s">
        <v>223</v>
      </c>
      <c r="AC378" t="s">
        <v>223</v>
      </c>
      <c r="AD378" t="s">
        <v>223</v>
      </c>
      <c r="AE378" t="s">
        <v>223</v>
      </c>
      <c r="AF378" t="s">
        <v>223</v>
      </c>
      <c r="AG378" t="s">
        <v>223</v>
      </c>
      <c r="AH378" t="s">
        <v>223</v>
      </c>
      <c r="AI378" t="s">
        <v>223</v>
      </c>
      <c r="AJ378" t="s">
        <v>223</v>
      </c>
      <c r="AK378" t="s">
        <v>223</v>
      </c>
      <c r="AL378" t="s">
        <v>223</v>
      </c>
      <c r="AM378" t="s">
        <v>223</v>
      </c>
      <c r="AN378" s="9">
        <v>3</v>
      </c>
    </row>
    <row r="379" spans="1:40">
      <c r="A379" t="s">
        <v>383</v>
      </c>
      <c r="B379">
        <v>4</v>
      </c>
      <c r="C379" t="s">
        <v>223</v>
      </c>
      <c r="D379" t="s">
        <v>223</v>
      </c>
      <c r="E379" t="s">
        <v>223</v>
      </c>
      <c r="F379" t="s">
        <v>223</v>
      </c>
      <c r="G379" t="s">
        <v>223</v>
      </c>
      <c r="H379" t="s">
        <v>223</v>
      </c>
      <c r="I379" t="s">
        <v>223</v>
      </c>
      <c r="J379" t="s">
        <v>223</v>
      </c>
      <c r="K379" t="s">
        <v>223</v>
      </c>
      <c r="L379" t="s">
        <v>223</v>
      </c>
      <c r="M379" t="s">
        <v>223</v>
      </c>
      <c r="N379" t="s">
        <v>223</v>
      </c>
      <c r="O379" t="s">
        <v>223</v>
      </c>
      <c r="P379" t="s">
        <v>223</v>
      </c>
      <c r="Q379" t="s">
        <v>223</v>
      </c>
      <c r="R379" t="s">
        <v>223</v>
      </c>
      <c r="S379" t="s">
        <v>223</v>
      </c>
      <c r="T379" t="s">
        <v>223</v>
      </c>
      <c r="U379" t="s">
        <v>223</v>
      </c>
      <c r="V379" t="s">
        <v>223</v>
      </c>
      <c r="W379" t="s">
        <v>223</v>
      </c>
      <c r="X379" t="s">
        <v>223</v>
      </c>
      <c r="Y379" t="s">
        <v>223</v>
      </c>
      <c r="Z379" t="s">
        <v>223</v>
      </c>
      <c r="AA379" t="s">
        <v>223</v>
      </c>
      <c r="AB379" t="s">
        <v>223</v>
      </c>
      <c r="AC379" t="s">
        <v>223</v>
      </c>
      <c r="AD379" t="s">
        <v>223</v>
      </c>
      <c r="AE379" t="s">
        <v>223</v>
      </c>
      <c r="AF379" t="s">
        <v>223</v>
      </c>
      <c r="AG379" t="s">
        <v>223</v>
      </c>
      <c r="AH379" t="s">
        <v>223</v>
      </c>
      <c r="AI379" t="s">
        <v>223</v>
      </c>
      <c r="AJ379" t="s">
        <v>223</v>
      </c>
      <c r="AK379" t="s">
        <v>223</v>
      </c>
      <c r="AL379" t="s">
        <v>223</v>
      </c>
      <c r="AM379" t="s">
        <v>223</v>
      </c>
      <c r="AN379" s="9">
        <v>4</v>
      </c>
    </row>
    <row r="380" spans="1:40">
      <c r="A380" t="s">
        <v>383</v>
      </c>
      <c r="B380">
        <v>5</v>
      </c>
      <c r="C380" t="s">
        <v>223</v>
      </c>
      <c r="D380" t="s">
        <v>223</v>
      </c>
      <c r="E380" t="s">
        <v>223</v>
      </c>
      <c r="F380" t="s">
        <v>223</v>
      </c>
      <c r="G380" t="s">
        <v>223</v>
      </c>
      <c r="H380" t="s">
        <v>223</v>
      </c>
      <c r="I380" t="s">
        <v>223</v>
      </c>
      <c r="J380" t="s">
        <v>223</v>
      </c>
      <c r="K380" t="s">
        <v>223</v>
      </c>
      <c r="L380" t="s">
        <v>223</v>
      </c>
      <c r="M380" t="s">
        <v>223</v>
      </c>
      <c r="N380" t="s">
        <v>223</v>
      </c>
      <c r="O380" t="s">
        <v>223</v>
      </c>
      <c r="P380" t="s">
        <v>223</v>
      </c>
      <c r="Q380" t="s">
        <v>223</v>
      </c>
      <c r="R380" t="s">
        <v>223</v>
      </c>
      <c r="S380" t="s">
        <v>223</v>
      </c>
      <c r="T380" t="s">
        <v>223</v>
      </c>
      <c r="U380" t="s">
        <v>223</v>
      </c>
      <c r="V380" t="s">
        <v>223</v>
      </c>
      <c r="W380" t="s">
        <v>223</v>
      </c>
      <c r="X380" t="s">
        <v>223</v>
      </c>
      <c r="Y380" t="s">
        <v>223</v>
      </c>
      <c r="Z380" t="s">
        <v>223</v>
      </c>
      <c r="AA380" t="s">
        <v>223</v>
      </c>
      <c r="AB380" t="s">
        <v>223</v>
      </c>
      <c r="AC380" t="s">
        <v>223</v>
      </c>
      <c r="AD380" t="s">
        <v>223</v>
      </c>
      <c r="AE380" t="s">
        <v>223</v>
      </c>
      <c r="AF380" t="s">
        <v>223</v>
      </c>
      <c r="AG380" t="s">
        <v>223</v>
      </c>
      <c r="AH380" t="s">
        <v>223</v>
      </c>
      <c r="AI380" t="s">
        <v>223</v>
      </c>
      <c r="AJ380" t="s">
        <v>223</v>
      </c>
      <c r="AK380" t="s">
        <v>223</v>
      </c>
      <c r="AL380" t="s">
        <v>223</v>
      </c>
      <c r="AM380" t="s">
        <v>223</v>
      </c>
      <c r="AN380" s="9">
        <v>5</v>
      </c>
    </row>
    <row r="381" spans="1:40">
      <c r="A381" t="s">
        <v>383</v>
      </c>
      <c r="B381">
        <v>6</v>
      </c>
      <c r="C381" t="s">
        <v>223</v>
      </c>
      <c r="D381" t="s">
        <v>223</v>
      </c>
      <c r="E381" t="s">
        <v>223</v>
      </c>
      <c r="F381" t="s">
        <v>223</v>
      </c>
      <c r="G381" t="s">
        <v>223</v>
      </c>
      <c r="H381" t="s">
        <v>223</v>
      </c>
      <c r="I381" t="s">
        <v>223</v>
      </c>
      <c r="J381" t="s">
        <v>223</v>
      </c>
      <c r="K381" t="s">
        <v>223</v>
      </c>
      <c r="L381" t="s">
        <v>223</v>
      </c>
      <c r="M381" t="s">
        <v>223</v>
      </c>
      <c r="N381" t="s">
        <v>223</v>
      </c>
      <c r="O381" t="s">
        <v>223</v>
      </c>
      <c r="P381" t="s">
        <v>223</v>
      </c>
      <c r="Q381" t="s">
        <v>223</v>
      </c>
      <c r="R381" t="s">
        <v>223</v>
      </c>
      <c r="S381" t="s">
        <v>223</v>
      </c>
      <c r="T381" t="s">
        <v>223</v>
      </c>
      <c r="U381" t="s">
        <v>223</v>
      </c>
      <c r="V381" t="s">
        <v>223</v>
      </c>
      <c r="W381" t="s">
        <v>223</v>
      </c>
      <c r="X381" t="s">
        <v>223</v>
      </c>
      <c r="Y381" t="s">
        <v>223</v>
      </c>
      <c r="Z381" t="s">
        <v>223</v>
      </c>
      <c r="AA381" t="s">
        <v>223</v>
      </c>
      <c r="AB381" t="s">
        <v>223</v>
      </c>
      <c r="AC381" t="s">
        <v>223</v>
      </c>
      <c r="AD381" t="s">
        <v>223</v>
      </c>
      <c r="AE381" t="s">
        <v>223</v>
      </c>
      <c r="AF381" t="s">
        <v>223</v>
      </c>
      <c r="AG381" t="s">
        <v>223</v>
      </c>
      <c r="AH381" t="s">
        <v>223</v>
      </c>
      <c r="AI381" t="s">
        <v>223</v>
      </c>
      <c r="AJ381" t="s">
        <v>223</v>
      </c>
      <c r="AK381" t="s">
        <v>223</v>
      </c>
      <c r="AL381" t="s">
        <v>223</v>
      </c>
      <c r="AM381" t="s">
        <v>223</v>
      </c>
      <c r="AN381" s="9">
        <v>6</v>
      </c>
    </row>
    <row r="382" spans="1:40">
      <c r="A382" t="s">
        <v>383</v>
      </c>
      <c r="B382">
        <v>9</v>
      </c>
      <c r="C382" t="s">
        <v>223</v>
      </c>
      <c r="D382" t="s">
        <v>223</v>
      </c>
      <c r="E382" t="s">
        <v>223</v>
      </c>
      <c r="F382" t="s">
        <v>223</v>
      </c>
      <c r="G382" t="s">
        <v>223</v>
      </c>
      <c r="H382" t="s">
        <v>223</v>
      </c>
      <c r="I382" t="s">
        <v>223</v>
      </c>
      <c r="J382" t="s">
        <v>223</v>
      </c>
      <c r="K382" t="s">
        <v>223</v>
      </c>
      <c r="L382" t="s">
        <v>223</v>
      </c>
      <c r="M382" t="s">
        <v>223</v>
      </c>
      <c r="N382" t="s">
        <v>223</v>
      </c>
      <c r="O382" t="s">
        <v>223</v>
      </c>
      <c r="P382" t="s">
        <v>223</v>
      </c>
      <c r="Q382" t="s">
        <v>223</v>
      </c>
      <c r="R382" t="s">
        <v>223</v>
      </c>
      <c r="S382" t="s">
        <v>223</v>
      </c>
      <c r="T382" t="s">
        <v>223</v>
      </c>
      <c r="U382" t="s">
        <v>223</v>
      </c>
      <c r="V382" t="s">
        <v>223</v>
      </c>
      <c r="W382" t="s">
        <v>223</v>
      </c>
      <c r="X382" t="s">
        <v>223</v>
      </c>
      <c r="Y382" t="s">
        <v>223</v>
      </c>
      <c r="Z382" t="s">
        <v>223</v>
      </c>
      <c r="AA382" t="s">
        <v>223</v>
      </c>
      <c r="AB382" t="s">
        <v>223</v>
      </c>
      <c r="AC382" t="s">
        <v>223</v>
      </c>
      <c r="AD382" t="s">
        <v>223</v>
      </c>
      <c r="AE382" t="s">
        <v>223</v>
      </c>
      <c r="AF382" t="s">
        <v>223</v>
      </c>
      <c r="AG382" t="s">
        <v>223</v>
      </c>
      <c r="AH382" t="s">
        <v>223</v>
      </c>
      <c r="AI382" t="s">
        <v>223</v>
      </c>
      <c r="AJ382" t="s">
        <v>223</v>
      </c>
      <c r="AK382" t="s">
        <v>223</v>
      </c>
      <c r="AL382" t="s">
        <v>223</v>
      </c>
      <c r="AM382" t="s">
        <v>223</v>
      </c>
      <c r="AN382" s="9">
        <v>9</v>
      </c>
    </row>
    <row r="383" spans="1:40">
      <c r="A383" t="s">
        <v>383</v>
      </c>
      <c r="B383">
        <v>10</v>
      </c>
      <c r="C383" t="s">
        <v>223</v>
      </c>
      <c r="D383" t="s">
        <v>223</v>
      </c>
      <c r="E383" t="s">
        <v>223</v>
      </c>
      <c r="F383" t="s">
        <v>223</v>
      </c>
      <c r="G383" t="s">
        <v>223</v>
      </c>
      <c r="H383" t="s">
        <v>223</v>
      </c>
      <c r="I383" t="s">
        <v>223</v>
      </c>
      <c r="J383" t="s">
        <v>223</v>
      </c>
      <c r="K383" t="s">
        <v>223</v>
      </c>
      <c r="L383" t="s">
        <v>223</v>
      </c>
      <c r="M383" t="s">
        <v>223</v>
      </c>
      <c r="N383" t="s">
        <v>223</v>
      </c>
      <c r="O383" t="s">
        <v>223</v>
      </c>
      <c r="P383" t="s">
        <v>223</v>
      </c>
      <c r="Q383" t="s">
        <v>223</v>
      </c>
      <c r="R383" t="s">
        <v>223</v>
      </c>
      <c r="S383" t="s">
        <v>223</v>
      </c>
      <c r="T383" t="s">
        <v>223</v>
      </c>
      <c r="U383" t="s">
        <v>223</v>
      </c>
      <c r="V383" t="s">
        <v>223</v>
      </c>
      <c r="W383" t="s">
        <v>223</v>
      </c>
      <c r="X383" t="s">
        <v>223</v>
      </c>
      <c r="Y383" t="s">
        <v>223</v>
      </c>
      <c r="Z383" t="s">
        <v>223</v>
      </c>
      <c r="AA383" t="s">
        <v>223</v>
      </c>
      <c r="AB383" t="s">
        <v>223</v>
      </c>
      <c r="AC383" t="s">
        <v>223</v>
      </c>
      <c r="AD383" t="s">
        <v>223</v>
      </c>
      <c r="AE383" t="s">
        <v>223</v>
      </c>
      <c r="AF383" t="s">
        <v>223</v>
      </c>
      <c r="AG383" t="s">
        <v>223</v>
      </c>
      <c r="AH383" t="s">
        <v>223</v>
      </c>
      <c r="AI383" t="s">
        <v>223</v>
      </c>
      <c r="AJ383" t="s">
        <v>223</v>
      </c>
      <c r="AK383" t="s">
        <v>223</v>
      </c>
      <c r="AL383" t="s">
        <v>223</v>
      </c>
      <c r="AM383" t="s">
        <v>223</v>
      </c>
      <c r="AN383" s="9">
        <v>10</v>
      </c>
    </row>
    <row r="384" spans="1:40">
      <c r="A384" t="s">
        <v>383</v>
      </c>
      <c r="B384">
        <v>11</v>
      </c>
      <c r="C384" t="s">
        <v>223</v>
      </c>
      <c r="D384" t="s">
        <v>223</v>
      </c>
      <c r="E384" t="s">
        <v>223</v>
      </c>
      <c r="F384" t="s">
        <v>223</v>
      </c>
      <c r="G384" t="s">
        <v>223</v>
      </c>
      <c r="H384" t="s">
        <v>223</v>
      </c>
      <c r="I384" t="s">
        <v>223</v>
      </c>
      <c r="J384" t="s">
        <v>223</v>
      </c>
      <c r="K384" t="s">
        <v>223</v>
      </c>
      <c r="L384" t="s">
        <v>223</v>
      </c>
      <c r="M384" t="s">
        <v>223</v>
      </c>
      <c r="N384" t="s">
        <v>223</v>
      </c>
      <c r="O384" t="s">
        <v>223</v>
      </c>
      <c r="P384" t="s">
        <v>223</v>
      </c>
      <c r="Q384" t="s">
        <v>223</v>
      </c>
      <c r="R384" t="s">
        <v>223</v>
      </c>
      <c r="S384" t="s">
        <v>223</v>
      </c>
      <c r="T384" t="s">
        <v>223</v>
      </c>
      <c r="U384" t="s">
        <v>223</v>
      </c>
      <c r="V384" t="s">
        <v>223</v>
      </c>
      <c r="W384" t="s">
        <v>223</v>
      </c>
      <c r="X384" t="s">
        <v>223</v>
      </c>
      <c r="Y384" t="s">
        <v>223</v>
      </c>
      <c r="Z384" t="s">
        <v>223</v>
      </c>
      <c r="AA384" t="s">
        <v>223</v>
      </c>
      <c r="AB384" t="s">
        <v>223</v>
      </c>
      <c r="AC384" t="s">
        <v>223</v>
      </c>
      <c r="AD384" t="s">
        <v>223</v>
      </c>
      <c r="AE384" t="s">
        <v>223</v>
      </c>
      <c r="AF384" t="s">
        <v>223</v>
      </c>
      <c r="AG384" t="s">
        <v>223</v>
      </c>
      <c r="AH384" t="s">
        <v>223</v>
      </c>
      <c r="AI384" t="s">
        <v>223</v>
      </c>
      <c r="AJ384" t="s">
        <v>223</v>
      </c>
      <c r="AK384" t="s">
        <v>223</v>
      </c>
      <c r="AL384" t="s">
        <v>223</v>
      </c>
      <c r="AM384" t="s">
        <v>223</v>
      </c>
      <c r="AN384" s="9">
        <v>11</v>
      </c>
    </row>
    <row r="385" spans="1:40">
      <c r="A385" t="s">
        <v>383</v>
      </c>
      <c r="B385">
        <v>12</v>
      </c>
      <c r="C385" t="s">
        <v>223</v>
      </c>
      <c r="D385" t="s">
        <v>223</v>
      </c>
      <c r="E385" t="s">
        <v>223</v>
      </c>
      <c r="F385" t="s">
        <v>223</v>
      </c>
      <c r="G385" t="s">
        <v>223</v>
      </c>
      <c r="H385" t="s">
        <v>223</v>
      </c>
      <c r="I385" t="s">
        <v>223</v>
      </c>
      <c r="J385" t="s">
        <v>223</v>
      </c>
      <c r="K385" t="s">
        <v>223</v>
      </c>
      <c r="L385" t="s">
        <v>223</v>
      </c>
      <c r="M385" t="s">
        <v>223</v>
      </c>
      <c r="N385" t="s">
        <v>223</v>
      </c>
      <c r="O385" t="s">
        <v>223</v>
      </c>
      <c r="P385" t="s">
        <v>223</v>
      </c>
      <c r="Q385" t="s">
        <v>223</v>
      </c>
      <c r="R385" t="s">
        <v>223</v>
      </c>
      <c r="S385" t="s">
        <v>223</v>
      </c>
      <c r="T385" t="s">
        <v>223</v>
      </c>
      <c r="U385" t="s">
        <v>223</v>
      </c>
      <c r="V385" t="s">
        <v>223</v>
      </c>
      <c r="W385" t="s">
        <v>223</v>
      </c>
      <c r="X385" t="s">
        <v>223</v>
      </c>
      <c r="Y385" t="s">
        <v>223</v>
      </c>
      <c r="Z385" t="s">
        <v>223</v>
      </c>
      <c r="AA385" t="s">
        <v>223</v>
      </c>
      <c r="AB385" t="s">
        <v>223</v>
      </c>
      <c r="AC385" t="s">
        <v>223</v>
      </c>
      <c r="AD385" t="s">
        <v>223</v>
      </c>
      <c r="AE385" t="s">
        <v>223</v>
      </c>
      <c r="AF385" t="s">
        <v>223</v>
      </c>
      <c r="AG385" t="s">
        <v>223</v>
      </c>
      <c r="AH385" t="s">
        <v>223</v>
      </c>
      <c r="AI385" t="s">
        <v>223</v>
      </c>
      <c r="AJ385" t="s">
        <v>223</v>
      </c>
      <c r="AK385" t="s">
        <v>223</v>
      </c>
      <c r="AL385" t="s">
        <v>223</v>
      </c>
      <c r="AM385" t="s">
        <v>223</v>
      </c>
      <c r="AN385" s="9">
        <v>12</v>
      </c>
    </row>
    <row r="386" spans="1:40">
      <c r="A386" t="s">
        <v>383</v>
      </c>
      <c r="B386">
        <v>13</v>
      </c>
      <c r="C386" t="s">
        <v>223</v>
      </c>
      <c r="D386" t="s">
        <v>223</v>
      </c>
      <c r="E386" t="s">
        <v>223</v>
      </c>
      <c r="F386" t="s">
        <v>223</v>
      </c>
      <c r="G386" t="s">
        <v>223</v>
      </c>
      <c r="H386" t="s">
        <v>223</v>
      </c>
      <c r="I386" t="s">
        <v>223</v>
      </c>
      <c r="J386" t="s">
        <v>223</v>
      </c>
      <c r="K386" t="s">
        <v>223</v>
      </c>
      <c r="L386" t="s">
        <v>223</v>
      </c>
      <c r="M386" t="s">
        <v>223</v>
      </c>
      <c r="N386" t="s">
        <v>223</v>
      </c>
      <c r="O386" t="s">
        <v>223</v>
      </c>
      <c r="P386" t="s">
        <v>223</v>
      </c>
      <c r="Q386" t="s">
        <v>223</v>
      </c>
      <c r="R386" t="s">
        <v>223</v>
      </c>
      <c r="S386" t="s">
        <v>223</v>
      </c>
      <c r="T386" t="s">
        <v>223</v>
      </c>
      <c r="U386" t="s">
        <v>223</v>
      </c>
      <c r="V386" t="s">
        <v>223</v>
      </c>
      <c r="W386" t="s">
        <v>223</v>
      </c>
      <c r="X386" t="s">
        <v>223</v>
      </c>
      <c r="Y386" t="s">
        <v>223</v>
      </c>
      <c r="Z386" t="s">
        <v>223</v>
      </c>
      <c r="AA386" t="s">
        <v>223</v>
      </c>
      <c r="AB386" t="s">
        <v>223</v>
      </c>
      <c r="AC386" t="s">
        <v>223</v>
      </c>
      <c r="AD386" t="s">
        <v>223</v>
      </c>
      <c r="AE386" t="s">
        <v>223</v>
      </c>
      <c r="AF386" t="s">
        <v>223</v>
      </c>
      <c r="AG386" t="s">
        <v>223</v>
      </c>
      <c r="AH386" t="s">
        <v>223</v>
      </c>
      <c r="AI386" t="s">
        <v>223</v>
      </c>
      <c r="AJ386" t="s">
        <v>223</v>
      </c>
      <c r="AK386" t="s">
        <v>223</v>
      </c>
      <c r="AL386" t="s">
        <v>223</v>
      </c>
      <c r="AM386" t="s">
        <v>223</v>
      </c>
      <c r="AN386" s="9">
        <v>13</v>
      </c>
    </row>
    <row r="387" spans="1:40">
      <c r="A387" t="s">
        <v>383</v>
      </c>
      <c r="B387">
        <v>14</v>
      </c>
      <c r="C387" t="s">
        <v>223</v>
      </c>
      <c r="D387" t="s">
        <v>223</v>
      </c>
      <c r="E387" t="s">
        <v>223</v>
      </c>
      <c r="F387" t="s">
        <v>223</v>
      </c>
      <c r="G387" t="s">
        <v>223</v>
      </c>
      <c r="H387" t="s">
        <v>223</v>
      </c>
      <c r="I387" t="s">
        <v>223</v>
      </c>
      <c r="J387" t="s">
        <v>223</v>
      </c>
      <c r="K387" t="s">
        <v>223</v>
      </c>
      <c r="L387" t="s">
        <v>223</v>
      </c>
      <c r="M387" t="s">
        <v>223</v>
      </c>
      <c r="N387" t="s">
        <v>223</v>
      </c>
      <c r="O387" t="s">
        <v>223</v>
      </c>
      <c r="P387" t="s">
        <v>223</v>
      </c>
      <c r="Q387" t="s">
        <v>223</v>
      </c>
      <c r="R387" t="s">
        <v>223</v>
      </c>
      <c r="S387" t="s">
        <v>223</v>
      </c>
      <c r="T387" t="s">
        <v>223</v>
      </c>
      <c r="U387" t="s">
        <v>223</v>
      </c>
      <c r="V387" t="s">
        <v>223</v>
      </c>
      <c r="W387" t="s">
        <v>223</v>
      </c>
      <c r="X387" t="s">
        <v>223</v>
      </c>
      <c r="Y387" t="s">
        <v>223</v>
      </c>
      <c r="Z387" t="s">
        <v>223</v>
      </c>
      <c r="AA387" t="s">
        <v>223</v>
      </c>
      <c r="AB387" t="s">
        <v>223</v>
      </c>
      <c r="AC387" t="s">
        <v>223</v>
      </c>
      <c r="AD387" t="s">
        <v>223</v>
      </c>
      <c r="AE387" t="s">
        <v>223</v>
      </c>
      <c r="AF387" t="s">
        <v>223</v>
      </c>
      <c r="AG387" t="s">
        <v>223</v>
      </c>
      <c r="AH387" t="s">
        <v>223</v>
      </c>
      <c r="AI387" t="s">
        <v>223</v>
      </c>
      <c r="AJ387" t="s">
        <v>223</v>
      </c>
      <c r="AK387" t="s">
        <v>223</v>
      </c>
      <c r="AL387" t="s">
        <v>223</v>
      </c>
      <c r="AM387" t="s">
        <v>223</v>
      </c>
      <c r="AN387" s="9">
        <v>14</v>
      </c>
    </row>
    <row r="388" spans="1:40">
      <c r="A388" t="s">
        <v>383</v>
      </c>
      <c r="B388">
        <v>15</v>
      </c>
      <c r="C388" t="s">
        <v>223</v>
      </c>
      <c r="D388" t="s">
        <v>223</v>
      </c>
      <c r="E388" t="s">
        <v>223</v>
      </c>
      <c r="F388" t="s">
        <v>223</v>
      </c>
      <c r="G388" t="s">
        <v>223</v>
      </c>
      <c r="H388" t="s">
        <v>223</v>
      </c>
      <c r="I388" t="s">
        <v>223</v>
      </c>
      <c r="J388" t="s">
        <v>223</v>
      </c>
      <c r="K388" t="s">
        <v>223</v>
      </c>
      <c r="L388" t="s">
        <v>223</v>
      </c>
      <c r="M388" t="s">
        <v>223</v>
      </c>
      <c r="N388" t="s">
        <v>223</v>
      </c>
      <c r="O388" t="s">
        <v>223</v>
      </c>
      <c r="P388" t="s">
        <v>223</v>
      </c>
      <c r="Q388" t="s">
        <v>223</v>
      </c>
      <c r="R388" t="s">
        <v>223</v>
      </c>
      <c r="S388" t="s">
        <v>223</v>
      </c>
      <c r="T388" t="s">
        <v>223</v>
      </c>
      <c r="U388" t="s">
        <v>223</v>
      </c>
      <c r="V388" t="s">
        <v>223</v>
      </c>
      <c r="W388" t="s">
        <v>223</v>
      </c>
      <c r="X388" t="s">
        <v>223</v>
      </c>
      <c r="Y388" t="s">
        <v>223</v>
      </c>
      <c r="Z388" t="s">
        <v>223</v>
      </c>
      <c r="AA388" t="s">
        <v>223</v>
      </c>
      <c r="AB388" t="s">
        <v>223</v>
      </c>
      <c r="AC388" t="s">
        <v>223</v>
      </c>
      <c r="AD388" t="s">
        <v>223</v>
      </c>
      <c r="AE388" t="s">
        <v>223</v>
      </c>
      <c r="AF388" t="s">
        <v>223</v>
      </c>
      <c r="AG388" t="s">
        <v>223</v>
      </c>
      <c r="AH388" t="s">
        <v>223</v>
      </c>
      <c r="AI388" t="s">
        <v>223</v>
      </c>
      <c r="AJ388" t="s">
        <v>223</v>
      </c>
      <c r="AK388" t="s">
        <v>223</v>
      </c>
      <c r="AL388" t="s">
        <v>223</v>
      </c>
      <c r="AM388" t="s">
        <v>223</v>
      </c>
      <c r="AN388" s="9">
        <v>15</v>
      </c>
    </row>
    <row r="389" spans="1:40">
      <c r="A389" t="s">
        <v>383</v>
      </c>
      <c r="B389">
        <v>16</v>
      </c>
      <c r="C389" t="s">
        <v>223</v>
      </c>
      <c r="D389" t="s">
        <v>223</v>
      </c>
      <c r="E389" t="s">
        <v>223</v>
      </c>
      <c r="F389" t="s">
        <v>223</v>
      </c>
      <c r="G389" t="s">
        <v>223</v>
      </c>
      <c r="H389" t="s">
        <v>223</v>
      </c>
      <c r="I389" t="s">
        <v>223</v>
      </c>
      <c r="J389" t="s">
        <v>223</v>
      </c>
      <c r="K389" t="s">
        <v>223</v>
      </c>
      <c r="L389" t="s">
        <v>223</v>
      </c>
      <c r="M389" t="s">
        <v>223</v>
      </c>
      <c r="N389" t="s">
        <v>223</v>
      </c>
      <c r="O389" t="s">
        <v>223</v>
      </c>
      <c r="P389" t="s">
        <v>223</v>
      </c>
      <c r="Q389" t="s">
        <v>223</v>
      </c>
      <c r="R389" t="s">
        <v>223</v>
      </c>
      <c r="S389" t="s">
        <v>223</v>
      </c>
      <c r="T389" t="s">
        <v>223</v>
      </c>
      <c r="U389" t="s">
        <v>223</v>
      </c>
      <c r="V389" t="s">
        <v>223</v>
      </c>
      <c r="W389" t="s">
        <v>223</v>
      </c>
      <c r="X389" t="s">
        <v>223</v>
      </c>
      <c r="Y389" t="s">
        <v>223</v>
      </c>
      <c r="Z389" t="s">
        <v>223</v>
      </c>
      <c r="AA389" t="s">
        <v>223</v>
      </c>
      <c r="AB389" t="s">
        <v>223</v>
      </c>
      <c r="AC389" t="s">
        <v>223</v>
      </c>
      <c r="AD389" t="s">
        <v>223</v>
      </c>
      <c r="AE389" t="s">
        <v>223</v>
      </c>
      <c r="AF389" t="s">
        <v>223</v>
      </c>
      <c r="AG389" t="s">
        <v>223</v>
      </c>
      <c r="AH389" t="s">
        <v>223</v>
      </c>
      <c r="AI389" t="s">
        <v>223</v>
      </c>
      <c r="AJ389" t="s">
        <v>223</v>
      </c>
      <c r="AK389" t="s">
        <v>223</v>
      </c>
      <c r="AL389" t="s">
        <v>223</v>
      </c>
      <c r="AM389" t="s">
        <v>223</v>
      </c>
      <c r="AN389" s="9">
        <v>16</v>
      </c>
    </row>
    <row r="390" spans="1:40">
      <c r="A390" t="s">
        <v>383</v>
      </c>
      <c r="B390">
        <v>17</v>
      </c>
      <c r="C390" t="s">
        <v>223</v>
      </c>
      <c r="D390" t="s">
        <v>223</v>
      </c>
      <c r="E390" t="s">
        <v>223</v>
      </c>
      <c r="F390" t="s">
        <v>223</v>
      </c>
      <c r="G390" t="s">
        <v>223</v>
      </c>
      <c r="H390" t="s">
        <v>223</v>
      </c>
      <c r="I390" t="s">
        <v>223</v>
      </c>
      <c r="J390" t="s">
        <v>223</v>
      </c>
      <c r="K390" t="s">
        <v>223</v>
      </c>
      <c r="L390" t="s">
        <v>223</v>
      </c>
      <c r="M390" t="s">
        <v>223</v>
      </c>
      <c r="N390" t="s">
        <v>223</v>
      </c>
      <c r="O390" t="s">
        <v>223</v>
      </c>
      <c r="P390" t="s">
        <v>223</v>
      </c>
      <c r="Q390" t="s">
        <v>223</v>
      </c>
      <c r="R390" t="s">
        <v>223</v>
      </c>
      <c r="S390" t="s">
        <v>223</v>
      </c>
      <c r="T390" t="s">
        <v>223</v>
      </c>
      <c r="U390" t="s">
        <v>223</v>
      </c>
      <c r="V390" t="s">
        <v>223</v>
      </c>
      <c r="W390" t="s">
        <v>223</v>
      </c>
      <c r="X390" t="s">
        <v>223</v>
      </c>
      <c r="Y390" t="s">
        <v>223</v>
      </c>
      <c r="Z390" t="s">
        <v>223</v>
      </c>
      <c r="AA390" t="s">
        <v>223</v>
      </c>
      <c r="AB390" t="s">
        <v>223</v>
      </c>
      <c r="AC390" t="s">
        <v>223</v>
      </c>
      <c r="AD390" t="s">
        <v>223</v>
      </c>
      <c r="AE390" t="s">
        <v>223</v>
      </c>
      <c r="AF390" t="s">
        <v>223</v>
      </c>
      <c r="AG390" t="s">
        <v>223</v>
      </c>
      <c r="AH390" t="s">
        <v>223</v>
      </c>
      <c r="AI390" t="s">
        <v>223</v>
      </c>
      <c r="AJ390" t="s">
        <v>223</v>
      </c>
      <c r="AK390" t="s">
        <v>223</v>
      </c>
      <c r="AL390" t="s">
        <v>223</v>
      </c>
      <c r="AM390" t="s">
        <v>223</v>
      </c>
      <c r="AN390" s="9">
        <v>17</v>
      </c>
    </row>
    <row r="391" spans="1:40">
      <c r="A391" t="s">
        <v>383</v>
      </c>
      <c r="B391">
        <v>18</v>
      </c>
      <c r="C391" t="s">
        <v>223</v>
      </c>
      <c r="D391" t="s">
        <v>223</v>
      </c>
      <c r="E391" t="s">
        <v>223</v>
      </c>
      <c r="F391" t="s">
        <v>223</v>
      </c>
      <c r="G391" t="s">
        <v>223</v>
      </c>
      <c r="H391" t="s">
        <v>223</v>
      </c>
      <c r="I391" t="s">
        <v>223</v>
      </c>
      <c r="J391" t="s">
        <v>223</v>
      </c>
      <c r="K391" t="s">
        <v>223</v>
      </c>
      <c r="L391" t="s">
        <v>223</v>
      </c>
      <c r="M391" t="s">
        <v>223</v>
      </c>
      <c r="N391" t="s">
        <v>223</v>
      </c>
      <c r="O391" t="s">
        <v>223</v>
      </c>
      <c r="P391" t="s">
        <v>223</v>
      </c>
      <c r="Q391" t="s">
        <v>223</v>
      </c>
      <c r="R391" t="s">
        <v>223</v>
      </c>
      <c r="S391" t="s">
        <v>223</v>
      </c>
      <c r="T391" t="s">
        <v>223</v>
      </c>
      <c r="U391" t="s">
        <v>223</v>
      </c>
      <c r="V391" t="s">
        <v>223</v>
      </c>
      <c r="W391" t="s">
        <v>223</v>
      </c>
      <c r="X391" t="s">
        <v>223</v>
      </c>
      <c r="Y391" t="s">
        <v>223</v>
      </c>
      <c r="Z391" t="s">
        <v>223</v>
      </c>
      <c r="AA391" t="s">
        <v>223</v>
      </c>
      <c r="AB391" t="s">
        <v>223</v>
      </c>
      <c r="AC391" t="s">
        <v>223</v>
      </c>
      <c r="AD391" t="s">
        <v>223</v>
      </c>
      <c r="AE391" t="s">
        <v>223</v>
      </c>
      <c r="AF391" t="s">
        <v>223</v>
      </c>
      <c r="AG391" t="s">
        <v>223</v>
      </c>
      <c r="AH391" t="s">
        <v>223</v>
      </c>
      <c r="AI391" t="s">
        <v>223</v>
      </c>
      <c r="AJ391" t="s">
        <v>223</v>
      </c>
      <c r="AK391" t="s">
        <v>223</v>
      </c>
      <c r="AL391" t="s">
        <v>223</v>
      </c>
      <c r="AM391" t="s">
        <v>223</v>
      </c>
      <c r="AN391" s="9">
        <v>18</v>
      </c>
    </row>
    <row r="392" spans="1:40">
      <c r="A392" t="s">
        <v>383</v>
      </c>
      <c r="B392">
        <v>19</v>
      </c>
      <c r="C392" t="s">
        <v>223</v>
      </c>
      <c r="D392" t="s">
        <v>223</v>
      </c>
      <c r="E392" t="s">
        <v>223</v>
      </c>
      <c r="F392" t="s">
        <v>223</v>
      </c>
      <c r="G392" t="s">
        <v>223</v>
      </c>
      <c r="H392" t="s">
        <v>223</v>
      </c>
      <c r="I392" t="s">
        <v>223</v>
      </c>
      <c r="J392" t="s">
        <v>223</v>
      </c>
      <c r="K392" t="s">
        <v>223</v>
      </c>
      <c r="L392" t="s">
        <v>223</v>
      </c>
      <c r="M392" t="s">
        <v>223</v>
      </c>
      <c r="N392" t="s">
        <v>223</v>
      </c>
      <c r="O392" t="s">
        <v>223</v>
      </c>
      <c r="P392" t="s">
        <v>223</v>
      </c>
      <c r="Q392" t="s">
        <v>223</v>
      </c>
      <c r="R392" t="s">
        <v>223</v>
      </c>
      <c r="S392" t="s">
        <v>223</v>
      </c>
      <c r="T392" t="s">
        <v>223</v>
      </c>
      <c r="U392" t="s">
        <v>223</v>
      </c>
      <c r="V392" t="s">
        <v>223</v>
      </c>
      <c r="W392" t="s">
        <v>223</v>
      </c>
      <c r="X392" t="s">
        <v>223</v>
      </c>
      <c r="Y392" t="s">
        <v>223</v>
      </c>
      <c r="Z392" t="s">
        <v>223</v>
      </c>
      <c r="AA392" t="s">
        <v>223</v>
      </c>
      <c r="AB392" t="s">
        <v>223</v>
      </c>
      <c r="AC392" t="s">
        <v>223</v>
      </c>
      <c r="AD392" t="s">
        <v>223</v>
      </c>
      <c r="AE392" t="s">
        <v>223</v>
      </c>
      <c r="AF392" t="s">
        <v>223</v>
      </c>
      <c r="AG392" t="s">
        <v>223</v>
      </c>
      <c r="AH392" t="s">
        <v>223</v>
      </c>
      <c r="AI392" t="s">
        <v>223</v>
      </c>
      <c r="AJ392" t="s">
        <v>223</v>
      </c>
      <c r="AK392" t="s">
        <v>223</v>
      </c>
      <c r="AL392" t="s">
        <v>223</v>
      </c>
      <c r="AM392" t="s">
        <v>223</v>
      </c>
      <c r="AN392" s="9">
        <v>19</v>
      </c>
    </row>
    <row r="393" spans="1:40">
      <c r="A393" t="s">
        <v>383</v>
      </c>
      <c r="B393">
        <v>20</v>
      </c>
      <c r="C393" t="s">
        <v>223</v>
      </c>
      <c r="D393" t="s">
        <v>223</v>
      </c>
      <c r="E393" t="s">
        <v>223</v>
      </c>
      <c r="F393" t="s">
        <v>223</v>
      </c>
      <c r="G393" t="s">
        <v>223</v>
      </c>
      <c r="H393" t="s">
        <v>223</v>
      </c>
      <c r="I393" t="s">
        <v>223</v>
      </c>
      <c r="J393" t="s">
        <v>223</v>
      </c>
      <c r="K393" t="s">
        <v>223</v>
      </c>
      <c r="L393" t="s">
        <v>223</v>
      </c>
      <c r="M393" t="s">
        <v>223</v>
      </c>
      <c r="N393" t="s">
        <v>223</v>
      </c>
      <c r="O393" t="s">
        <v>223</v>
      </c>
      <c r="P393" t="s">
        <v>223</v>
      </c>
      <c r="Q393" t="s">
        <v>223</v>
      </c>
      <c r="R393" t="s">
        <v>223</v>
      </c>
      <c r="S393" t="s">
        <v>223</v>
      </c>
      <c r="T393" t="s">
        <v>223</v>
      </c>
      <c r="U393" t="s">
        <v>223</v>
      </c>
      <c r="V393" t="s">
        <v>223</v>
      </c>
      <c r="W393" t="s">
        <v>223</v>
      </c>
      <c r="X393" t="s">
        <v>223</v>
      </c>
      <c r="Y393" t="s">
        <v>223</v>
      </c>
      <c r="Z393" t="s">
        <v>223</v>
      </c>
      <c r="AA393" t="s">
        <v>223</v>
      </c>
      <c r="AB393" t="s">
        <v>223</v>
      </c>
      <c r="AC393" t="s">
        <v>223</v>
      </c>
      <c r="AD393" t="s">
        <v>223</v>
      </c>
      <c r="AE393" t="s">
        <v>223</v>
      </c>
      <c r="AF393" t="s">
        <v>223</v>
      </c>
      <c r="AG393" t="s">
        <v>223</v>
      </c>
      <c r="AH393" t="s">
        <v>223</v>
      </c>
      <c r="AI393" t="s">
        <v>223</v>
      </c>
      <c r="AJ393" t="s">
        <v>223</v>
      </c>
      <c r="AK393" t="s">
        <v>223</v>
      </c>
      <c r="AL393" t="s">
        <v>223</v>
      </c>
      <c r="AM393" t="s">
        <v>223</v>
      </c>
      <c r="AN393" s="9">
        <v>20</v>
      </c>
    </row>
    <row r="394" spans="1:40">
      <c r="A394" t="s">
        <v>383</v>
      </c>
      <c r="B394">
        <v>21</v>
      </c>
      <c r="C394" t="s">
        <v>223</v>
      </c>
      <c r="D394" t="s">
        <v>223</v>
      </c>
      <c r="E394" t="s">
        <v>223</v>
      </c>
      <c r="F394" t="s">
        <v>223</v>
      </c>
      <c r="G394" t="s">
        <v>223</v>
      </c>
      <c r="H394" t="s">
        <v>223</v>
      </c>
      <c r="I394" t="s">
        <v>223</v>
      </c>
      <c r="J394" t="s">
        <v>223</v>
      </c>
      <c r="K394" t="s">
        <v>223</v>
      </c>
      <c r="L394" t="s">
        <v>223</v>
      </c>
      <c r="M394" t="s">
        <v>223</v>
      </c>
      <c r="N394" t="s">
        <v>223</v>
      </c>
      <c r="O394" t="s">
        <v>223</v>
      </c>
      <c r="P394" t="s">
        <v>223</v>
      </c>
      <c r="Q394" t="s">
        <v>223</v>
      </c>
      <c r="R394" t="s">
        <v>223</v>
      </c>
      <c r="S394" t="s">
        <v>223</v>
      </c>
      <c r="T394" t="s">
        <v>223</v>
      </c>
      <c r="U394" t="s">
        <v>223</v>
      </c>
      <c r="V394" t="s">
        <v>223</v>
      </c>
      <c r="W394" t="s">
        <v>223</v>
      </c>
      <c r="X394" t="s">
        <v>223</v>
      </c>
      <c r="Y394" t="s">
        <v>223</v>
      </c>
      <c r="Z394" t="s">
        <v>223</v>
      </c>
      <c r="AA394" t="s">
        <v>223</v>
      </c>
      <c r="AB394" t="s">
        <v>223</v>
      </c>
      <c r="AC394" t="s">
        <v>223</v>
      </c>
      <c r="AD394" t="s">
        <v>223</v>
      </c>
      <c r="AE394" t="s">
        <v>223</v>
      </c>
      <c r="AF394" t="s">
        <v>223</v>
      </c>
      <c r="AG394" t="s">
        <v>223</v>
      </c>
      <c r="AH394" t="s">
        <v>223</v>
      </c>
      <c r="AI394" t="s">
        <v>223</v>
      </c>
      <c r="AJ394" t="s">
        <v>223</v>
      </c>
      <c r="AK394" t="s">
        <v>223</v>
      </c>
      <c r="AL394" t="s">
        <v>223</v>
      </c>
      <c r="AM394" t="s">
        <v>223</v>
      </c>
      <c r="AN394" s="9">
        <v>21</v>
      </c>
    </row>
    <row r="395" spans="1:40">
      <c r="A395" t="s">
        <v>383</v>
      </c>
      <c r="B395">
        <v>22</v>
      </c>
      <c r="C395" t="s">
        <v>223</v>
      </c>
      <c r="D395" t="s">
        <v>223</v>
      </c>
      <c r="E395" t="s">
        <v>223</v>
      </c>
      <c r="F395" t="s">
        <v>223</v>
      </c>
      <c r="G395" t="s">
        <v>223</v>
      </c>
      <c r="H395" t="s">
        <v>223</v>
      </c>
      <c r="I395" t="s">
        <v>223</v>
      </c>
      <c r="J395" t="s">
        <v>223</v>
      </c>
      <c r="K395" t="s">
        <v>223</v>
      </c>
      <c r="L395" t="s">
        <v>223</v>
      </c>
      <c r="M395" t="s">
        <v>223</v>
      </c>
      <c r="N395" t="s">
        <v>223</v>
      </c>
      <c r="O395" t="s">
        <v>223</v>
      </c>
      <c r="P395" t="s">
        <v>223</v>
      </c>
      <c r="Q395" t="s">
        <v>223</v>
      </c>
      <c r="R395" t="s">
        <v>223</v>
      </c>
      <c r="S395" t="s">
        <v>223</v>
      </c>
      <c r="T395" t="s">
        <v>223</v>
      </c>
      <c r="U395" t="s">
        <v>223</v>
      </c>
      <c r="V395" t="s">
        <v>223</v>
      </c>
      <c r="W395" t="s">
        <v>223</v>
      </c>
      <c r="X395" t="s">
        <v>223</v>
      </c>
      <c r="Y395" t="s">
        <v>223</v>
      </c>
      <c r="Z395" t="s">
        <v>223</v>
      </c>
      <c r="AA395" t="s">
        <v>223</v>
      </c>
      <c r="AB395" t="s">
        <v>223</v>
      </c>
      <c r="AC395" t="s">
        <v>223</v>
      </c>
      <c r="AD395" t="s">
        <v>223</v>
      </c>
      <c r="AE395" t="s">
        <v>223</v>
      </c>
      <c r="AF395" t="s">
        <v>223</v>
      </c>
      <c r="AG395" t="s">
        <v>223</v>
      </c>
      <c r="AH395" t="s">
        <v>223</v>
      </c>
      <c r="AI395" t="s">
        <v>223</v>
      </c>
      <c r="AJ395" t="s">
        <v>223</v>
      </c>
      <c r="AK395" t="s">
        <v>223</v>
      </c>
      <c r="AL395" t="s">
        <v>223</v>
      </c>
      <c r="AM395" t="s">
        <v>223</v>
      </c>
      <c r="AN395" s="9">
        <v>22</v>
      </c>
    </row>
    <row r="396" spans="1:40">
      <c r="A396" t="s">
        <v>383</v>
      </c>
      <c r="B396">
        <v>23</v>
      </c>
      <c r="C396" t="s">
        <v>223</v>
      </c>
      <c r="D396" t="s">
        <v>223</v>
      </c>
      <c r="E396" t="s">
        <v>223</v>
      </c>
      <c r="F396" t="s">
        <v>223</v>
      </c>
      <c r="G396" t="s">
        <v>223</v>
      </c>
      <c r="H396" t="s">
        <v>223</v>
      </c>
      <c r="I396" t="s">
        <v>223</v>
      </c>
      <c r="J396" t="s">
        <v>223</v>
      </c>
      <c r="K396" t="s">
        <v>223</v>
      </c>
      <c r="L396" t="s">
        <v>223</v>
      </c>
      <c r="M396" t="s">
        <v>223</v>
      </c>
      <c r="N396" t="s">
        <v>223</v>
      </c>
      <c r="O396" t="s">
        <v>223</v>
      </c>
      <c r="P396" t="s">
        <v>223</v>
      </c>
      <c r="Q396" t="s">
        <v>223</v>
      </c>
      <c r="R396" t="s">
        <v>223</v>
      </c>
      <c r="S396" t="s">
        <v>223</v>
      </c>
      <c r="T396" t="s">
        <v>223</v>
      </c>
      <c r="U396" t="s">
        <v>223</v>
      </c>
      <c r="V396" t="s">
        <v>223</v>
      </c>
      <c r="W396" t="s">
        <v>223</v>
      </c>
      <c r="X396" t="s">
        <v>223</v>
      </c>
      <c r="Y396" t="s">
        <v>223</v>
      </c>
      <c r="Z396" t="s">
        <v>223</v>
      </c>
      <c r="AA396" t="s">
        <v>223</v>
      </c>
      <c r="AB396" t="s">
        <v>223</v>
      </c>
      <c r="AC396" t="s">
        <v>223</v>
      </c>
      <c r="AD396" t="s">
        <v>223</v>
      </c>
      <c r="AE396" t="s">
        <v>223</v>
      </c>
      <c r="AF396" t="s">
        <v>223</v>
      </c>
      <c r="AG396" t="s">
        <v>223</v>
      </c>
      <c r="AH396" t="s">
        <v>223</v>
      </c>
      <c r="AI396" t="s">
        <v>223</v>
      </c>
      <c r="AJ396" t="s">
        <v>223</v>
      </c>
      <c r="AK396" t="s">
        <v>223</v>
      </c>
      <c r="AL396" t="s">
        <v>223</v>
      </c>
      <c r="AM396" t="s">
        <v>223</v>
      </c>
      <c r="AN396" s="9">
        <v>23</v>
      </c>
    </row>
    <row r="397" spans="1:40">
      <c r="A397" t="s">
        <v>383</v>
      </c>
      <c r="B397">
        <v>24</v>
      </c>
      <c r="C397" t="s">
        <v>223</v>
      </c>
      <c r="D397" t="s">
        <v>223</v>
      </c>
      <c r="E397" t="s">
        <v>223</v>
      </c>
      <c r="F397" t="s">
        <v>223</v>
      </c>
      <c r="G397" t="s">
        <v>223</v>
      </c>
      <c r="H397" t="s">
        <v>223</v>
      </c>
      <c r="I397" t="s">
        <v>223</v>
      </c>
      <c r="J397" t="s">
        <v>223</v>
      </c>
      <c r="K397" t="s">
        <v>223</v>
      </c>
      <c r="L397" t="s">
        <v>223</v>
      </c>
      <c r="M397" t="s">
        <v>223</v>
      </c>
      <c r="N397" t="s">
        <v>223</v>
      </c>
      <c r="O397" t="s">
        <v>223</v>
      </c>
      <c r="P397" t="s">
        <v>223</v>
      </c>
      <c r="Q397" t="s">
        <v>223</v>
      </c>
      <c r="R397" t="s">
        <v>223</v>
      </c>
      <c r="S397" t="s">
        <v>223</v>
      </c>
      <c r="T397" t="s">
        <v>223</v>
      </c>
      <c r="U397" t="s">
        <v>223</v>
      </c>
      <c r="V397" t="s">
        <v>223</v>
      </c>
      <c r="W397" t="s">
        <v>223</v>
      </c>
      <c r="X397" t="s">
        <v>223</v>
      </c>
      <c r="Y397" t="s">
        <v>223</v>
      </c>
      <c r="Z397" t="s">
        <v>223</v>
      </c>
      <c r="AA397" t="s">
        <v>223</v>
      </c>
      <c r="AB397" t="s">
        <v>223</v>
      </c>
      <c r="AC397" t="s">
        <v>223</v>
      </c>
      <c r="AD397" t="s">
        <v>223</v>
      </c>
      <c r="AE397" t="s">
        <v>223</v>
      </c>
      <c r="AF397" t="s">
        <v>223</v>
      </c>
      <c r="AG397" t="s">
        <v>223</v>
      </c>
      <c r="AH397" t="s">
        <v>223</v>
      </c>
      <c r="AI397" t="s">
        <v>223</v>
      </c>
      <c r="AJ397" t="s">
        <v>223</v>
      </c>
      <c r="AK397" t="s">
        <v>223</v>
      </c>
      <c r="AL397" t="s">
        <v>223</v>
      </c>
      <c r="AM397" t="s">
        <v>223</v>
      </c>
      <c r="AN397" s="9">
        <v>24</v>
      </c>
    </row>
    <row r="398" spans="1:40">
      <c r="A398" t="s">
        <v>383</v>
      </c>
      <c r="B398">
        <v>25</v>
      </c>
      <c r="C398" t="s">
        <v>223</v>
      </c>
      <c r="D398" t="s">
        <v>223</v>
      </c>
      <c r="E398" t="s">
        <v>223</v>
      </c>
      <c r="F398" t="s">
        <v>223</v>
      </c>
      <c r="G398" t="s">
        <v>223</v>
      </c>
      <c r="H398" t="s">
        <v>223</v>
      </c>
      <c r="I398" t="s">
        <v>223</v>
      </c>
      <c r="J398" t="s">
        <v>223</v>
      </c>
      <c r="K398" t="s">
        <v>223</v>
      </c>
      <c r="L398" t="s">
        <v>223</v>
      </c>
      <c r="M398" t="s">
        <v>223</v>
      </c>
      <c r="N398" t="s">
        <v>223</v>
      </c>
      <c r="O398" t="s">
        <v>223</v>
      </c>
      <c r="P398" t="s">
        <v>223</v>
      </c>
      <c r="Q398" t="s">
        <v>223</v>
      </c>
      <c r="R398" t="s">
        <v>223</v>
      </c>
      <c r="S398" t="s">
        <v>223</v>
      </c>
      <c r="T398" t="s">
        <v>223</v>
      </c>
      <c r="U398" t="s">
        <v>223</v>
      </c>
      <c r="V398" t="s">
        <v>223</v>
      </c>
      <c r="W398" t="s">
        <v>223</v>
      </c>
      <c r="X398" t="s">
        <v>223</v>
      </c>
      <c r="Y398" t="s">
        <v>223</v>
      </c>
      <c r="Z398" t="s">
        <v>223</v>
      </c>
      <c r="AA398" t="s">
        <v>223</v>
      </c>
      <c r="AB398" t="s">
        <v>223</v>
      </c>
      <c r="AC398" t="s">
        <v>223</v>
      </c>
      <c r="AD398" t="s">
        <v>223</v>
      </c>
      <c r="AE398" t="s">
        <v>223</v>
      </c>
      <c r="AF398" t="s">
        <v>223</v>
      </c>
      <c r="AG398" t="s">
        <v>223</v>
      </c>
      <c r="AH398" t="s">
        <v>223</v>
      </c>
      <c r="AI398" t="s">
        <v>223</v>
      </c>
      <c r="AJ398" t="s">
        <v>223</v>
      </c>
      <c r="AK398" t="s">
        <v>223</v>
      </c>
      <c r="AL398" t="s">
        <v>223</v>
      </c>
      <c r="AM398" t="s">
        <v>223</v>
      </c>
      <c r="AN398" s="9">
        <v>25</v>
      </c>
    </row>
    <row r="399" spans="1:40">
      <c r="A399" t="s">
        <v>383</v>
      </c>
      <c r="B399">
        <v>26</v>
      </c>
      <c r="C399" t="s">
        <v>223</v>
      </c>
      <c r="D399" t="s">
        <v>223</v>
      </c>
      <c r="E399" t="s">
        <v>223</v>
      </c>
      <c r="F399" t="s">
        <v>223</v>
      </c>
      <c r="G399" t="s">
        <v>223</v>
      </c>
      <c r="H399" t="s">
        <v>223</v>
      </c>
      <c r="I399" t="s">
        <v>223</v>
      </c>
      <c r="J399" t="s">
        <v>223</v>
      </c>
      <c r="K399" t="s">
        <v>223</v>
      </c>
      <c r="L399" t="s">
        <v>223</v>
      </c>
      <c r="M399" t="s">
        <v>223</v>
      </c>
      <c r="N399" t="s">
        <v>223</v>
      </c>
      <c r="O399" t="s">
        <v>223</v>
      </c>
      <c r="P399" t="s">
        <v>223</v>
      </c>
      <c r="Q399" t="s">
        <v>223</v>
      </c>
      <c r="R399" t="s">
        <v>223</v>
      </c>
      <c r="S399" t="s">
        <v>223</v>
      </c>
      <c r="T399" t="s">
        <v>223</v>
      </c>
      <c r="U399" t="s">
        <v>223</v>
      </c>
      <c r="V399" t="s">
        <v>223</v>
      </c>
      <c r="W399" t="s">
        <v>223</v>
      </c>
      <c r="X399" t="s">
        <v>223</v>
      </c>
      <c r="Y399" t="s">
        <v>223</v>
      </c>
      <c r="Z399" t="s">
        <v>223</v>
      </c>
      <c r="AA399" t="s">
        <v>223</v>
      </c>
      <c r="AB399" t="s">
        <v>223</v>
      </c>
      <c r="AC399" t="s">
        <v>223</v>
      </c>
      <c r="AD399" t="s">
        <v>223</v>
      </c>
      <c r="AE399" t="s">
        <v>223</v>
      </c>
      <c r="AF399" t="s">
        <v>223</v>
      </c>
      <c r="AG399" t="s">
        <v>223</v>
      </c>
      <c r="AH399" t="s">
        <v>223</v>
      </c>
      <c r="AI399" t="s">
        <v>223</v>
      </c>
      <c r="AJ399" t="s">
        <v>223</v>
      </c>
      <c r="AK399" t="s">
        <v>223</v>
      </c>
      <c r="AL399" t="s">
        <v>223</v>
      </c>
      <c r="AM399" t="s">
        <v>223</v>
      </c>
      <c r="AN399" s="9">
        <v>26</v>
      </c>
    </row>
    <row r="400" spans="1:40">
      <c r="A400" t="s">
        <v>383</v>
      </c>
      <c r="B400">
        <v>27</v>
      </c>
      <c r="C400" t="s">
        <v>223</v>
      </c>
      <c r="D400" t="s">
        <v>223</v>
      </c>
      <c r="E400" t="s">
        <v>223</v>
      </c>
      <c r="F400" t="s">
        <v>223</v>
      </c>
      <c r="G400" t="s">
        <v>223</v>
      </c>
      <c r="H400" t="s">
        <v>223</v>
      </c>
      <c r="I400" t="s">
        <v>223</v>
      </c>
      <c r="J400" t="s">
        <v>223</v>
      </c>
      <c r="K400" t="s">
        <v>223</v>
      </c>
      <c r="L400" t="s">
        <v>223</v>
      </c>
      <c r="M400" t="s">
        <v>223</v>
      </c>
      <c r="N400" t="s">
        <v>223</v>
      </c>
      <c r="O400" t="s">
        <v>223</v>
      </c>
      <c r="P400" t="s">
        <v>223</v>
      </c>
      <c r="Q400" t="s">
        <v>223</v>
      </c>
      <c r="R400" t="s">
        <v>223</v>
      </c>
      <c r="S400" t="s">
        <v>223</v>
      </c>
      <c r="T400" t="s">
        <v>223</v>
      </c>
      <c r="U400" t="s">
        <v>223</v>
      </c>
      <c r="V400" t="s">
        <v>223</v>
      </c>
      <c r="W400" t="s">
        <v>223</v>
      </c>
      <c r="X400" t="s">
        <v>223</v>
      </c>
      <c r="Y400" t="s">
        <v>223</v>
      </c>
      <c r="Z400" t="s">
        <v>223</v>
      </c>
      <c r="AA400" t="s">
        <v>223</v>
      </c>
      <c r="AB400" t="s">
        <v>223</v>
      </c>
      <c r="AC400" t="s">
        <v>223</v>
      </c>
      <c r="AD400" t="s">
        <v>223</v>
      </c>
      <c r="AE400" t="s">
        <v>223</v>
      </c>
      <c r="AF400" t="s">
        <v>223</v>
      </c>
      <c r="AG400" t="s">
        <v>223</v>
      </c>
      <c r="AH400" t="s">
        <v>223</v>
      </c>
      <c r="AI400" t="s">
        <v>223</v>
      </c>
      <c r="AJ400" t="s">
        <v>223</v>
      </c>
      <c r="AK400" t="s">
        <v>223</v>
      </c>
      <c r="AL400" t="s">
        <v>223</v>
      </c>
      <c r="AM400" t="s">
        <v>223</v>
      </c>
      <c r="AN400" s="9">
        <v>27</v>
      </c>
    </row>
    <row r="401" spans="1:40">
      <c r="A401" t="s">
        <v>383</v>
      </c>
      <c r="B401">
        <v>28</v>
      </c>
      <c r="C401" t="s">
        <v>223</v>
      </c>
      <c r="D401" t="s">
        <v>223</v>
      </c>
      <c r="E401" t="s">
        <v>223</v>
      </c>
      <c r="F401" t="s">
        <v>223</v>
      </c>
      <c r="G401" t="s">
        <v>223</v>
      </c>
      <c r="H401" t="s">
        <v>223</v>
      </c>
      <c r="I401" t="s">
        <v>223</v>
      </c>
      <c r="J401" t="s">
        <v>223</v>
      </c>
      <c r="K401" t="s">
        <v>223</v>
      </c>
      <c r="L401" t="s">
        <v>223</v>
      </c>
      <c r="M401" t="s">
        <v>223</v>
      </c>
      <c r="N401" t="s">
        <v>223</v>
      </c>
      <c r="O401" t="s">
        <v>223</v>
      </c>
      <c r="P401" t="s">
        <v>223</v>
      </c>
      <c r="Q401" t="s">
        <v>223</v>
      </c>
      <c r="R401" t="s">
        <v>223</v>
      </c>
      <c r="S401" t="s">
        <v>223</v>
      </c>
      <c r="T401" t="s">
        <v>223</v>
      </c>
      <c r="U401" t="s">
        <v>223</v>
      </c>
      <c r="V401" t="s">
        <v>223</v>
      </c>
      <c r="W401" t="s">
        <v>223</v>
      </c>
      <c r="X401" t="s">
        <v>223</v>
      </c>
      <c r="Y401" t="s">
        <v>223</v>
      </c>
      <c r="Z401" t="s">
        <v>223</v>
      </c>
      <c r="AA401" t="s">
        <v>223</v>
      </c>
      <c r="AB401" t="s">
        <v>223</v>
      </c>
      <c r="AC401" t="s">
        <v>223</v>
      </c>
      <c r="AD401" t="s">
        <v>223</v>
      </c>
      <c r="AE401" t="s">
        <v>223</v>
      </c>
      <c r="AF401" t="s">
        <v>223</v>
      </c>
      <c r="AG401" t="s">
        <v>223</v>
      </c>
      <c r="AH401" t="s">
        <v>223</v>
      </c>
      <c r="AI401" t="s">
        <v>223</v>
      </c>
      <c r="AJ401" t="s">
        <v>223</v>
      </c>
      <c r="AK401" t="s">
        <v>223</v>
      </c>
      <c r="AL401" t="s">
        <v>223</v>
      </c>
      <c r="AM401" t="s">
        <v>223</v>
      </c>
      <c r="AN401" s="9">
        <v>28</v>
      </c>
    </row>
    <row r="402" spans="1:40">
      <c r="A402" t="s">
        <v>383</v>
      </c>
      <c r="B402">
        <v>29</v>
      </c>
      <c r="C402" t="s">
        <v>223</v>
      </c>
      <c r="D402" t="s">
        <v>223</v>
      </c>
      <c r="E402" t="s">
        <v>223</v>
      </c>
      <c r="F402" t="s">
        <v>223</v>
      </c>
      <c r="G402" t="s">
        <v>223</v>
      </c>
      <c r="H402" t="s">
        <v>223</v>
      </c>
      <c r="I402" t="s">
        <v>223</v>
      </c>
      <c r="J402" t="s">
        <v>223</v>
      </c>
      <c r="K402" t="s">
        <v>223</v>
      </c>
      <c r="L402" t="s">
        <v>223</v>
      </c>
      <c r="M402" t="s">
        <v>223</v>
      </c>
      <c r="N402" t="s">
        <v>223</v>
      </c>
      <c r="O402" t="s">
        <v>223</v>
      </c>
      <c r="P402" t="s">
        <v>223</v>
      </c>
      <c r="Q402" t="s">
        <v>223</v>
      </c>
      <c r="R402" t="s">
        <v>223</v>
      </c>
      <c r="S402" t="s">
        <v>223</v>
      </c>
      <c r="T402" t="s">
        <v>223</v>
      </c>
      <c r="U402" t="s">
        <v>223</v>
      </c>
      <c r="V402" t="s">
        <v>223</v>
      </c>
      <c r="W402" t="s">
        <v>223</v>
      </c>
      <c r="X402" t="s">
        <v>223</v>
      </c>
      <c r="Y402" t="s">
        <v>223</v>
      </c>
      <c r="Z402" t="s">
        <v>223</v>
      </c>
      <c r="AA402" t="s">
        <v>223</v>
      </c>
      <c r="AB402" t="s">
        <v>223</v>
      </c>
      <c r="AC402" t="s">
        <v>223</v>
      </c>
      <c r="AD402" t="s">
        <v>223</v>
      </c>
      <c r="AE402" t="s">
        <v>223</v>
      </c>
      <c r="AF402" t="s">
        <v>223</v>
      </c>
      <c r="AG402" t="s">
        <v>223</v>
      </c>
      <c r="AH402" t="s">
        <v>223</v>
      </c>
      <c r="AI402" t="s">
        <v>223</v>
      </c>
      <c r="AJ402" t="s">
        <v>223</v>
      </c>
      <c r="AK402" t="s">
        <v>223</v>
      </c>
      <c r="AL402" t="s">
        <v>223</v>
      </c>
      <c r="AM402" t="s">
        <v>223</v>
      </c>
      <c r="AN402" s="9">
        <v>29</v>
      </c>
    </row>
    <row r="403" spans="1:40">
      <c r="A403" t="s">
        <v>383</v>
      </c>
      <c r="B403">
        <v>30</v>
      </c>
      <c r="C403" t="s">
        <v>223</v>
      </c>
      <c r="D403" t="s">
        <v>223</v>
      </c>
      <c r="E403" t="s">
        <v>223</v>
      </c>
      <c r="F403" t="s">
        <v>223</v>
      </c>
      <c r="G403" t="s">
        <v>223</v>
      </c>
      <c r="H403" t="s">
        <v>223</v>
      </c>
      <c r="I403" t="s">
        <v>223</v>
      </c>
      <c r="J403" t="s">
        <v>223</v>
      </c>
      <c r="K403" t="s">
        <v>223</v>
      </c>
      <c r="L403" t="s">
        <v>223</v>
      </c>
      <c r="M403" t="s">
        <v>223</v>
      </c>
      <c r="N403" t="s">
        <v>223</v>
      </c>
      <c r="O403" t="s">
        <v>223</v>
      </c>
      <c r="P403" t="s">
        <v>223</v>
      </c>
      <c r="Q403" t="s">
        <v>223</v>
      </c>
      <c r="R403" t="s">
        <v>223</v>
      </c>
      <c r="S403" t="s">
        <v>223</v>
      </c>
      <c r="T403" t="s">
        <v>223</v>
      </c>
      <c r="U403" t="s">
        <v>223</v>
      </c>
      <c r="V403" t="s">
        <v>223</v>
      </c>
      <c r="W403" t="s">
        <v>223</v>
      </c>
      <c r="X403" t="s">
        <v>223</v>
      </c>
      <c r="Y403" t="s">
        <v>223</v>
      </c>
      <c r="Z403" t="s">
        <v>223</v>
      </c>
      <c r="AA403" t="s">
        <v>223</v>
      </c>
      <c r="AB403" t="s">
        <v>223</v>
      </c>
      <c r="AC403" t="s">
        <v>223</v>
      </c>
      <c r="AD403" t="s">
        <v>223</v>
      </c>
      <c r="AE403" t="s">
        <v>223</v>
      </c>
      <c r="AF403" t="s">
        <v>223</v>
      </c>
      <c r="AG403" t="s">
        <v>223</v>
      </c>
      <c r="AH403" t="s">
        <v>223</v>
      </c>
      <c r="AI403" t="s">
        <v>223</v>
      </c>
      <c r="AJ403" t="s">
        <v>223</v>
      </c>
      <c r="AK403" t="s">
        <v>223</v>
      </c>
      <c r="AL403" t="s">
        <v>223</v>
      </c>
      <c r="AM403" t="s">
        <v>223</v>
      </c>
      <c r="AN403" s="9">
        <v>30</v>
      </c>
    </row>
    <row r="404" spans="1:40">
      <c r="A404" t="s">
        <v>383</v>
      </c>
      <c r="B404">
        <v>31</v>
      </c>
      <c r="C404" t="s">
        <v>223</v>
      </c>
      <c r="D404" t="s">
        <v>223</v>
      </c>
      <c r="E404" t="s">
        <v>223</v>
      </c>
      <c r="F404" t="s">
        <v>223</v>
      </c>
      <c r="G404" t="s">
        <v>223</v>
      </c>
      <c r="H404" t="s">
        <v>223</v>
      </c>
      <c r="I404" t="s">
        <v>223</v>
      </c>
      <c r="J404" t="s">
        <v>223</v>
      </c>
      <c r="K404" t="s">
        <v>223</v>
      </c>
      <c r="L404" t="s">
        <v>223</v>
      </c>
      <c r="M404" t="s">
        <v>223</v>
      </c>
      <c r="N404" t="s">
        <v>223</v>
      </c>
      <c r="O404" t="s">
        <v>223</v>
      </c>
      <c r="P404" t="s">
        <v>223</v>
      </c>
      <c r="Q404" t="s">
        <v>223</v>
      </c>
      <c r="R404" t="s">
        <v>223</v>
      </c>
      <c r="S404" t="s">
        <v>223</v>
      </c>
      <c r="T404" t="s">
        <v>223</v>
      </c>
      <c r="U404" t="s">
        <v>223</v>
      </c>
      <c r="V404" t="s">
        <v>223</v>
      </c>
      <c r="W404" t="s">
        <v>223</v>
      </c>
      <c r="X404" t="s">
        <v>223</v>
      </c>
      <c r="Y404" t="s">
        <v>223</v>
      </c>
      <c r="Z404" t="s">
        <v>223</v>
      </c>
      <c r="AA404" t="s">
        <v>223</v>
      </c>
      <c r="AB404" t="s">
        <v>223</v>
      </c>
      <c r="AC404" t="s">
        <v>223</v>
      </c>
      <c r="AD404" t="s">
        <v>223</v>
      </c>
      <c r="AE404" t="s">
        <v>223</v>
      </c>
      <c r="AF404" t="s">
        <v>223</v>
      </c>
      <c r="AG404" t="s">
        <v>223</v>
      </c>
      <c r="AH404" t="s">
        <v>223</v>
      </c>
      <c r="AI404" t="s">
        <v>223</v>
      </c>
      <c r="AJ404" t="s">
        <v>223</v>
      </c>
      <c r="AK404" t="s">
        <v>223</v>
      </c>
      <c r="AL404" t="s">
        <v>223</v>
      </c>
      <c r="AM404" t="s">
        <v>223</v>
      </c>
      <c r="AN404" s="9">
        <v>31</v>
      </c>
    </row>
    <row r="405" spans="1:40">
      <c r="A405" t="s">
        <v>383</v>
      </c>
      <c r="B405">
        <v>32</v>
      </c>
      <c r="C405" t="s">
        <v>223</v>
      </c>
      <c r="D405" t="s">
        <v>223</v>
      </c>
      <c r="E405" t="s">
        <v>223</v>
      </c>
      <c r="F405" t="s">
        <v>223</v>
      </c>
      <c r="G405" t="s">
        <v>223</v>
      </c>
      <c r="H405" t="s">
        <v>223</v>
      </c>
      <c r="I405" t="s">
        <v>223</v>
      </c>
      <c r="J405" t="s">
        <v>223</v>
      </c>
      <c r="K405" t="s">
        <v>223</v>
      </c>
      <c r="L405" t="s">
        <v>223</v>
      </c>
      <c r="M405" t="s">
        <v>223</v>
      </c>
      <c r="N405" t="s">
        <v>223</v>
      </c>
      <c r="O405" t="s">
        <v>223</v>
      </c>
      <c r="P405" t="s">
        <v>223</v>
      </c>
      <c r="Q405" t="s">
        <v>223</v>
      </c>
      <c r="R405" t="s">
        <v>223</v>
      </c>
      <c r="S405" t="s">
        <v>223</v>
      </c>
      <c r="T405" t="s">
        <v>223</v>
      </c>
      <c r="U405" t="s">
        <v>223</v>
      </c>
      <c r="V405" t="s">
        <v>223</v>
      </c>
      <c r="W405" t="s">
        <v>223</v>
      </c>
      <c r="X405" t="s">
        <v>223</v>
      </c>
      <c r="Y405" t="s">
        <v>223</v>
      </c>
      <c r="Z405" t="s">
        <v>223</v>
      </c>
      <c r="AA405" t="s">
        <v>223</v>
      </c>
      <c r="AB405" t="s">
        <v>223</v>
      </c>
      <c r="AC405" t="s">
        <v>223</v>
      </c>
      <c r="AD405" t="s">
        <v>223</v>
      </c>
      <c r="AE405" t="s">
        <v>223</v>
      </c>
      <c r="AF405" t="s">
        <v>223</v>
      </c>
      <c r="AG405" t="s">
        <v>223</v>
      </c>
      <c r="AH405" t="s">
        <v>223</v>
      </c>
      <c r="AI405" t="s">
        <v>223</v>
      </c>
      <c r="AJ405" t="s">
        <v>223</v>
      </c>
      <c r="AK405" t="s">
        <v>223</v>
      </c>
      <c r="AL405" t="s">
        <v>223</v>
      </c>
      <c r="AM405" t="s">
        <v>223</v>
      </c>
      <c r="AN405" s="9">
        <v>32</v>
      </c>
    </row>
    <row r="406" spans="1:40">
      <c r="A406" t="s">
        <v>383</v>
      </c>
      <c r="B406">
        <v>33</v>
      </c>
      <c r="C406" t="s">
        <v>223</v>
      </c>
      <c r="D406" t="s">
        <v>223</v>
      </c>
      <c r="E406" t="s">
        <v>223</v>
      </c>
      <c r="F406" t="s">
        <v>223</v>
      </c>
      <c r="G406" t="s">
        <v>223</v>
      </c>
      <c r="H406" t="s">
        <v>223</v>
      </c>
      <c r="I406" t="s">
        <v>223</v>
      </c>
      <c r="J406" t="s">
        <v>223</v>
      </c>
      <c r="K406" t="s">
        <v>223</v>
      </c>
      <c r="L406" t="s">
        <v>223</v>
      </c>
      <c r="M406" t="s">
        <v>223</v>
      </c>
      <c r="N406" t="s">
        <v>223</v>
      </c>
      <c r="O406" t="s">
        <v>223</v>
      </c>
      <c r="P406" t="s">
        <v>223</v>
      </c>
      <c r="Q406" t="s">
        <v>223</v>
      </c>
      <c r="R406" t="s">
        <v>223</v>
      </c>
      <c r="S406" t="s">
        <v>223</v>
      </c>
      <c r="T406" t="s">
        <v>223</v>
      </c>
      <c r="U406" t="s">
        <v>223</v>
      </c>
      <c r="V406" t="s">
        <v>223</v>
      </c>
      <c r="W406" t="s">
        <v>223</v>
      </c>
      <c r="X406" t="s">
        <v>223</v>
      </c>
      <c r="Y406" t="s">
        <v>223</v>
      </c>
      <c r="Z406" t="s">
        <v>223</v>
      </c>
      <c r="AA406" t="s">
        <v>223</v>
      </c>
      <c r="AB406" t="s">
        <v>223</v>
      </c>
      <c r="AC406" t="s">
        <v>223</v>
      </c>
      <c r="AD406" t="s">
        <v>223</v>
      </c>
      <c r="AE406" t="s">
        <v>223</v>
      </c>
      <c r="AF406" t="s">
        <v>223</v>
      </c>
      <c r="AG406" t="s">
        <v>223</v>
      </c>
      <c r="AH406" t="s">
        <v>223</v>
      </c>
      <c r="AI406" t="s">
        <v>223</v>
      </c>
      <c r="AJ406" t="s">
        <v>223</v>
      </c>
      <c r="AK406" t="s">
        <v>223</v>
      </c>
      <c r="AL406" t="s">
        <v>223</v>
      </c>
      <c r="AM406" t="s">
        <v>223</v>
      </c>
      <c r="AN406" s="9">
        <v>33</v>
      </c>
    </row>
    <row r="407" spans="1:40">
      <c r="A407" t="s">
        <v>383</v>
      </c>
      <c r="B407">
        <v>34</v>
      </c>
      <c r="C407" t="s">
        <v>223</v>
      </c>
      <c r="D407" t="s">
        <v>223</v>
      </c>
      <c r="E407" t="s">
        <v>223</v>
      </c>
      <c r="F407" t="s">
        <v>223</v>
      </c>
      <c r="G407" t="s">
        <v>223</v>
      </c>
      <c r="H407" t="s">
        <v>223</v>
      </c>
      <c r="I407" t="s">
        <v>223</v>
      </c>
      <c r="J407" t="s">
        <v>223</v>
      </c>
      <c r="K407" t="s">
        <v>223</v>
      </c>
      <c r="L407" t="s">
        <v>223</v>
      </c>
      <c r="M407" t="s">
        <v>223</v>
      </c>
      <c r="N407" t="s">
        <v>223</v>
      </c>
      <c r="O407" t="s">
        <v>223</v>
      </c>
      <c r="P407" t="s">
        <v>223</v>
      </c>
      <c r="Q407" t="s">
        <v>223</v>
      </c>
      <c r="R407" t="s">
        <v>223</v>
      </c>
      <c r="S407" t="s">
        <v>223</v>
      </c>
      <c r="T407" t="s">
        <v>223</v>
      </c>
      <c r="U407" t="s">
        <v>223</v>
      </c>
      <c r="V407" t="s">
        <v>223</v>
      </c>
      <c r="W407" t="s">
        <v>223</v>
      </c>
      <c r="X407" t="s">
        <v>223</v>
      </c>
      <c r="Y407" t="s">
        <v>223</v>
      </c>
      <c r="Z407" t="s">
        <v>223</v>
      </c>
      <c r="AA407" t="s">
        <v>223</v>
      </c>
      <c r="AB407" t="s">
        <v>223</v>
      </c>
      <c r="AC407" t="s">
        <v>223</v>
      </c>
      <c r="AD407" t="s">
        <v>223</v>
      </c>
      <c r="AE407" t="s">
        <v>223</v>
      </c>
      <c r="AF407" t="s">
        <v>223</v>
      </c>
      <c r="AG407" t="s">
        <v>223</v>
      </c>
      <c r="AH407" t="s">
        <v>223</v>
      </c>
      <c r="AI407" t="s">
        <v>223</v>
      </c>
      <c r="AJ407" t="s">
        <v>223</v>
      </c>
      <c r="AK407" t="s">
        <v>223</v>
      </c>
      <c r="AL407" t="s">
        <v>223</v>
      </c>
      <c r="AM407" t="s">
        <v>223</v>
      </c>
      <c r="AN407" s="9">
        <v>34</v>
      </c>
    </row>
    <row r="408" spans="1:40">
      <c r="A408" t="s">
        <v>383</v>
      </c>
      <c r="B408">
        <v>35</v>
      </c>
      <c r="C408" t="s">
        <v>223</v>
      </c>
      <c r="D408" t="s">
        <v>223</v>
      </c>
      <c r="E408" t="s">
        <v>223</v>
      </c>
      <c r="F408" t="s">
        <v>223</v>
      </c>
      <c r="G408" t="s">
        <v>223</v>
      </c>
      <c r="H408" t="s">
        <v>223</v>
      </c>
      <c r="I408" t="s">
        <v>223</v>
      </c>
      <c r="J408" t="s">
        <v>223</v>
      </c>
      <c r="K408" t="s">
        <v>223</v>
      </c>
      <c r="L408" t="s">
        <v>223</v>
      </c>
      <c r="M408" t="s">
        <v>223</v>
      </c>
      <c r="N408" t="s">
        <v>223</v>
      </c>
      <c r="O408" t="s">
        <v>223</v>
      </c>
      <c r="P408" t="s">
        <v>223</v>
      </c>
      <c r="Q408" t="s">
        <v>223</v>
      </c>
      <c r="R408" t="s">
        <v>223</v>
      </c>
      <c r="S408" t="s">
        <v>223</v>
      </c>
      <c r="T408" t="s">
        <v>223</v>
      </c>
      <c r="U408" t="s">
        <v>223</v>
      </c>
      <c r="V408" t="s">
        <v>223</v>
      </c>
      <c r="W408" t="s">
        <v>223</v>
      </c>
      <c r="X408" t="s">
        <v>223</v>
      </c>
      <c r="Y408" t="s">
        <v>223</v>
      </c>
      <c r="Z408" t="s">
        <v>223</v>
      </c>
      <c r="AA408" t="s">
        <v>223</v>
      </c>
      <c r="AB408" t="s">
        <v>223</v>
      </c>
      <c r="AC408" t="s">
        <v>223</v>
      </c>
      <c r="AD408" t="s">
        <v>223</v>
      </c>
      <c r="AE408" t="s">
        <v>223</v>
      </c>
      <c r="AF408" t="s">
        <v>223</v>
      </c>
      <c r="AG408" t="s">
        <v>223</v>
      </c>
      <c r="AH408" t="s">
        <v>223</v>
      </c>
      <c r="AI408" t="s">
        <v>223</v>
      </c>
      <c r="AJ408" t="s">
        <v>223</v>
      </c>
      <c r="AK408" t="s">
        <v>223</v>
      </c>
      <c r="AL408" t="s">
        <v>223</v>
      </c>
      <c r="AM408" t="s">
        <v>223</v>
      </c>
      <c r="AN408" s="9">
        <v>35</v>
      </c>
    </row>
    <row r="409" spans="1:40">
      <c r="A409" t="s">
        <v>383</v>
      </c>
      <c r="B409">
        <v>36</v>
      </c>
      <c r="C409" t="s">
        <v>223</v>
      </c>
      <c r="D409" t="s">
        <v>223</v>
      </c>
      <c r="E409" t="s">
        <v>223</v>
      </c>
      <c r="F409" t="s">
        <v>223</v>
      </c>
      <c r="G409" t="s">
        <v>223</v>
      </c>
      <c r="H409" t="s">
        <v>223</v>
      </c>
      <c r="I409" t="s">
        <v>223</v>
      </c>
      <c r="J409" t="s">
        <v>223</v>
      </c>
      <c r="K409" t="s">
        <v>223</v>
      </c>
      <c r="L409" t="s">
        <v>223</v>
      </c>
      <c r="M409" t="s">
        <v>223</v>
      </c>
      <c r="N409" t="s">
        <v>223</v>
      </c>
      <c r="O409" t="s">
        <v>223</v>
      </c>
      <c r="P409" t="s">
        <v>223</v>
      </c>
      <c r="Q409" t="s">
        <v>223</v>
      </c>
      <c r="R409" t="s">
        <v>223</v>
      </c>
      <c r="S409" t="s">
        <v>223</v>
      </c>
      <c r="T409" t="s">
        <v>223</v>
      </c>
      <c r="U409" t="s">
        <v>223</v>
      </c>
      <c r="V409" t="s">
        <v>223</v>
      </c>
      <c r="W409" t="s">
        <v>223</v>
      </c>
      <c r="X409" t="s">
        <v>223</v>
      </c>
      <c r="Y409" t="s">
        <v>223</v>
      </c>
      <c r="Z409" t="s">
        <v>223</v>
      </c>
      <c r="AA409" t="s">
        <v>223</v>
      </c>
      <c r="AB409" t="s">
        <v>223</v>
      </c>
      <c r="AC409" t="s">
        <v>223</v>
      </c>
      <c r="AD409" t="s">
        <v>223</v>
      </c>
      <c r="AE409" t="s">
        <v>223</v>
      </c>
      <c r="AF409" t="s">
        <v>223</v>
      </c>
      <c r="AG409" t="s">
        <v>223</v>
      </c>
      <c r="AH409" t="s">
        <v>223</v>
      </c>
      <c r="AI409" t="s">
        <v>223</v>
      </c>
      <c r="AJ409" t="s">
        <v>223</v>
      </c>
      <c r="AK409" t="s">
        <v>223</v>
      </c>
      <c r="AL409" t="s">
        <v>223</v>
      </c>
      <c r="AM409" t="s">
        <v>223</v>
      </c>
      <c r="AN409" s="9">
        <v>36</v>
      </c>
    </row>
    <row r="410" spans="1:40">
      <c r="A410" t="s">
        <v>383</v>
      </c>
      <c r="B410">
        <v>37</v>
      </c>
      <c r="C410" t="s">
        <v>223</v>
      </c>
      <c r="D410" t="s">
        <v>223</v>
      </c>
      <c r="E410" t="s">
        <v>223</v>
      </c>
      <c r="F410" t="s">
        <v>223</v>
      </c>
      <c r="G410" t="s">
        <v>223</v>
      </c>
      <c r="H410" t="s">
        <v>223</v>
      </c>
      <c r="I410" t="s">
        <v>223</v>
      </c>
      <c r="J410" t="s">
        <v>223</v>
      </c>
      <c r="K410" t="s">
        <v>223</v>
      </c>
      <c r="L410" t="s">
        <v>223</v>
      </c>
      <c r="M410" t="s">
        <v>223</v>
      </c>
      <c r="N410" t="s">
        <v>223</v>
      </c>
      <c r="O410" t="s">
        <v>223</v>
      </c>
      <c r="P410" t="s">
        <v>223</v>
      </c>
      <c r="Q410" t="s">
        <v>223</v>
      </c>
      <c r="R410" t="s">
        <v>223</v>
      </c>
      <c r="S410" t="s">
        <v>223</v>
      </c>
      <c r="T410" t="s">
        <v>223</v>
      </c>
      <c r="U410" t="s">
        <v>223</v>
      </c>
      <c r="V410" t="s">
        <v>223</v>
      </c>
      <c r="W410" t="s">
        <v>223</v>
      </c>
      <c r="X410" t="s">
        <v>223</v>
      </c>
      <c r="Y410" t="s">
        <v>223</v>
      </c>
      <c r="Z410" t="s">
        <v>223</v>
      </c>
      <c r="AA410" t="s">
        <v>223</v>
      </c>
      <c r="AB410" t="s">
        <v>223</v>
      </c>
      <c r="AC410" t="s">
        <v>223</v>
      </c>
      <c r="AD410" t="s">
        <v>223</v>
      </c>
      <c r="AE410" t="s">
        <v>223</v>
      </c>
      <c r="AF410" t="s">
        <v>223</v>
      </c>
      <c r="AG410" t="s">
        <v>223</v>
      </c>
      <c r="AH410" t="s">
        <v>223</v>
      </c>
      <c r="AI410" t="s">
        <v>223</v>
      </c>
      <c r="AJ410" t="s">
        <v>223</v>
      </c>
      <c r="AK410" t="s">
        <v>223</v>
      </c>
      <c r="AL410" t="s">
        <v>223</v>
      </c>
      <c r="AM410" t="s">
        <v>223</v>
      </c>
      <c r="AN410" s="9">
        <v>37</v>
      </c>
    </row>
    <row r="411" spans="1:40">
      <c r="A411" t="s">
        <v>383</v>
      </c>
      <c r="B411">
        <v>38</v>
      </c>
      <c r="C411" t="s">
        <v>223</v>
      </c>
      <c r="D411" t="s">
        <v>223</v>
      </c>
      <c r="E411" t="s">
        <v>223</v>
      </c>
      <c r="F411" t="s">
        <v>223</v>
      </c>
      <c r="G411" t="s">
        <v>223</v>
      </c>
      <c r="H411" t="s">
        <v>223</v>
      </c>
      <c r="I411" t="s">
        <v>223</v>
      </c>
      <c r="J411" t="s">
        <v>223</v>
      </c>
      <c r="K411" t="s">
        <v>223</v>
      </c>
      <c r="L411" t="s">
        <v>223</v>
      </c>
      <c r="M411" t="s">
        <v>223</v>
      </c>
      <c r="N411" t="s">
        <v>223</v>
      </c>
      <c r="O411" t="s">
        <v>223</v>
      </c>
      <c r="P411" t="s">
        <v>223</v>
      </c>
      <c r="Q411" t="s">
        <v>223</v>
      </c>
      <c r="R411" t="s">
        <v>223</v>
      </c>
      <c r="S411" t="s">
        <v>223</v>
      </c>
      <c r="T411" t="s">
        <v>223</v>
      </c>
      <c r="U411" t="s">
        <v>223</v>
      </c>
      <c r="V411" t="s">
        <v>223</v>
      </c>
      <c r="W411" t="s">
        <v>223</v>
      </c>
      <c r="X411" t="s">
        <v>223</v>
      </c>
      <c r="Y411" t="s">
        <v>223</v>
      </c>
      <c r="Z411" t="s">
        <v>223</v>
      </c>
      <c r="AA411" t="s">
        <v>223</v>
      </c>
      <c r="AB411" t="s">
        <v>223</v>
      </c>
      <c r="AC411" t="s">
        <v>223</v>
      </c>
      <c r="AD411" t="s">
        <v>223</v>
      </c>
      <c r="AE411" t="s">
        <v>223</v>
      </c>
      <c r="AF411" t="s">
        <v>223</v>
      </c>
      <c r="AG411" t="s">
        <v>223</v>
      </c>
      <c r="AH411" t="s">
        <v>223</v>
      </c>
      <c r="AI411" t="s">
        <v>223</v>
      </c>
      <c r="AJ411" t="s">
        <v>223</v>
      </c>
      <c r="AK411" t="s">
        <v>223</v>
      </c>
      <c r="AL411" t="s">
        <v>223</v>
      </c>
      <c r="AM411" t="s">
        <v>223</v>
      </c>
      <c r="AN411" s="9">
        <v>38</v>
      </c>
    </row>
    <row r="412" spans="1:40">
      <c r="A412" t="s">
        <v>383</v>
      </c>
      <c r="B412">
        <v>39</v>
      </c>
      <c r="C412" t="s">
        <v>223</v>
      </c>
      <c r="D412" t="s">
        <v>223</v>
      </c>
      <c r="E412" t="s">
        <v>223</v>
      </c>
      <c r="F412" t="s">
        <v>223</v>
      </c>
      <c r="G412" t="s">
        <v>223</v>
      </c>
      <c r="H412" t="s">
        <v>223</v>
      </c>
      <c r="I412" t="s">
        <v>223</v>
      </c>
      <c r="J412" t="s">
        <v>223</v>
      </c>
      <c r="K412" t="s">
        <v>223</v>
      </c>
      <c r="L412" t="s">
        <v>223</v>
      </c>
      <c r="M412" t="s">
        <v>223</v>
      </c>
      <c r="N412" t="s">
        <v>223</v>
      </c>
      <c r="O412" t="s">
        <v>223</v>
      </c>
      <c r="P412" t="s">
        <v>223</v>
      </c>
      <c r="Q412" t="s">
        <v>223</v>
      </c>
      <c r="R412" t="s">
        <v>223</v>
      </c>
      <c r="S412" t="s">
        <v>223</v>
      </c>
      <c r="T412" t="s">
        <v>223</v>
      </c>
      <c r="U412" t="s">
        <v>223</v>
      </c>
      <c r="V412" t="s">
        <v>223</v>
      </c>
      <c r="W412" t="s">
        <v>223</v>
      </c>
      <c r="X412" t="s">
        <v>223</v>
      </c>
      <c r="Y412" t="s">
        <v>223</v>
      </c>
      <c r="Z412" t="s">
        <v>223</v>
      </c>
      <c r="AA412" t="s">
        <v>223</v>
      </c>
      <c r="AB412" t="s">
        <v>223</v>
      </c>
      <c r="AC412" t="s">
        <v>223</v>
      </c>
      <c r="AD412" t="s">
        <v>223</v>
      </c>
      <c r="AE412" t="s">
        <v>223</v>
      </c>
      <c r="AF412" t="s">
        <v>223</v>
      </c>
      <c r="AG412" t="s">
        <v>223</v>
      </c>
      <c r="AH412" t="s">
        <v>223</v>
      </c>
      <c r="AI412" t="s">
        <v>223</v>
      </c>
      <c r="AJ412" t="s">
        <v>223</v>
      </c>
      <c r="AK412" t="s">
        <v>223</v>
      </c>
      <c r="AL412" t="s">
        <v>223</v>
      </c>
      <c r="AM412" t="s">
        <v>223</v>
      </c>
      <c r="AN412" s="9">
        <v>39</v>
      </c>
    </row>
    <row r="413" spans="1:40">
      <c r="A413" t="s">
        <v>383</v>
      </c>
      <c r="B413">
        <v>40</v>
      </c>
      <c r="C413" t="s">
        <v>223</v>
      </c>
      <c r="D413" t="s">
        <v>223</v>
      </c>
      <c r="E413" t="s">
        <v>223</v>
      </c>
      <c r="F413" t="s">
        <v>223</v>
      </c>
      <c r="G413" t="s">
        <v>223</v>
      </c>
      <c r="H413" t="s">
        <v>223</v>
      </c>
      <c r="I413" t="s">
        <v>223</v>
      </c>
      <c r="J413" t="s">
        <v>223</v>
      </c>
      <c r="K413" t="s">
        <v>223</v>
      </c>
      <c r="L413" t="s">
        <v>223</v>
      </c>
      <c r="M413" t="s">
        <v>223</v>
      </c>
      <c r="N413" t="s">
        <v>223</v>
      </c>
      <c r="O413" t="s">
        <v>223</v>
      </c>
      <c r="P413" t="s">
        <v>223</v>
      </c>
      <c r="Q413" t="s">
        <v>223</v>
      </c>
      <c r="R413" t="s">
        <v>223</v>
      </c>
      <c r="S413" t="s">
        <v>223</v>
      </c>
      <c r="T413" t="s">
        <v>223</v>
      </c>
      <c r="U413" t="s">
        <v>223</v>
      </c>
      <c r="V413" t="s">
        <v>223</v>
      </c>
      <c r="W413" t="s">
        <v>223</v>
      </c>
      <c r="X413" t="s">
        <v>223</v>
      </c>
      <c r="Y413" t="s">
        <v>223</v>
      </c>
      <c r="Z413" t="s">
        <v>223</v>
      </c>
      <c r="AA413" t="s">
        <v>223</v>
      </c>
      <c r="AB413" t="s">
        <v>223</v>
      </c>
      <c r="AC413" t="s">
        <v>223</v>
      </c>
      <c r="AD413" t="s">
        <v>223</v>
      </c>
      <c r="AE413" t="s">
        <v>223</v>
      </c>
      <c r="AF413" t="s">
        <v>223</v>
      </c>
      <c r="AG413" t="s">
        <v>223</v>
      </c>
      <c r="AH413" t="s">
        <v>223</v>
      </c>
      <c r="AI413" t="s">
        <v>223</v>
      </c>
      <c r="AJ413" t="s">
        <v>223</v>
      </c>
      <c r="AK413" t="s">
        <v>223</v>
      </c>
      <c r="AL413" t="s">
        <v>223</v>
      </c>
      <c r="AM413" t="s">
        <v>223</v>
      </c>
      <c r="AN413" s="9">
        <v>40</v>
      </c>
    </row>
    <row r="414" spans="1:40">
      <c r="A414" t="s">
        <v>383</v>
      </c>
      <c r="B414">
        <v>41</v>
      </c>
      <c r="C414" t="s">
        <v>223</v>
      </c>
      <c r="D414" t="s">
        <v>223</v>
      </c>
      <c r="E414" t="s">
        <v>223</v>
      </c>
      <c r="F414" t="s">
        <v>223</v>
      </c>
      <c r="G414" t="s">
        <v>223</v>
      </c>
      <c r="H414" t="s">
        <v>223</v>
      </c>
      <c r="I414" t="s">
        <v>223</v>
      </c>
      <c r="J414" t="s">
        <v>223</v>
      </c>
      <c r="K414" t="s">
        <v>223</v>
      </c>
      <c r="L414" t="s">
        <v>223</v>
      </c>
      <c r="M414" t="s">
        <v>223</v>
      </c>
      <c r="N414" t="s">
        <v>223</v>
      </c>
      <c r="O414" t="s">
        <v>223</v>
      </c>
      <c r="P414" t="s">
        <v>223</v>
      </c>
      <c r="Q414" t="s">
        <v>223</v>
      </c>
      <c r="R414" t="s">
        <v>223</v>
      </c>
      <c r="S414" t="s">
        <v>223</v>
      </c>
      <c r="T414" t="s">
        <v>223</v>
      </c>
      <c r="U414" t="s">
        <v>223</v>
      </c>
      <c r="V414" t="s">
        <v>223</v>
      </c>
      <c r="W414" t="s">
        <v>223</v>
      </c>
      <c r="X414" t="s">
        <v>223</v>
      </c>
      <c r="Y414" t="s">
        <v>223</v>
      </c>
      <c r="Z414" t="s">
        <v>223</v>
      </c>
      <c r="AA414" t="s">
        <v>223</v>
      </c>
      <c r="AB414" t="s">
        <v>223</v>
      </c>
      <c r="AC414" t="s">
        <v>223</v>
      </c>
      <c r="AD414" t="s">
        <v>223</v>
      </c>
      <c r="AE414" t="s">
        <v>223</v>
      </c>
      <c r="AF414" t="s">
        <v>223</v>
      </c>
      <c r="AG414" t="s">
        <v>223</v>
      </c>
      <c r="AH414" t="s">
        <v>223</v>
      </c>
      <c r="AI414" t="s">
        <v>223</v>
      </c>
      <c r="AJ414" t="s">
        <v>223</v>
      </c>
      <c r="AK414" t="s">
        <v>223</v>
      </c>
      <c r="AL414" t="s">
        <v>223</v>
      </c>
      <c r="AM414" t="s">
        <v>223</v>
      </c>
      <c r="AN414" s="9">
        <v>41</v>
      </c>
    </row>
    <row r="415" spans="1:40">
      <c r="A415" t="s">
        <v>383</v>
      </c>
      <c r="B415">
        <v>42</v>
      </c>
      <c r="C415" t="s">
        <v>223</v>
      </c>
      <c r="D415" t="s">
        <v>223</v>
      </c>
      <c r="E415" t="s">
        <v>223</v>
      </c>
      <c r="F415" t="s">
        <v>223</v>
      </c>
      <c r="G415" t="s">
        <v>223</v>
      </c>
      <c r="H415" t="s">
        <v>223</v>
      </c>
      <c r="I415" t="s">
        <v>223</v>
      </c>
      <c r="J415" t="s">
        <v>223</v>
      </c>
      <c r="K415" t="s">
        <v>223</v>
      </c>
      <c r="L415" t="s">
        <v>223</v>
      </c>
      <c r="M415" t="s">
        <v>223</v>
      </c>
      <c r="N415" t="s">
        <v>223</v>
      </c>
      <c r="O415" t="s">
        <v>223</v>
      </c>
      <c r="P415" t="s">
        <v>223</v>
      </c>
      <c r="Q415" t="s">
        <v>223</v>
      </c>
      <c r="R415" t="s">
        <v>223</v>
      </c>
      <c r="S415" t="s">
        <v>223</v>
      </c>
      <c r="T415" t="s">
        <v>223</v>
      </c>
      <c r="U415" t="s">
        <v>223</v>
      </c>
      <c r="V415" t="s">
        <v>223</v>
      </c>
      <c r="W415" t="s">
        <v>223</v>
      </c>
      <c r="X415" t="s">
        <v>223</v>
      </c>
      <c r="Y415" t="s">
        <v>223</v>
      </c>
      <c r="Z415" t="s">
        <v>223</v>
      </c>
      <c r="AA415" t="s">
        <v>223</v>
      </c>
      <c r="AB415" t="s">
        <v>223</v>
      </c>
      <c r="AC415" t="s">
        <v>223</v>
      </c>
      <c r="AD415" t="s">
        <v>223</v>
      </c>
      <c r="AE415" t="s">
        <v>223</v>
      </c>
      <c r="AF415" t="s">
        <v>223</v>
      </c>
      <c r="AG415" t="s">
        <v>223</v>
      </c>
      <c r="AH415" t="s">
        <v>223</v>
      </c>
      <c r="AI415" t="s">
        <v>223</v>
      </c>
      <c r="AJ415" t="s">
        <v>223</v>
      </c>
      <c r="AK415" t="s">
        <v>223</v>
      </c>
      <c r="AL415" t="s">
        <v>223</v>
      </c>
      <c r="AM415" t="s">
        <v>223</v>
      </c>
      <c r="AN415" s="9">
        <v>42</v>
      </c>
    </row>
    <row r="416" spans="1:40">
      <c r="A416" t="s">
        <v>383</v>
      </c>
      <c r="B416">
        <v>43</v>
      </c>
      <c r="C416" t="s">
        <v>223</v>
      </c>
      <c r="D416" t="s">
        <v>223</v>
      </c>
      <c r="E416" t="s">
        <v>223</v>
      </c>
      <c r="F416" t="s">
        <v>223</v>
      </c>
      <c r="G416" t="s">
        <v>223</v>
      </c>
      <c r="H416" t="s">
        <v>223</v>
      </c>
      <c r="I416" t="s">
        <v>223</v>
      </c>
      <c r="J416" t="s">
        <v>223</v>
      </c>
      <c r="K416" t="s">
        <v>223</v>
      </c>
      <c r="L416" t="s">
        <v>223</v>
      </c>
      <c r="M416" t="s">
        <v>223</v>
      </c>
      <c r="N416" t="s">
        <v>223</v>
      </c>
      <c r="O416" t="s">
        <v>223</v>
      </c>
      <c r="P416" t="s">
        <v>223</v>
      </c>
      <c r="Q416" t="s">
        <v>223</v>
      </c>
      <c r="R416" t="s">
        <v>223</v>
      </c>
      <c r="S416" t="s">
        <v>223</v>
      </c>
      <c r="T416" t="s">
        <v>223</v>
      </c>
      <c r="U416" t="s">
        <v>223</v>
      </c>
      <c r="V416" t="s">
        <v>223</v>
      </c>
      <c r="W416" t="s">
        <v>223</v>
      </c>
      <c r="X416" t="s">
        <v>223</v>
      </c>
      <c r="Y416" t="s">
        <v>223</v>
      </c>
      <c r="Z416" t="s">
        <v>223</v>
      </c>
      <c r="AA416" t="s">
        <v>223</v>
      </c>
      <c r="AB416" t="s">
        <v>223</v>
      </c>
      <c r="AC416" t="s">
        <v>223</v>
      </c>
      <c r="AD416" t="s">
        <v>223</v>
      </c>
      <c r="AE416" t="s">
        <v>223</v>
      </c>
      <c r="AF416" t="s">
        <v>223</v>
      </c>
      <c r="AG416" t="s">
        <v>223</v>
      </c>
      <c r="AH416" t="s">
        <v>223</v>
      </c>
      <c r="AI416" t="s">
        <v>223</v>
      </c>
      <c r="AJ416" t="s">
        <v>223</v>
      </c>
      <c r="AK416" t="s">
        <v>223</v>
      </c>
      <c r="AL416" t="s">
        <v>223</v>
      </c>
      <c r="AM416" t="s">
        <v>223</v>
      </c>
      <c r="AN416" s="9">
        <v>43</v>
      </c>
    </row>
    <row r="417" spans="1:40">
      <c r="A417" t="s">
        <v>383</v>
      </c>
      <c r="B417">
        <v>44</v>
      </c>
      <c r="C417" t="s">
        <v>223</v>
      </c>
      <c r="D417" t="s">
        <v>223</v>
      </c>
      <c r="E417" t="s">
        <v>223</v>
      </c>
      <c r="F417" t="s">
        <v>223</v>
      </c>
      <c r="G417" t="s">
        <v>223</v>
      </c>
      <c r="H417" t="s">
        <v>223</v>
      </c>
      <c r="I417" t="s">
        <v>223</v>
      </c>
      <c r="J417" t="s">
        <v>223</v>
      </c>
      <c r="K417" t="s">
        <v>223</v>
      </c>
      <c r="L417" t="s">
        <v>223</v>
      </c>
      <c r="M417" t="s">
        <v>223</v>
      </c>
      <c r="N417" t="s">
        <v>223</v>
      </c>
      <c r="O417" t="s">
        <v>223</v>
      </c>
      <c r="P417" t="s">
        <v>223</v>
      </c>
      <c r="Q417" t="s">
        <v>223</v>
      </c>
      <c r="R417" t="s">
        <v>223</v>
      </c>
      <c r="S417" t="s">
        <v>223</v>
      </c>
      <c r="T417" t="s">
        <v>223</v>
      </c>
      <c r="U417" t="s">
        <v>223</v>
      </c>
      <c r="V417" t="s">
        <v>223</v>
      </c>
      <c r="W417" t="s">
        <v>223</v>
      </c>
      <c r="X417" t="s">
        <v>223</v>
      </c>
      <c r="Y417" t="s">
        <v>223</v>
      </c>
      <c r="Z417" t="s">
        <v>223</v>
      </c>
      <c r="AA417" t="s">
        <v>223</v>
      </c>
      <c r="AB417" t="s">
        <v>223</v>
      </c>
      <c r="AC417" t="s">
        <v>223</v>
      </c>
      <c r="AD417" t="s">
        <v>223</v>
      </c>
      <c r="AE417" t="s">
        <v>223</v>
      </c>
      <c r="AF417" t="s">
        <v>223</v>
      </c>
      <c r="AG417" t="s">
        <v>223</v>
      </c>
      <c r="AH417" t="s">
        <v>223</v>
      </c>
      <c r="AI417" t="s">
        <v>223</v>
      </c>
      <c r="AJ417" t="s">
        <v>223</v>
      </c>
      <c r="AK417" t="s">
        <v>223</v>
      </c>
      <c r="AL417" t="s">
        <v>223</v>
      </c>
      <c r="AM417" t="s">
        <v>223</v>
      </c>
      <c r="AN417" s="9">
        <v>44</v>
      </c>
    </row>
    <row r="418" spans="1:40">
      <c r="A418" t="s">
        <v>383</v>
      </c>
      <c r="B418">
        <v>45</v>
      </c>
      <c r="C418" t="s">
        <v>223</v>
      </c>
      <c r="D418" t="s">
        <v>223</v>
      </c>
      <c r="E418" t="s">
        <v>223</v>
      </c>
      <c r="F418" t="s">
        <v>223</v>
      </c>
      <c r="G418" t="s">
        <v>223</v>
      </c>
      <c r="H418" t="s">
        <v>223</v>
      </c>
      <c r="I418" t="s">
        <v>223</v>
      </c>
      <c r="J418" t="s">
        <v>223</v>
      </c>
      <c r="K418" t="s">
        <v>223</v>
      </c>
      <c r="L418" t="s">
        <v>223</v>
      </c>
      <c r="M418" t="s">
        <v>223</v>
      </c>
      <c r="N418" t="s">
        <v>223</v>
      </c>
      <c r="O418" t="s">
        <v>223</v>
      </c>
      <c r="P418" t="s">
        <v>223</v>
      </c>
      <c r="Q418" t="s">
        <v>223</v>
      </c>
      <c r="R418" t="s">
        <v>223</v>
      </c>
      <c r="S418" t="s">
        <v>223</v>
      </c>
      <c r="T418" t="s">
        <v>223</v>
      </c>
      <c r="U418" t="s">
        <v>223</v>
      </c>
      <c r="V418" t="s">
        <v>223</v>
      </c>
      <c r="W418" t="s">
        <v>223</v>
      </c>
      <c r="X418" t="s">
        <v>223</v>
      </c>
      <c r="Y418" t="s">
        <v>223</v>
      </c>
      <c r="Z418" t="s">
        <v>223</v>
      </c>
      <c r="AA418" t="s">
        <v>223</v>
      </c>
      <c r="AB418" t="s">
        <v>223</v>
      </c>
      <c r="AC418" t="s">
        <v>223</v>
      </c>
      <c r="AD418" t="s">
        <v>223</v>
      </c>
      <c r="AE418" t="s">
        <v>223</v>
      </c>
      <c r="AF418" t="s">
        <v>223</v>
      </c>
      <c r="AG418" t="s">
        <v>223</v>
      </c>
      <c r="AH418" t="s">
        <v>223</v>
      </c>
      <c r="AI418" t="s">
        <v>223</v>
      </c>
      <c r="AJ418" t="s">
        <v>223</v>
      </c>
      <c r="AK418" t="s">
        <v>223</v>
      </c>
      <c r="AL418" t="s">
        <v>223</v>
      </c>
      <c r="AM418" t="s">
        <v>223</v>
      </c>
      <c r="AN418" s="9">
        <v>45</v>
      </c>
    </row>
    <row r="419" spans="1:40">
      <c r="A419" t="s">
        <v>383</v>
      </c>
      <c r="B419">
        <v>46</v>
      </c>
      <c r="C419" t="s">
        <v>223</v>
      </c>
      <c r="D419" t="s">
        <v>223</v>
      </c>
      <c r="E419" t="s">
        <v>223</v>
      </c>
      <c r="F419" t="s">
        <v>223</v>
      </c>
      <c r="G419" t="s">
        <v>223</v>
      </c>
      <c r="H419" t="s">
        <v>223</v>
      </c>
      <c r="I419" t="s">
        <v>223</v>
      </c>
      <c r="J419" t="s">
        <v>223</v>
      </c>
      <c r="K419" t="s">
        <v>223</v>
      </c>
      <c r="L419" t="s">
        <v>223</v>
      </c>
      <c r="M419" t="s">
        <v>223</v>
      </c>
      <c r="N419" t="s">
        <v>223</v>
      </c>
      <c r="O419" t="s">
        <v>223</v>
      </c>
      <c r="P419" t="s">
        <v>223</v>
      </c>
      <c r="Q419" t="s">
        <v>223</v>
      </c>
      <c r="R419" t="s">
        <v>223</v>
      </c>
      <c r="S419" t="s">
        <v>223</v>
      </c>
      <c r="T419" t="s">
        <v>223</v>
      </c>
      <c r="U419" t="s">
        <v>223</v>
      </c>
      <c r="V419" t="s">
        <v>223</v>
      </c>
      <c r="W419" t="s">
        <v>223</v>
      </c>
      <c r="X419" t="s">
        <v>223</v>
      </c>
      <c r="Y419" t="s">
        <v>223</v>
      </c>
      <c r="Z419" t="s">
        <v>223</v>
      </c>
      <c r="AA419" t="s">
        <v>223</v>
      </c>
      <c r="AB419" t="s">
        <v>223</v>
      </c>
      <c r="AC419" t="s">
        <v>223</v>
      </c>
      <c r="AD419" t="s">
        <v>223</v>
      </c>
      <c r="AE419" t="s">
        <v>223</v>
      </c>
      <c r="AF419" t="s">
        <v>223</v>
      </c>
      <c r="AG419" t="s">
        <v>223</v>
      </c>
      <c r="AH419" t="s">
        <v>223</v>
      </c>
      <c r="AI419" t="s">
        <v>223</v>
      </c>
      <c r="AJ419" t="s">
        <v>223</v>
      </c>
      <c r="AK419" t="s">
        <v>223</v>
      </c>
      <c r="AL419" t="s">
        <v>223</v>
      </c>
      <c r="AM419" t="s">
        <v>223</v>
      </c>
      <c r="AN419" s="9">
        <v>46</v>
      </c>
    </row>
    <row r="420" spans="1:40">
      <c r="A420" t="s">
        <v>383</v>
      </c>
      <c r="B420">
        <v>47</v>
      </c>
      <c r="C420" t="s">
        <v>223</v>
      </c>
      <c r="D420" t="s">
        <v>223</v>
      </c>
      <c r="E420" t="s">
        <v>223</v>
      </c>
      <c r="F420" t="s">
        <v>223</v>
      </c>
      <c r="G420" t="s">
        <v>223</v>
      </c>
      <c r="H420" t="s">
        <v>223</v>
      </c>
      <c r="I420" t="s">
        <v>223</v>
      </c>
      <c r="J420" t="s">
        <v>223</v>
      </c>
      <c r="K420" t="s">
        <v>223</v>
      </c>
      <c r="L420" t="s">
        <v>223</v>
      </c>
      <c r="M420" t="s">
        <v>223</v>
      </c>
      <c r="N420" t="s">
        <v>223</v>
      </c>
      <c r="O420" t="s">
        <v>223</v>
      </c>
      <c r="P420" t="s">
        <v>223</v>
      </c>
      <c r="Q420" t="s">
        <v>223</v>
      </c>
      <c r="R420" t="s">
        <v>223</v>
      </c>
      <c r="S420" t="s">
        <v>223</v>
      </c>
      <c r="T420" t="s">
        <v>223</v>
      </c>
      <c r="U420" t="s">
        <v>223</v>
      </c>
      <c r="V420" t="s">
        <v>223</v>
      </c>
      <c r="W420" t="s">
        <v>223</v>
      </c>
      <c r="X420" t="s">
        <v>223</v>
      </c>
      <c r="Y420" t="s">
        <v>223</v>
      </c>
      <c r="Z420" t="s">
        <v>223</v>
      </c>
      <c r="AA420" t="s">
        <v>223</v>
      </c>
      <c r="AB420" t="s">
        <v>223</v>
      </c>
      <c r="AC420" t="s">
        <v>223</v>
      </c>
      <c r="AD420" t="s">
        <v>223</v>
      </c>
      <c r="AE420" t="s">
        <v>223</v>
      </c>
      <c r="AF420" t="s">
        <v>223</v>
      </c>
      <c r="AG420" t="s">
        <v>223</v>
      </c>
      <c r="AH420" t="s">
        <v>223</v>
      </c>
      <c r="AI420" t="s">
        <v>223</v>
      </c>
      <c r="AJ420" t="s">
        <v>223</v>
      </c>
      <c r="AK420" t="s">
        <v>223</v>
      </c>
      <c r="AL420" t="s">
        <v>223</v>
      </c>
      <c r="AM420" t="s">
        <v>223</v>
      </c>
      <c r="AN420" s="9">
        <v>47</v>
      </c>
    </row>
    <row r="421" spans="1:40">
      <c r="A421" t="s">
        <v>383</v>
      </c>
      <c r="B421">
        <v>48</v>
      </c>
      <c r="C421" t="s">
        <v>223</v>
      </c>
      <c r="D421" t="s">
        <v>223</v>
      </c>
      <c r="E421" t="s">
        <v>223</v>
      </c>
      <c r="F421" t="s">
        <v>223</v>
      </c>
      <c r="G421" t="s">
        <v>223</v>
      </c>
      <c r="H421" t="s">
        <v>223</v>
      </c>
      <c r="I421" t="s">
        <v>223</v>
      </c>
      <c r="J421" t="s">
        <v>223</v>
      </c>
      <c r="K421" t="s">
        <v>223</v>
      </c>
      <c r="L421" t="s">
        <v>223</v>
      </c>
      <c r="M421" t="s">
        <v>223</v>
      </c>
      <c r="N421" t="s">
        <v>223</v>
      </c>
      <c r="O421" t="s">
        <v>223</v>
      </c>
      <c r="P421" t="s">
        <v>223</v>
      </c>
      <c r="Q421" t="s">
        <v>223</v>
      </c>
      <c r="R421" t="s">
        <v>223</v>
      </c>
      <c r="S421" t="s">
        <v>223</v>
      </c>
      <c r="T421" t="s">
        <v>223</v>
      </c>
      <c r="U421" t="s">
        <v>223</v>
      </c>
      <c r="V421" t="s">
        <v>223</v>
      </c>
      <c r="W421" t="s">
        <v>223</v>
      </c>
      <c r="X421" t="s">
        <v>223</v>
      </c>
      <c r="Y421" t="s">
        <v>223</v>
      </c>
      <c r="Z421" t="s">
        <v>223</v>
      </c>
      <c r="AA421" t="s">
        <v>223</v>
      </c>
      <c r="AB421" t="s">
        <v>223</v>
      </c>
      <c r="AC421" t="s">
        <v>223</v>
      </c>
      <c r="AD421" t="s">
        <v>223</v>
      </c>
      <c r="AE421" t="s">
        <v>223</v>
      </c>
      <c r="AF421" t="s">
        <v>223</v>
      </c>
      <c r="AG421" t="s">
        <v>223</v>
      </c>
      <c r="AH421" t="s">
        <v>223</v>
      </c>
      <c r="AI421" t="s">
        <v>223</v>
      </c>
      <c r="AJ421" t="s">
        <v>223</v>
      </c>
      <c r="AK421" t="s">
        <v>223</v>
      </c>
      <c r="AL421" t="s">
        <v>223</v>
      </c>
      <c r="AM421" t="s">
        <v>223</v>
      </c>
      <c r="AN421" s="9">
        <v>48</v>
      </c>
    </row>
    <row r="422" spans="1:40">
      <c r="A422" t="s">
        <v>383</v>
      </c>
      <c r="B422">
        <v>49</v>
      </c>
      <c r="C422" t="s">
        <v>223</v>
      </c>
      <c r="D422" t="s">
        <v>223</v>
      </c>
      <c r="E422" t="s">
        <v>223</v>
      </c>
      <c r="F422" t="s">
        <v>223</v>
      </c>
      <c r="G422" t="s">
        <v>223</v>
      </c>
      <c r="H422" t="s">
        <v>223</v>
      </c>
      <c r="I422" t="s">
        <v>223</v>
      </c>
      <c r="J422" t="s">
        <v>223</v>
      </c>
      <c r="K422" t="s">
        <v>223</v>
      </c>
      <c r="L422" t="s">
        <v>223</v>
      </c>
      <c r="M422" t="s">
        <v>223</v>
      </c>
      <c r="N422" t="s">
        <v>223</v>
      </c>
      <c r="O422" t="s">
        <v>223</v>
      </c>
      <c r="P422" t="s">
        <v>223</v>
      </c>
      <c r="Q422" t="s">
        <v>223</v>
      </c>
      <c r="R422" t="s">
        <v>223</v>
      </c>
      <c r="S422" t="s">
        <v>223</v>
      </c>
      <c r="T422" t="s">
        <v>223</v>
      </c>
      <c r="U422" t="s">
        <v>223</v>
      </c>
      <c r="V422" t="s">
        <v>223</v>
      </c>
      <c r="W422" t="s">
        <v>223</v>
      </c>
      <c r="X422" t="s">
        <v>223</v>
      </c>
      <c r="Y422" t="s">
        <v>223</v>
      </c>
      <c r="Z422" t="s">
        <v>223</v>
      </c>
      <c r="AA422" t="s">
        <v>223</v>
      </c>
      <c r="AB422" t="s">
        <v>223</v>
      </c>
      <c r="AC422" t="s">
        <v>223</v>
      </c>
      <c r="AD422" t="s">
        <v>223</v>
      </c>
      <c r="AE422" t="s">
        <v>223</v>
      </c>
      <c r="AF422" t="s">
        <v>223</v>
      </c>
      <c r="AG422" t="s">
        <v>223</v>
      </c>
      <c r="AH422" t="s">
        <v>223</v>
      </c>
      <c r="AI422" t="s">
        <v>223</v>
      </c>
      <c r="AJ422" t="s">
        <v>223</v>
      </c>
      <c r="AK422" t="s">
        <v>223</v>
      </c>
      <c r="AL422" t="s">
        <v>223</v>
      </c>
      <c r="AM422" t="s">
        <v>223</v>
      </c>
      <c r="AN422" s="9">
        <v>49</v>
      </c>
    </row>
    <row r="423" spans="1:40">
      <c r="A423" t="s">
        <v>383</v>
      </c>
      <c r="B423">
        <v>50</v>
      </c>
      <c r="C423" t="s">
        <v>223</v>
      </c>
      <c r="D423" t="s">
        <v>223</v>
      </c>
      <c r="E423" t="s">
        <v>223</v>
      </c>
      <c r="F423" t="s">
        <v>223</v>
      </c>
      <c r="G423" t="s">
        <v>223</v>
      </c>
      <c r="H423" t="s">
        <v>223</v>
      </c>
      <c r="I423" t="s">
        <v>223</v>
      </c>
      <c r="J423" t="s">
        <v>223</v>
      </c>
      <c r="K423" t="s">
        <v>223</v>
      </c>
      <c r="L423" t="s">
        <v>223</v>
      </c>
      <c r="M423" t="s">
        <v>223</v>
      </c>
      <c r="N423" t="s">
        <v>223</v>
      </c>
      <c r="O423" t="s">
        <v>223</v>
      </c>
      <c r="P423" t="s">
        <v>223</v>
      </c>
      <c r="Q423" t="s">
        <v>223</v>
      </c>
      <c r="R423" t="s">
        <v>223</v>
      </c>
      <c r="S423" t="s">
        <v>223</v>
      </c>
      <c r="T423" t="s">
        <v>223</v>
      </c>
      <c r="U423" t="s">
        <v>223</v>
      </c>
      <c r="V423" t="s">
        <v>223</v>
      </c>
      <c r="W423" t="s">
        <v>223</v>
      </c>
      <c r="X423" t="s">
        <v>223</v>
      </c>
      <c r="Y423" t="s">
        <v>223</v>
      </c>
      <c r="Z423" t="s">
        <v>223</v>
      </c>
      <c r="AA423" t="s">
        <v>223</v>
      </c>
      <c r="AB423" t="s">
        <v>223</v>
      </c>
      <c r="AC423" t="s">
        <v>223</v>
      </c>
      <c r="AD423" t="s">
        <v>223</v>
      </c>
      <c r="AE423" t="s">
        <v>223</v>
      </c>
      <c r="AF423" t="s">
        <v>223</v>
      </c>
      <c r="AG423" t="s">
        <v>223</v>
      </c>
      <c r="AH423" t="s">
        <v>223</v>
      </c>
      <c r="AI423" t="s">
        <v>223</v>
      </c>
      <c r="AJ423" t="s">
        <v>223</v>
      </c>
      <c r="AK423" t="s">
        <v>223</v>
      </c>
      <c r="AL423" t="s">
        <v>223</v>
      </c>
      <c r="AM423" t="s">
        <v>223</v>
      </c>
      <c r="AN423" s="9">
        <v>50</v>
      </c>
    </row>
    <row r="424" spans="1:40">
      <c r="A424" t="s">
        <v>383</v>
      </c>
      <c r="B424">
        <v>51</v>
      </c>
      <c r="C424" t="s">
        <v>223</v>
      </c>
      <c r="D424" t="s">
        <v>223</v>
      </c>
      <c r="E424" t="s">
        <v>223</v>
      </c>
      <c r="F424" t="s">
        <v>223</v>
      </c>
      <c r="G424" t="s">
        <v>223</v>
      </c>
      <c r="H424" t="s">
        <v>223</v>
      </c>
      <c r="I424" t="s">
        <v>223</v>
      </c>
      <c r="J424" t="s">
        <v>223</v>
      </c>
      <c r="K424" t="s">
        <v>223</v>
      </c>
      <c r="L424" t="s">
        <v>223</v>
      </c>
      <c r="M424" t="s">
        <v>223</v>
      </c>
      <c r="N424" t="s">
        <v>223</v>
      </c>
      <c r="O424" t="s">
        <v>223</v>
      </c>
      <c r="P424" t="s">
        <v>223</v>
      </c>
      <c r="Q424" t="s">
        <v>223</v>
      </c>
      <c r="R424" t="s">
        <v>223</v>
      </c>
      <c r="S424" t="s">
        <v>223</v>
      </c>
      <c r="T424" t="s">
        <v>223</v>
      </c>
      <c r="U424" t="s">
        <v>223</v>
      </c>
      <c r="V424" t="s">
        <v>223</v>
      </c>
      <c r="W424" t="s">
        <v>223</v>
      </c>
      <c r="X424" t="s">
        <v>223</v>
      </c>
      <c r="Y424" t="s">
        <v>223</v>
      </c>
      <c r="Z424" t="s">
        <v>223</v>
      </c>
      <c r="AA424" t="s">
        <v>223</v>
      </c>
      <c r="AB424" t="s">
        <v>223</v>
      </c>
      <c r="AC424" t="s">
        <v>223</v>
      </c>
      <c r="AD424" t="s">
        <v>223</v>
      </c>
      <c r="AE424" t="s">
        <v>223</v>
      </c>
      <c r="AF424" t="s">
        <v>223</v>
      </c>
      <c r="AG424" t="s">
        <v>223</v>
      </c>
      <c r="AH424" t="s">
        <v>223</v>
      </c>
      <c r="AI424" t="s">
        <v>223</v>
      </c>
      <c r="AJ424" t="s">
        <v>223</v>
      </c>
      <c r="AK424" t="s">
        <v>223</v>
      </c>
      <c r="AL424" t="s">
        <v>223</v>
      </c>
      <c r="AM424" t="s">
        <v>223</v>
      </c>
      <c r="AN424" s="9">
        <v>51</v>
      </c>
    </row>
    <row r="425" spans="1:40">
      <c r="A425" t="s">
        <v>383</v>
      </c>
      <c r="B425">
        <v>52</v>
      </c>
      <c r="C425" t="s">
        <v>223</v>
      </c>
      <c r="D425" t="s">
        <v>223</v>
      </c>
      <c r="E425" t="s">
        <v>223</v>
      </c>
      <c r="F425" t="s">
        <v>223</v>
      </c>
      <c r="G425" t="s">
        <v>223</v>
      </c>
      <c r="H425" t="s">
        <v>223</v>
      </c>
      <c r="I425" t="s">
        <v>223</v>
      </c>
      <c r="J425" t="s">
        <v>223</v>
      </c>
      <c r="K425" t="s">
        <v>223</v>
      </c>
      <c r="L425" t="s">
        <v>223</v>
      </c>
      <c r="M425" t="s">
        <v>223</v>
      </c>
      <c r="N425" t="s">
        <v>223</v>
      </c>
      <c r="O425" t="s">
        <v>223</v>
      </c>
      <c r="P425" t="s">
        <v>223</v>
      </c>
      <c r="Q425" t="s">
        <v>223</v>
      </c>
      <c r="R425" t="s">
        <v>223</v>
      </c>
      <c r="S425" t="s">
        <v>223</v>
      </c>
      <c r="T425" t="s">
        <v>223</v>
      </c>
      <c r="U425" t="s">
        <v>223</v>
      </c>
      <c r="V425" t="s">
        <v>223</v>
      </c>
      <c r="W425" t="s">
        <v>223</v>
      </c>
      <c r="X425" t="s">
        <v>223</v>
      </c>
      <c r="Y425" t="s">
        <v>223</v>
      </c>
      <c r="Z425" t="s">
        <v>223</v>
      </c>
      <c r="AA425" t="s">
        <v>223</v>
      </c>
      <c r="AB425" t="s">
        <v>223</v>
      </c>
      <c r="AC425" t="s">
        <v>223</v>
      </c>
      <c r="AD425" t="s">
        <v>223</v>
      </c>
      <c r="AE425" t="s">
        <v>223</v>
      </c>
      <c r="AF425" t="s">
        <v>223</v>
      </c>
      <c r="AG425" t="s">
        <v>223</v>
      </c>
      <c r="AH425" t="s">
        <v>223</v>
      </c>
      <c r="AI425" t="s">
        <v>223</v>
      </c>
      <c r="AJ425" t="s">
        <v>223</v>
      </c>
      <c r="AK425" t="s">
        <v>223</v>
      </c>
      <c r="AL425" t="s">
        <v>223</v>
      </c>
      <c r="AM425" t="s">
        <v>223</v>
      </c>
      <c r="AN425" s="9">
        <v>52</v>
      </c>
    </row>
    <row r="426" spans="1:40">
      <c r="A426" t="s">
        <v>383</v>
      </c>
      <c r="B426">
        <v>53</v>
      </c>
      <c r="C426" t="s">
        <v>223</v>
      </c>
      <c r="D426" t="s">
        <v>223</v>
      </c>
      <c r="E426" t="s">
        <v>223</v>
      </c>
      <c r="F426" t="s">
        <v>223</v>
      </c>
      <c r="G426" t="s">
        <v>223</v>
      </c>
      <c r="H426" t="s">
        <v>223</v>
      </c>
      <c r="I426" t="s">
        <v>223</v>
      </c>
      <c r="J426" t="s">
        <v>223</v>
      </c>
      <c r="K426" t="s">
        <v>223</v>
      </c>
      <c r="L426" t="s">
        <v>223</v>
      </c>
      <c r="M426" t="s">
        <v>223</v>
      </c>
      <c r="N426" t="s">
        <v>223</v>
      </c>
      <c r="O426" t="s">
        <v>223</v>
      </c>
      <c r="P426" t="s">
        <v>223</v>
      </c>
      <c r="Q426" t="s">
        <v>223</v>
      </c>
      <c r="R426" t="s">
        <v>223</v>
      </c>
      <c r="S426" t="s">
        <v>223</v>
      </c>
      <c r="T426" t="s">
        <v>223</v>
      </c>
      <c r="U426" t="s">
        <v>223</v>
      </c>
      <c r="V426" t="s">
        <v>223</v>
      </c>
      <c r="W426" t="s">
        <v>223</v>
      </c>
      <c r="X426" t="s">
        <v>223</v>
      </c>
      <c r="Y426" t="s">
        <v>223</v>
      </c>
      <c r="Z426" t="s">
        <v>223</v>
      </c>
      <c r="AA426" t="s">
        <v>223</v>
      </c>
      <c r="AB426" t="s">
        <v>223</v>
      </c>
      <c r="AC426" t="s">
        <v>223</v>
      </c>
      <c r="AD426" t="s">
        <v>223</v>
      </c>
      <c r="AE426" t="s">
        <v>223</v>
      </c>
      <c r="AF426" t="s">
        <v>223</v>
      </c>
      <c r="AG426" t="s">
        <v>223</v>
      </c>
      <c r="AH426" t="s">
        <v>223</v>
      </c>
      <c r="AI426" t="s">
        <v>223</v>
      </c>
      <c r="AJ426" t="s">
        <v>223</v>
      </c>
      <c r="AK426" t="s">
        <v>223</v>
      </c>
      <c r="AL426" t="s">
        <v>223</v>
      </c>
      <c r="AM426" t="s">
        <v>223</v>
      </c>
      <c r="AN426" s="9">
        <v>53</v>
      </c>
    </row>
    <row r="427" spans="1:40">
      <c r="A427" t="s">
        <v>384</v>
      </c>
      <c r="B427">
        <v>0</v>
      </c>
      <c r="C427" t="s">
        <v>223</v>
      </c>
      <c r="D427" t="s">
        <v>223</v>
      </c>
      <c r="E427" t="s">
        <v>223</v>
      </c>
      <c r="F427" t="s">
        <v>223</v>
      </c>
      <c r="G427" t="s">
        <v>223</v>
      </c>
      <c r="H427" t="s">
        <v>223</v>
      </c>
      <c r="I427" t="s">
        <v>223</v>
      </c>
      <c r="J427" t="s">
        <v>223</v>
      </c>
      <c r="K427" t="s">
        <v>223</v>
      </c>
      <c r="L427" t="s">
        <v>223</v>
      </c>
      <c r="M427" t="s">
        <v>223</v>
      </c>
      <c r="N427" t="s">
        <v>223</v>
      </c>
      <c r="O427" t="s">
        <v>223</v>
      </c>
      <c r="P427" t="s">
        <v>223</v>
      </c>
      <c r="Q427" t="s">
        <v>223</v>
      </c>
      <c r="R427" t="s">
        <v>223</v>
      </c>
      <c r="S427" t="s">
        <v>223</v>
      </c>
      <c r="T427" t="s">
        <v>223</v>
      </c>
      <c r="U427" t="s">
        <v>223</v>
      </c>
      <c r="V427" t="s">
        <v>223</v>
      </c>
      <c r="W427" t="s">
        <v>223</v>
      </c>
      <c r="X427" t="s">
        <v>223</v>
      </c>
      <c r="Y427" t="s">
        <v>223</v>
      </c>
      <c r="Z427" t="s">
        <v>223</v>
      </c>
      <c r="AA427" t="s">
        <v>223</v>
      </c>
      <c r="AB427" t="s">
        <v>223</v>
      </c>
      <c r="AC427" t="s">
        <v>223</v>
      </c>
      <c r="AD427" t="s">
        <v>223</v>
      </c>
      <c r="AE427" t="s">
        <v>223</v>
      </c>
      <c r="AF427" t="s">
        <v>223</v>
      </c>
      <c r="AG427" t="s">
        <v>223</v>
      </c>
      <c r="AH427" t="s">
        <v>223</v>
      </c>
      <c r="AI427" t="s">
        <v>223</v>
      </c>
      <c r="AJ427" t="s">
        <v>223</v>
      </c>
      <c r="AK427" t="s">
        <v>223</v>
      </c>
      <c r="AL427" t="s">
        <v>223</v>
      </c>
      <c r="AM427" t="s">
        <v>223</v>
      </c>
      <c r="AN427" s="9">
        <v>0</v>
      </c>
    </row>
    <row r="428" spans="1:40">
      <c r="A428" t="s">
        <v>384</v>
      </c>
      <c r="B428">
        <v>1</v>
      </c>
      <c r="C428" t="s">
        <v>223</v>
      </c>
      <c r="D428" t="s">
        <v>223</v>
      </c>
      <c r="E428" t="s">
        <v>223</v>
      </c>
      <c r="F428" t="s">
        <v>223</v>
      </c>
      <c r="G428" t="s">
        <v>223</v>
      </c>
      <c r="H428" t="s">
        <v>223</v>
      </c>
      <c r="I428" t="s">
        <v>223</v>
      </c>
      <c r="J428" t="s">
        <v>223</v>
      </c>
      <c r="K428" t="s">
        <v>223</v>
      </c>
      <c r="L428" t="s">
        <v>223</v>
      </c>
      <c r="M428" t="s">
        <v>223</v>
      </c>
      <c r="N428" t="s">
        <v>223</v>
      </c>
      <c r="O428" t="s">
        <v>223</v>
      </c>
      <c r="P428" t="s">
        <v>223</v>
      </c>
      <c r="Q428" t="s">
        <v>223</v>
      </c>
      <c r="R428" t="s">
        <v>223</v>
      </c>
      <c r="S428" t="s">
        <v>223</v>
      </c>
      <c r="T428" t="s">
        <v>223</v>
      </c>
      <c r="U428" t="s">
        <v>223</v>
      </c>
      <c r="V428" t="s">
        <v>223</v>
      </c>
      <c r="W428" t="s">
        <v>223</v>
      </c>
      <c r="X428" t="s">
        <v>223</v>
      </c>
      <c r="Y428" t="s">
        <v>223</v>
      </c>
      <c r="Z428" t="s">
        <v>223</v>
      </c>
      <c r="AA428" t="s">
        <v>223</v>
      </c>
      <c r="AB428" t="s">
        <v>223</v>
      </c>
      <c r="AC428" t="s">
        <v>223</v>
      </c>
      <c r="AD428" t="s">
        <v>223</v>
      </c>
      <c r="AE428" t="s">
        <v>223</v>
      </c>
      <c r="AF428" t="s">
        <v>223</v>
      </c>
      <c r="AG428" t="s">
        <v>223</v>
      </c>
      <c r="AH428" t="s">
        <v>223</v>
      </c>
      <c r="AI428" t="s">
        <v>223</v>
      </c>
      <c r="AJ428" t="s">
        <v>223</v>
      </c>
      <c r="AK428" t="s">
        <v>223</v>
      </c>
      <c r="AL428" t="s">
        <v>223</v>
      </c>
      <c r="AM428" t="s">
        <v>223</v>
      </c>
      <c r="AN428" s="9">
        <v>1</v>
      </c>
    </row>
    <row r="429" spans="1:40">
      <c r="A429" t="s">
        <v>384</v>
      </c>
      <c r="B429">
        <v>2</v>
      </c>
      <c r="C429" t="s">
        <v>223</v>
      </c>
      <c r="D429" t="s">
        <v>223</v>
      </c>
      <c r="E429" t="s">
        <v>223</v>
      </c>
      <c r="F429" t="s">
        <v>223</v>
      </c>
      <c r="G429" t="s">
        <v>223</v>
      </c>
      <c r="H429" t="s">
        <v>223</v>
      </c>
      <c r="I429" t="s">
        <v>223</v>
      </c>
      <c r="J429" t="s">
        <v>223</v>
      </c>
      <c r="K429" t="s">
        <v>223</v>
      </c>
      <c r="L429" t="s">
        <v>223</v>
      </c>
      <c r="M429" t="s">
        <v>223</v>
      </c>
      <c r="N429" t="s">
        <v>223</v>
      </c>
      <c r="O429" t="s">
        <v>223</v>
      </c>
      <c r="P429" t="s">
        <v>223</v>
      </c>
      <c r="Q429" t="s">
        <v>223</v>
      </c>
      <c r="R429" t="s">
        <v>223</v>
      </c>
      <c r="S429" t="s">
        <v>223</v>
      </c>
      <c r="T429" t="s">
        <v>223</v>
      </c>
      <c r="U429" t="s">
        <v>223</v>
      </c>
      <c r="V429" t="s">
        <v>223</v>
      </c>
      <c r="W429" t="s">
        <v>223</v>
      </c>
      <c r="X429" t="s">
        <v>223</v>
      </c>
      <c r="Y429" t="s">
        <v>223</v>
      </c>
      <c r="Z429" t="s">
        <v>223</v>
      </c>
      <c r="AA429" t="s">
        <v>223</v>
      </c>
      <c r="AB429" t="s">
        <v>223</v>
      </c>
      <c r="AC429" t="s">
        <v>223</v>
      </c>
      <c r="AD429" t="s">
        <v>223</v>
      </c>
      <c r="AE429" t="s">
        <v>223</v>
      </c>
      <c r="AF429" t="s">
        <v>223</v>
      </c>
      <c r="AG429" t="s">
        <v>223</v>
      </c>
      <c r="AH429" t="s">
        <v>223</v>
      </c>
      <c r="AI429" t="s">
        <v>223</v>
      </c>
      <c r="AJ429" t="s">
        <v>223</v>
      </c>
      <c r="AK429" t="s">
        <v>223</v>
      </c>
      <c r="AL429" t="s">
        <v>223</v>
      </c>
      <c r="AM429" t="s">
        <v>223</v>
      </c>
      <c r="AN429" s="9">
        <v>2</v>
      </c>
    </row>
    <row r="430" spans="1:40">
      <c r="A430" t="s">
        <v>384</v>
      </c>
      <c r="B430">
        <v>3</v>
      </c>
      <c r="C430" t="s">
        <v>223</v>
      </c>
      <c r="D430" t="s">
        <v>223</v>
      </c>
      <c r="E430" t="s">
        <v>223</v>
      </c>
      <c r="F430" t="s">
        <v>223</v>
      </c>
      <c r="G430" t="s">
        <v>223</v>
      </c>
      <c r="H430" t="s">
        <v>223</v>
      </c>
      <c r="I430" t="s">
        <v>223</v>
      </c>
      <c r="J430" t="s">
        <v>223</v>
      </c>
      <c r="K430" t="s">
        <v>223</v>
      </c>
      <c r="L430" t="s">
        <v>223</v>
      </c>
      <c r="M430" t="s">
        <v>223</v>
      </c>
      <c r="N430" t="s">
        <v>223</v>
      </c>
      <c r="O430" t="s">
        <v>223</v>
      </c>
      <c r="P430" t="s">
        <v>223</v>
      </c>
      <c r="Q430" t="s">
        <v>223</v>
      </c>
      <c r="R430" t="s">
        <v>223</v>
      </c>
      <c r="S430" t="s">
        <v>223</v>
      </c>
      <c r="T430" t="s">
        <v>223</v>
      </c>
      <c r="U430" t="s">
        <v>223</v>
      </c>
      <c r="V430" t="s">
        <v>223</v>
      </c>
      <c r="W430" t="s">
        <v>223</v>
      </c>
      <c r="X430" t="s">
        <v>223</v>
      </c>
      <c r="Y430" t="s">
        <v>223</v>
      </c>
      <c r="Z430" t="s">
        <v>223</v>
      </c>
      <c r="AA430" t="s">
        <v>223</v>
      </c>
      <c r="AB430" t="s">
        <v>223</v>
      </c>
      <c r="AC430" t="s">
        <v>223</v>
      </c>
      <c r="AD430" t="s">
        <v>223</v>
      </c>
      <c r="AE430" t="s">
        <v>223</v>
      </c>
      <c r="AF430" t="s">
        <v>223</v>
      </c>
      <c r="AG430" t="s">
        <v>223</v>
      </c>
      <c r="AH430" t="s">
        <v>223</v>
      </c>
      <c r="AI430" t="s">
        <v>223</v>
      </c>
      <c r="AJ430" t="s">
        <v>223</v>
      </c>
      <c r="AK430" t="s">
        <v>223</v>
      </c>
      <c r="AL430" t="s">
        <v>223</v>
      </c>
      <c r="AM430" t="s">
        <v>223</v>
      </c>
      <c r="AN430" s="9">
        <v>3</v>
      </c>
    </row>
    <row r="431" spans="1:40">
      <c r="A431" t="s">
        <v>384</v>
      </c>
      <c r="B431">
        <v>4</v>
      </c>
      <c r="C431" t="s">
        <v>223</v>
      </c>
      <c r="D431" t="s">
        <v>223</v>
      </c>
      <c r="E431" t="s">
        <v>223</v>
      </c>
      <c r="F431" t="s">
        <v>223</v>
      </c>
      <c r="G431" t="s">
        <v>223</v>
      </c>
      <c r="H431" t="s">
        <v>223</v>
      </c>
      <c r="I431" t="s">
        <v>223</v>
      </c>
      <c r="J431" t="s">
        <v>223</v>
      </c>
      <c r="K431" t="s">
        <v>223</v>
      </c>
      <c r="L431" t="s">
        <v>223</v>
      </c>
      <c r="M431" t="s">
        <v>223</v>
      </c>
      <c r="N431" t="s">
        <v>223</v>
      </c>
      <c r="O431" t="s">
        <v>223</v>
      </c>
      <c r="P431" t="s">
        <v>223</v>
      </c>
      <c r="Q431" t="s">
        <v>223</v>
      </c>
      <c r="R431" t="s">
        <v>223</v>
      </c>
      <c r="S431" t="s">
        <v>223</v>
      </c>
      <c r="T431" t="s">
        <v>223</v>
      </c>
      <c r="U431" t="s">
        <v>223</v>
      </c>
      <c r="V431" t="s">
        <v>223</v>
      </c>
      <c r="W431" t="s">
        <v>223</v>
      </c>
      <c r="X431" t="s">
        <v>223</v>
      </c>
      <c r="Y431" t="s">
        <v>223</v>
      </c>
      <c r="Z431" t="s">
        <v>223</v>
      </c>
      <c r="AA431" t="s">
        <v>223</v>
      </c>
      <c r="AB431" t="s">
        <v>223</v>
      </c>
      <c r="AC431" t="s">
        <v>223</v>
      </c>
      <c r="AD431" t="s">
        <v>223</v>
      </c>
      <c r="AE431" t="s">
        <v>223</v>
      </c>
      <c r="AF431" t="s">
        <v>223</v>
      </c>
      <c r="AG431" t="s">
        <v>223</v>
      </c>
      <c r="AH431" t="s">
        <v>223</v>
      </c>
      <c r="AI431" t="s">
        <v>223</v>
      </c>
      <c r="AJ431" t="s">
        <v>223</v>
      </c>
      <c r="AK431" t="s">
        <v>223</v>
      </c>
      <c r="AL431" t="s">
        <v>223</v>
      </c>
      <c r="AM431" t="s">
        <v>223</v>
      </c>
      <c r="AN431" s="9">
        <v>4</v>
      </c>
    </row>
    <row r="432" spans="1:40">
      <c r="A432" t="s">
        <v>384</v>
      </c>
      <c r="B432">
        <v>5</v>
      </c>
      <c r="C432" t="s">
        <v>223</v>
      </c>
      <c r="D432" t="s">
        <v>223</v>
      </c>
      <c r="E432" t="s">
        <v>223</v>
      </c>
      <c r="F432" t="s">
        <v>223</v>
      </c>
      <c r="G432" t="s">
        <v>223</v>
      </c>
      <c r="H432" t="s">
        <v>223</v>
      </c>
      <c r="I432" t="s">
        <v>223</v>
      </c>
      <c r="J432" t="s">
        <v>223</v>
      </c>
      <c r="K432" t="s">
        <v>223</v>
      </c>
      <c r="L432" t="s">
        <v>223</v>
      </c>
      <c r="M432" t="s">
        <v>223</v>
      </c>
      <c r="N432" t="s">
        <v>223</v>
      </c>
      <c r="O432" t="s">
        <v>223</v>
      </c>
      <c r="P432" t="s">
        <v>223</v>
      </c>
      <c r="Q432" t="s">
        <v>223</v>
      </c>
      <c r="R432" t="s">
        <v>223</v>
      </c>
      <c r="S432" t="s">
        <v>223</v>
      </c>
      <c r="T432" t="s">
        <v>223</v>
      </c>
      <c r="U432" t="s">
        <v>223</v>
      </c>
      <c r="V432" t="s">
        <v>223</v>
      </c>
      <c r="W432" t="s">
        <v>223</v>
      </c>
      <c r="X432" t="s">
        <v>223</v>
      </c>
      <c r="Y432" t="s">
        <v>223</v>
      </c>
      <c r="Z432" t="s">
        <v>223</v>
      </c>
      <c r="AA432" t="s">
        <v>223</v>
      </c>
      <c r="AB432" t="s">
        <v>223</v>
      </c>
      <c r="AC432" t="s">
        <v>223</v>
      </c>
      <c r="AD432" t="s">
        <v>223</v>
      </c>
      <c r="AE432" t="s">
        <v>223</v>
      </c>
      <c r="AF432" t="s">
        <v>223</v>
      </c>
      <c r="AG432" t="s">
        <v>223</v>
      </c>
      <c r="AH432" t="s">
        <v>223</v>
      </c>
      <c r="AI432" t="s">
        <v>223</v>
      </c>
      <c r="AJ432" t="s">
        <v>223</v>
      </c>
      <c r="AK432" t="s">
        <v>223</v>
      </c>
      <c r="AL432" t="s">
        <v>223</v>
      </c>
      <c r="AM432" t="s">
        <v>223</v>
      </c>
      <c r="AN432" s="9">
        <v>5</v>
      </c>
    </row>
    <row r="433" spans="1:40">
      <c r="A433" t="s">
        <v>384</v>
      </c>
      <c r="B433">
        <v>6</v>
      </c>
      <c r="C433" t="s">
        <v>223</v>
      </c>
      <c r="D433" t="s">
        <v>223</v>
      </c>
      <c r="E433" t="s">
        <v>223</v>
      </c>
      <c r="F433" t="s">
        <v>223</v>
      </c>
      <c r="G433" t="s">
        <v>223</v>
      </c>
      <c r="H433" t="s">
        <v>223</v>
      </c>
      <c r="I433" t="s">
        <v>223</v>
      </c>
      <c r="J433" t="s">
        <v>223</v>
      </c>
      <c r="K433" t="s">
        <v>223</v>
      </c>
      <c r="L433" t="s">
        <v>223</v>
      </c>
      <c r="M433" t="s">
        <v>223</v>
      </c>
      <c r="N433" t="s">
        <v>223</v>
      </c>
      <c r="O433" t="s">
        <v>223</v>
      </c>
      <c r="P433" t="s">
        <v>223</v>
      </c>
      <c r="Q433" t="s">
        <v>223</v>
      </c>
      <c r="R433" t="s">
        <v>223</v>
      </c>
      <c r="S433" t="s">
        <v>223</v>
      </c>
      <c r="T433" t="s">
        <v>223</v>
      </c>
      <c r="U433" t="s">
        <v>223</v>
      </c>
      <c r="V433" t="s">
        <v>223</v>
      </c>
      <c r="W433" t="s">
        <v>223</v>
      </c>
      <c r="X433" t="s">
        <v>223</v>
      </c>
      <c r="Y433" t="s">
        <v>223</v>
      </c>
      <c r="Z433" t="s">
        <v>223</v>
      </c>
      <c r="AA433" t="s">
        <v>223</v>
      </c>
      <c r="AB433" t="s">
        <v>223</v>
      </c>
      <c r="AC433" t="s">
        <v>223</v>
      </c>
      <c r="AD433" t="s">
        <v>223</v>
      </c>
      <c r="AE433" t="s">
        <v>223</v>
      </c>
      <c r="AF433" t="s">
        <v>223</v>
      </c>
      <c r="AG433" t="s">
        <v>223</v>
      </c>
      <c r="AH433" t="s">
        <v>223</v>
      </c>
      <c r="AI433" t="s">
        <v>223</v>
      </c>
      <c r="AJ433" t="s">
        <v>223</v>
      </c>
      <c r="AK433" t="s">
        <v>223</v>
      </c>
      <c r="AL433" t="s">
        <v>223</v>
      </c>
      <c r="AM433" t="s">
        <v>223</v>
      </c>
      <c r="AN433" s="9">
        <v>6</v>
      </c>
    </row>
    <row r="434" spans="1:40">
      <c r="A434" t="s">
        <v>384</v>
      </c>
      <c r="B434">
        <v>9</v>
      </c>
      <c r="C434" t="s">
        <v>223</v>
      </c>
      <c r="D434" t="s">
        <v>223</v>
      </c>
      <c r="E434" t="s">
        <v>223</v>
      </c>
      <c r="F434" t="s">
        <v>223</v>
      </c>
      <c r="G434" t="s">
        <v>223</v>
      </c>
      <c r="H434" t="s">
        <v>223</v>
      </c>
      <c r="I434" t="s">
        <v>223</v>
      </c>
      <c r="J434" t="s">
        <v>223</v>
      </c>
      <c r="K434" t="s">
        <v>223</v>
      </c>
      <c r="L434" t="s">
        <v>223</v>
      </c>
      <c r="M434" t="s">
        <v>223</v>
      </c>
      <c r="N434" t="s">
        <v>223</v>
      </c>
      <c r="O434" t="s">
        <v>223</v>
      </c>
      <c r="P434" t="s">
        <v>223</v>
      </c>
      <c r="Q434" t="s">
        <v>223</v>
      </c>
      <c r="R434" t="s">
        <v>223</v>
      </c>
      <c r="S434" t="s">
        <v>223</v>
      </c>
      <c r="T434" t="s">
        <v>223</v>
      </c>
      <c r="U434" t="s">
        <v>223</v>
      </c>
      <c r="V434" t="s">
        <v>223</v>
      </c>
      <c r="W434" t="s">
        <v>223</v>
      </c>
      <c r="X434" t="s">
        <v>223</v>
      </c>
      <c r="Y434" t="s">
        <v>223</v>
      </c>
      <c r="Z434" t="s">
        <v>223</v>
      </c>
      <c r="AA434" t="s">
        <v>223</v>
      </c>
      <c r="AB434" t="s">
        <v>223</v>
      </c>
      <c r="AC434" t="s">
        <v>223</v>
      </c>
      <c r="AD434" t="s">
        <v>223</v>
      </c>
      <c r="AE434" t="s">
        <v>223</v>
      </c>
      <c r="AF434" t="s">
        <v>223</v>
      </c>
      <c r="AG434" t="s">
        <v>223</v>
      </c>
      <c r="AH434" t="s">
        <v>223</v>
      </c>
      <c r="AI434" t="s">
        <v>223</v>
      </c>
      <c r="AJ434" t="s">
        <v>223</v>
      </c>
      <c r="AK434" t="s">
        <v>223</v>
      </c>
      <c r="AL434" t="s">
        <v>223</v>
      </c>
      <c r="AM434" t="s">
        <v>223</v>
      </c>
      <c r="AN434" s="9">
        <v>9</v>
      </c>
    </row>
    <row r="435" spans="1:40">
      <c r="A435" t="s">
        <v>384</v>
      </c>
      <c r="B435">
        <v>10</v>
      </c>
      <c r="C435" t="s">
        <v>223</v>
      </c>
      <c r="D435" t="s">
        <v>223</v>
      </c>
      <c r="E435" t="s">
        <v>223</v>
      </c>
      <c r="F435" t="s">
        <v>223</v>
      </c>
      <c r="G435" t="s">
        <v>223</v>
      </c>
      <c r="H435" t="s">
        <v>223</v>
      </c>
      <c r="I435" t="s">
        <v>223</v>
      </c>
      <c r="J435" t="s">
        <v>223</v>
      </c>
      <c r="K435" t="s">
        <v>223</v>
      </c>
      <c r="L435" t="s">
        <v>223</v>
      </c>
      <c r="M435" t="s">
        <v>223</v>
      </c>
      <c r="N435" t="s">
        <v>223</v>
      </c>
      <c r="O435" t="s">
        <v>223</v>
      </c>
      <c r="P435" t="s">
        <v>223</v>
      </c>
      <c r="Q435" t="s">
        <v>223</v>
      </c>
      <c r="R435" t="s">
        <v>223</v>
      </c>
      <c r="S435" t="s">
        <v>223</v>
      </c>
      <c r="T435" t="s">
        <v>223</v>
      </c>
      <c r="U435" t="s">
        <v>223</v>
      </c>
      <c r="V435" t="s">
        <v>223</v>
      </c>
      <c r="W435" t="s">
        <v>223</v>
      </c>
      <c r="X435" t="s">
        <v>223</v>
      </c>
      <c r="Y435" t="s">
        <v>223</v>
      </c>
      <c r="Z435" t="s">
        <v>223</v>
      </c>
      <c r="AA435" t="s">
        <v>223</v>
      </c>
      <c r="AB435" t="s">
        <v>223</v>
      </c>
      <c r="AC435" t="s">
        <v>223</v>
      </c>
      <c r="AD435" t="s">
        <v>223</v>
      </c>
      <c r="AE435" t="s">
        <v>223</v>
      </c>
      <c r="AF435" t="s">
        <v>223</v>
      </c>
      <c r="AG435" t="s">
        <v>223</v>
      </c>
      <c r="AH435" t="s">
        <v>223</v>
      </c>
      <c r="AI435" t="s">
        <v>223</v>
      </c>
      <c r="AJ435" t="s">
        <v>223</v>
      </c>
      <c r="AK435" t="s">
        <v>223</v>
      </c>
      <c r="AL435" t="s">
        <v>223</v>
      </c>
      <c r="AM435" t="s">
        <v>223</v>
      </c>
      <c r="AN435" s="9">
        <v>10</v>
      </c>
    </row>
    <row r="436" spans="1:40">
      <c r="A436" t="s">
        <v>384</v>
      </c>
      <c r="B436">
        <v>11</v>
      </c>
      <c r="C436" t="s">
        <v>223</v>
      </c>
      <c r="D436" t="s">
        <v>223</v>
      </c>
      <c r="E436" t="s">
        <v>223</v>
      </c>
      <c r="F436" t="s">
        <v>223</v>
      </c>
      <c r="G436" t="s">
        <v>223</v>
      </c>
      <c r="H436" t="s">
        <v>223</v>
      </c>
      <c r="I436" t="s">
        <v>223</v>
      </c>
      <c r="J436" t="s">
        <v>223</v>
      </c>
      <c r="K436" t="s">
        <v>223</v>
      </c>
      <c r="L436" t="s">
        <v>223</v>
      </c>
      <c r="M436" t="s">
        <v>223</v>
      </c>
      <c r="N436" t="s">
        <v>223</v>
      </c>
      <c r="O436" t="s">
        <v>223</v>
      </c>
      <c r="P436" t="s">
        <v>223</v>
      </c>
      <c r="Q436" t="s">
        <v>223</v>
      </c>
      <c r="R436" t="s">
        <v>223</v>
      </c>
      <c r="S436" t="s">
        <v>223</v>
      </c>
      <c r="T436" t="s">
        <v>223</v>
      </c>
      <c r="U436" t="s">
        <v>223</v>
      </c>
      <c r="V436" t="s">
        <v>223</v>
      </c>
      <c r="W436" t="s">
        <v>223</v>
      </c>
      <c r="X436" t="s">
        <v>223</v>
      </c>
      <c r="Y436" t="s">
        <v>223</v>
      </c>
      <c r="Z436" t="s">
        <v>223</v>
      </c>
      <c r="AA436" t="s">
        <v>223</v>
      </c>
      <c r="AB436" t="s">
        <v>223</v>
      </c>
      <c r="AC436" t="s">
        <v>223</v>
      </c>
      <c r="AD436" t="s">
        <v>223</v>
      </c>
      <c r="AE436" t="s">
        <v>223</v>
      </c>
      <c r="AF436" t="s">
        <v>223</v>
      </c>
      <c r="AG436" t="s">
        <v>223</v>
      </c>
      <c r="AH436" t="s">
        <v>223</v>
      </c>
      <c r="AI436" t="s">
        <v>223</v>
      </c>
      <c r="AJ436" t="s">
        <v>223</v>
      </c>
      <c r="AK436" t="s">
        <v>223</v>
      </c>
      <c r="AL436" t="s">
        <v>223</v>
      </c>
      <c r="AM436" t="s">
        <v>223</v>
      </c>
      <c r="AN436" s="9">
        <v>11</v>
      </c>
    </row>
    <row r="437" spans="1:40">
      <c r="A437" t="s">
        <v>384</v>
      </c>
      <c r="B437">
        <v>12</v>
      </c>
      <c r="C437" t="s">
        <v>223</v>
      </c>
      <c r="D437" t="s">
        <v>223</v>
      </c>
      <c r="E437" t="s">
        <v>223</v>
      </c>
      <c r="F437" t="s">
        <v>223</v>
      </c>
      <c r="G437" t="s">
        <v>223</v>
      </c>
      <c r="H437" t="s">
        <v>223</v>
      </c>
      <c r="I437" t="s">
        <v>223</v>
      </c>
      <c r="J437" t="s">
        <v>223</v>
      </c>
      <c r="K437" t="s">
        <v>223</v>
      </c>
      <c r="L437" t="s">
        <v>223</v>
      </c>
      <c r="M437" t="s">
        <v>223</v>
      </c>
      <c r="N437" t="s">
        <v>223</v>
      </c>
      <c r="O437" t="s">
        <v>223</v>
      </c>
      <c r="P437" t="s">
        <v>223</v>
      </c>
      <c r="Q437" t="s">
        <v>223</v>
      </c>
      <c r="R437" t="s">
        <v>223</v>
      </c>
      <c r="S437" t="s">
        <v>223</v>
      </c>
      <c r="T437" t="s">
        <v>223</v>
      </c>
      <c r="U437" t="s">
        <v>223</v>
      </c>
      <c r="V437" t="s">
        <v>223</v>
      </c>
      <c r="W437" t="s">
        <v>223</v>
      </c>
      <c r="X437" t="s">
        <v>223</v>
      </c>
      <c r="Y437" t="s">
        <v>223</v>
      </c>
      <c r="Z437" t="s">
        <v>223</v>
      </c>
      <c r="AA437" t="s">
        <v>223</v>
      </c>
      <c r="AB437" t="s">
        <v>223</v>
      </c>
      <c r="AC437" t="s">
        <v>223</v>
      </c>
      <c r="AD437" t="s">
        <v>223</v>
      </c>
      <c r="AE437" t="s">
        <v>223</v>
      </c>
      <c r="AF437" t="s">
        <v>223</v>
      </c>
      <c r="AG437" t="s">
        <v>223</v>
      </c>
      <c r="AH437" t="s">
        <v>223</v>
      </c>
      <c r="AI437" t="s">
        <v>223</v>
      </c>
      <c r="AJ437" t="s">
        <v>223</v>
      </c>
      <c r="AK437" t="s">
        <v>223</v>
      </c>
      <c r="AL437" t="s">
        <v>223</v>
      </c>
      <c r="AM437" t="s">
        <v>223</v>
      </c>
      <c r="AN437" s="9">
        <v>12</v>
      </c>
    </row>
    <row r="438" spans="1:40">
      <c r="A438" t="s">
        <v>384</v>
      </c>
      <c r="B438">
        <v>13</v>
      </c>
      <c r="C438" t="s">
        <v>223</v>
      </c>
      <c r="D438" t="s">
        <v>223</v>
      </c>
      <c r="E438" t="s">
        <v>223</v>
      </c>
      <c r="F438" t="s">
        <v>223</v>
      </c>
      <c r="G438" t="s">
        <v>223</v>
      </c>
      <c r="H438" t="s">
        <v>223</v>
      </c>
      <c r="I438" t="s">
        <v>223</v>
      </c>
      <c r="J438" t="s">
        <v>223</v>
      </c>
      <c r="K438" t="s">
        <v>223</v>
      </c>
      <c r="L438" t="s">
        <v>223</v>
      </c>
      <c r="M438" t="s">
        <v>223</v>
      </c>
      <c r="N438" t="s">
        <v>223</v>
      </c>
      <c r="O438" t="s">
        <v>223</v>
      </c>
      <c r="P438" t="s">
        <v>223</v>
      </c>
      <c r="Q438" t="s">
        <v>223</v>
      </c>
      <c r="R438" t="s">
        <v>223</v>
      </c>
      <c r="S438" t="s">
        <v>223</v>
      </c>
      <c r="T438" t="s">
        <v>223</v>
      </c>
      <c r="U438" t="s">
        <v>223</v>
      </c>
      <c r="V438" t="s">
        <v>223</v>
      </c>
      <c r="W438" t="s">
        <v>223</v>
      </c>
      <c r="X438" t="s">
        <v>223</v>
      </c>
      <c r="Y438" t="s">
        <v>223</v>
      </c>
      <c r="Z438" t="s">
        <v>223</v>
      </c>
      <c r="AA438" t="s">
        <v>223</v>
      </c>
      <c r="AB438" t="s">
        <v>223</v>
      </c>
      <c r="AC438" t="s">
        <v>223</v>
      </c>
      <c r="AD438" t="s">
        <v>223</v>
      </c>
      <c r="AE438" t="s">
        <v>223</v>
      </c>
      <c r="AF438" t="s">
        <v>223</v>
      </c>
      <c r="AG438" t="s">
        <v>223</v>
      </c>
      <c r="AH438" t="s">
        <v>223</v>
      </c>
      <c r="AI438" t="s">
        <v>223</v>
      </c>
      <c r="AJ438" t="s">
        <v>223</v>
      </c>
      <c r="AK438" t="s">
        <v>223</v>
      </c>
      <c r="AL438" t="s">
        <v>223</v>
      </c>
      <c r="AM438" t="s">
        <v>223</v>
      </c>
      <c r="AN438" s="9">
        <v>13</v>
      </c>
    </row>
    <row r="439" spans="1:40">
      <c r="A439" t="s">
        <v>384</v>
      </c>
      <c r="B439">
        <v>14</v>
      </c>
      <c r="C439" t="s">
        <v>223</v>
      </c>
      <c r="D439" t="s">
        <v>223</v>
      </c>
      <c r="E439" t="s">
        <v>223</v>
      </c>
      <c r="F439" t="s">
        <v>223</v>
      </c>
      <c r="G439" t="s">
        <v>223</v>
      </c>
      <c r="H439" t="s">
        <v>223</v>
      </c>
      <c r="I439" t="s">
        <v>223</v>
      </c>
      <c r="J439" t="s">
        <v>223</v>
      </c>
      <c r="K439" t="s">
        <v>223</v>
      </c>
      <c r="L439" t="s">
        <v>223</v>
      </c>
      <c r="M439" t="s">
        <v>223</v>
      </c>
      <c r="N439" t="s">
        <v>223</v>
      </c>
      <c r="O439" t="s">
        <v>223</v>
      </c>
      <c r="P439" t="s">
        <v>223</v>
      </c>
      <c r="Q439" t="s">
        <v>223</v>
      </c>
      <c r="R439" t="s">
        <v>223</v>
      </c>
      <c r="S439" t="s">
        <v>223</v>
      </c>
      <c r="T439" t="s">
        <v>223</v>
      </c>
      <c r="U439" t="s">
        <v>223</v>
      </c>
      <c r="V439" t="s">
        <v>223</v>
      </c>
      <c r="W439" t="s">
        <v>223</v>
      </c>
      <c r="X439" t="s">
        <v>223</v>
      </c>
      <c r="Y439" t="s">
        <v>223</v>
      </c>
      <c r="Z439" t="s">
        <v>223</v>
      </c>
      <c r="AA439" t="s">
        <v>223</v>
      </c>
      <c r="AB439" t="s">
        <v>223</v>
      </c>
      <c r="AC439" t="s">
        <v>223</v>
      </c>
      <c r="AD439" t="s">
        <v>223</v>
      </c>
      <c r="AE439" t="s">
        <v>223</v>
      </c>
      <c r="AF439" t="s">
        <v>223</v>
      </c>
      <c r="AG439" t="s">
        <v>223</v>
      </c>
      <c r="AH439" t="s">
        <v>223</v>
      </c>
      <c r="AI439" t="s">
        <v>223</v>
      </c>
      <c r="AJ439" t="s">
        <v>223</v>
      </c>
      <c r="AK439" t="s">
        <v>223</v>
      </c>
      <c r="AL439" t="s">
        <v>223</v>
      </c>
      <c r="AM439" t="s">
        <v>223</v>
      </c>
      <c r="AN439" s="9">
        <v>14</v>
      </c>
    </row>
    <row r="440" spans="1:40">
      <c r="A440" t="s">
        <v>384</v>
      </c>
      <c r="B440">
        <v>15</v>
      </c>
      <c r="C440" t="s">
        <v>223</v>
      </c>
      <c r="D440" t="s">
        <v>223</v>
      </c>
      <c r="E440" t="s">
        <v>223</v>
      </c>
      <c r="F440" t="s">
        <v>223</v>
      </c>
      <c r="G440" t="s">
        <v>223</v>
      </c>
      <c r="H440" t="s">
        <v>223</v>
      </c>
      <c r="I440" t="s">
        <v>223</v>
      </c>
      <c r="J440" t="s">
        <v>223</v>
      </c>
      <c r="K440" t="s">
        <v>223</v>
      </c>
      <c r="L440" t="s">
        <v>223</v>
      </c>
      <c r="M440" t="s">
        <v>223</v>
      </c>
      <c r="N440" t="s">
        <v>223</v>
      </c>
      <c r="O440" t="s">
        <v>223</v>
      </c>
      <c r="P440" t="s">
        <v>223</v>
      </c>
      <c r="Q440" t="s">
        <v>223</v>
      </c>
      <c r="R440" t="s">
        <v>223</v>
      </c>
      <c r="S440" t="s">
        <v>223</v>
      </c>
      <c r="T440" t="s">
        <v>223</v>
      </c>
      <c r="U440" t="s">
        <v>223</v>
      </c>
      <c r="V440" t="s">
        <v>223</v>
      </c>
      <c r="W440" t="s">
        <v>223</v>
      </c>
      <c r="X440" t="s">
        <v>223</v>
      </c>
      <c r="Y440" t="s">
        <v>223</v>
      </c>
      <c r="Z440" t="s">
        <v>223</v>
      </c>
      <c r="AA440" t="s">
        <v>223</v>
      </c>
      <c r="AB440" t="s">
        <v>223</v>
      </c>
      <c r="AC440" t="s">
        <v>223</v>
      </c>
      <c r="AD440" t="s">
        <v>223</v>
      </c>
      <c r="AE440" t="s">
        <v>223</v>
      </c>
      <c r="AF440" t="s">
        <v>223</v>
      </c>
      <c r="AG440" t="s">
        <v>223</v>
      </c>
      <c r="AH440" t="s">
        <v>223</v>
      </c>
      <c r="AI440" t="s">
        <v>223</v>
      </c>
      <c r="AJ440" t="s">
        <v>223</v>
      </c>
      <c r="AK440" t="s">
        <v>223</v>
      </c>
      <c r="AL440" t="s">
        <v>223</v>
      </c>
      <c r="AM440" t="s">
        <v>223</v>
      </c>
      <c r="AN440" s="9">
        <v>15</v>
      </c>
    </row>
    <row r="441" spans="1:40">
      <c r="A441" t="s">
        <v>384</v>
      </c>
      <c r="B441">
        <v>16</v>
      </c>
      <c r="C441" t="s">
        <v>223</v>
      </c>
      <c r="D441" t="s">
        <v>223</v>
      </c>
      <c r="E441" t="s">
        <v>223</v>
      </c>
      <c r="F441" t="s">
        <v>223</v>
      </c>
      <c r="G441" t="s">
        <v>223</v>
      </c>
      <c r="H441" t="s">
        <v>223</v>
      </c>
      <c r="I441" t="s">
        <v>223</v>
      </c>
      <c r="J441" t="s">
        <v>223</v>
      </c>
      <c r="K441" t="s">
        <v>223</v>
      </c>
      <c r="L441" t="s">
        <v>223</v>
      </c>
      <c r="M441" t="s">
        <v>223</v>
      </c>
      <c r="N441" t="s">
        <v>223</v>
      </c>
      <c r="O441" t="s">
        <v>223</v>
      </c>
      <c r="P441" t="s">
        <v>223</v>
      </c>
      <c r="Q441" t="s">
        <v>223</v>
      </c>
      <c r="R441" t="s">
        <v>223</v>
      </c>
      <c r="S441" t="s">
        <v>223</v>
      </c>
      <c r="T441" t="s">
        <v>223</v>
      </c>
      <c r="U441" t="s">
        <v>223</v>
      </c>
      <c r="V441" t="s">
        <v>223</v>
      </c>
      <c r="W441" t="s">
        <v>223</v>
      </c>
      <c r="X441" t="s">
        <v>223</v>
      </c>
      <c r="Y441" t="s">
        <v>223</v>
      </c>
      <c r="Z441" t="s">
        <v>223</v>
      </c>
      <c r="AA441" t="s">
        <v>223</v>
      </c>
      <c r="AB441" t="s">
        <v>223</v>
      </c>
      <c r="AC441" t="s">
        <v>223</v>
      </c>
      <c r="AD441" t="s">
        <v>223</v>
      </c>
      <c r="AE441" t="s">
        <v>223</v>
      </c>
      <c r="AF441" t="s">
        <v>223</v>
      </c>
      <c r="AG441" t="s">
        <v>223</v>
      </c>
      <c r="AH441" t="s">
        <v>223</v>
      </c>
      <c r="AI441" t="s">
        <v>223</v>
      </c>
      <c r="AJ441" t="s">
        <v>223</v>
      </c>
      <c r="AK441" t="s">
        <v>223</v>
      </c>
      <c r="AL441" t="s">
        <v>223</v>
      </c>
      <c r="AM441" t="s">
        <v>223</v>
      </c>
      <c r="AN441" s="9">
        <v>16</v>
      </c>
    </row>
    <row r="442" spans="1:40">
      <c r="A442" t="s">
        <v>384</v>
      </c>
      <c r="B442">
        <v>17</v>
      </c>
      <c r="C442" t="s">
        <v>223</v>
      </c>
      <c r="D442" t="s">
        <v>223</v>
      </c>
      <c r="E442" t="s">
        <v>223</v>
      </c>
      <c r="F442" t="s">
        <v>223</v>
      </c>
      <c r="G442" t="s">
        <v>223</v>
      </c>
      <c r="H442" t="s">
        <v>223</v>
      </c>
      <c r="I442" t="s">
        <v>223</v>
      </c>
      <c r="J442" t="s">
        <v>223</v>
      </c>
      <c r="K442" t="s">
        <v>223</v>
      </c>
      <c r="L442" t="s">
        <v>223</v>
      </c>
      <c r="M442" t="s">
        <v>223</v>
      </c>
      <c r="N442" t="s">
        <v>223</v>
      </c>
      <c r="O442" t="s">
        <v>223</v>
      </c>
      <c r="P442" t="s">
        <v>223</v>
      </c>
      <c r="Q442" t="s">
        <v>223</v>
      </c>
      <c r="R442" t="s">
        <v>223</v>
      </c>
      <c r="S442" t="s">
        <v>223</v>
      </c>
      <c r="T442" t="s">
        <v>223</v>
      </c>
      <c r="U442" t="s">
        <v>223</v>
      </c>
      <c r="V442" t="s">
        <v>223</v>
      </c>
      <c r="W442" t="s">
        <v>223</v>
      </c>
      <c r="X442" t="s">
        <v>223</v>
      </c>
      <c r="Y442" t="s">
        <v>223</v>
      </c>
      <c r="Z442" t="s">
        <v>223</v>
      </c>
      <c r="AA442" t="s">
        <v>223</v>
      </c>
      <c r="AB442" t="s">
        <v>223</v>
      </c>
      <c r="AC442" t="s">
        <v>223</v>
      </c>
      <c r="AD442" t="s">
        <v>223</v>
      </c>
      <c r="AE442" t="s">
        <v>223</v>
      </c>
      <c r="AF442" t="s">
        <v>223</v>
      </c>
      <c r="AG442" t="s">
        <v>223</v>
      </c>
      <c r="AH442" t="s">
        <v>223</v>
      </c>
      <c r="AI442" t="s">
        <v>223</v>
      </c>
      <c r="AJ442" t="s">
        <v>223</v>
      </c>
      <c r="AK442" t="s">
        <v>223</v>
      </c>
      <c r="AL442" t="s">
        <v>223</v>
      </c>
      <c r="AM442" t="s">
        <v>223</v>
      </c>
      <c r="AN442" s="9">
        <v>17</v>
      </c>
    </row>
    <row r="443" spans="1:40">
      <c r="A443" t="s">
        <v>384</v>
      </c>
      <c r="B443">
        <v>18</v>
      </c>
      <c r="C443" t="s">
        <v>223</v>
      </c>
      <c r="D443" t="s">
        <v>223</v>
      </c>
      <c r="E443" t="s">
        <v>223</v>
      </c>
      <c r="F443" t="s">
        <v>223</v>
      </c>
      <c r="G443" t="s">
        <v>223</v>
      </c>
      <c r="H443" t="s">
        <v>223</v>
      </c>
      <c r="I443" t="s">
        <v>223</v>
      </c>
      <c r="J443" t="s">
        <v>223</v>
      </c>
      <c r="K443" t="s">
        <v>223</v>
      </c>
      <c r="L443" t="s">
        <v>223</v>
      </c>
      <c r="M443" t="s">
        <v>223</v>
      </c>
      <c r="N443" t="s">
        <v>223</v>
      </c>
      <c r="O443" t="s">
        <v>223</v>
      </c>
      <c r="P443" t="s">
        <v>223</v>
      </c>
      <c r="Q443" t="s">
        <v>223</v>
      </c>
      <c r="R443" t="s">
        <v>223</v>
      </c>
      <c r="S443" t="s">
        <v>223</v>
      </c>
      <c r="T443" t="s">
        <v>223</v>
      </c>
      <c r="U443" t="s">
        <v>223</v>
      </c>
      <c r="V443" t="s">
        <v>223</v>
      </c>
      <c r="W443" t="s">
        <v>223</v>
      </c>
      <c r="X443" t="s">
        <v>223</v>
      </c>
      <c r="Y443" t="s">
        <v>223</v>
      </c>
      <c r="Z443" t="s">
        <v>223</v>
      </c>
      <c r="AA443" t="s">
        <v>223</v>
      </c>
      <c r="AB443" t="s">
        <v>223</v>
      </c>
      <c r="AC443" t="s">
        <v>223</v>
      </c>
      <c r="AD443" t="s">
        <v>223</v>
      </c>
      <c r="AE443" t="s">
        <v>223</v>
      </c>
      <c r="AF443" t="s">
        <v>223</v>
      </c>
      <c r="AG443" t="s">
        <v>223</v>
      </c>
      <c r="AH443" t="s">
        <v>223</v>
      </c>
      <c r="AI443" t="s">
        <v>223</v>
      </c>
      <c r="AJ443" t="s">
        <v>223</v>
      </c>
      <c r="AK443" t="s">
        <v>223</v>
      </c>
      <c r="AL443" t="s">
        <v>223</v>
      </c>
      <c r="AM443" t="s">
        <v>223</v>
      </c>
      <c r="AN443" s="9">
        <v>18</v>
      </c>
    </row>
    <row r="444" spans="1:40">
      <c r="A444" t="s">
        <v>384</v>
      </c>
      <c r="B444">
        <v>19</v>
      </c>
      <c r="C444" t="s">
        <v>223</v>
      </c>
      <c r="D444" t="s">
        <v>223</v>
      </c>
      <c r="E444" t="s">
        <v>223</v>
      </c>
      <c r="F444" t="s">
        <v>223</v>
      </c>
      <c r="G444" t="s">
        <v>223</v>
      </c>
      <c r="H444" t="s">
        <v>223</v>
      </c>
      <c r="I444" t="s">
        <v>223</v>
      </c>
      <c r="J444" t="s">
        <v>223</v>
      </c>
      <c r="K444" t="s">
        <v>223</v>
      </c>
      <c r="L444" t="s">
        <v>223</v>
      </c>
      <c r="M444" t="s">
        <v>223</v>
      </c>
      <c r="N444" t="s">
        <v>223</v>
      </c>
      <c r="O444" t="s">
        <v>223</v>
      </c>
      <c r="P444" t="s">
        <v>223</v>
      </c>
      <c r="Q444" t="s">
        <v>223</v>
      </c>
      <c r="R444" t="s">
        <v>223</v>
      </c>
      <c r="S444" t="s">
        <v>223</v>
      </c>
      <c r="T444" t="s">
        <v>223</v>
      </c>
      <c r="U444" t="s">
        <v>223</v>
      </c>
      <c r="V444" t="s">
        <v>223</v>
      </c>
      <c r="W444" t="s">
        <v>223</v>
      </c>
      <c r="X444" t="s">
        <v>223</v>
      </c>
      <c r="Y444" t="s">
        <v>223</v>
      </c>
      <c r="Z444" t="s">
        <v>223</v>
      </c>
      <c r="AA444" t="s">
        <v>223</v>
      </c>
      <c r="AB444" t="s">
        <v>223</v>
      </c>
      <c r="AC444" t="s">
        <v>223</v>
      </c>
      <c r="AD444" t="s">
        <v>223</v>
      </c>
      <c r="AE444" t="s">
        <v>223</v>
      </c>
      <c r="AF444" t="s">
        <v>223</v>
      </c>
      <c r="AG444" t="s">
        <v>223</v>
      </c>
      <c r="AH444" t="s">
        <v>223</v>
      </c>
      <c r="AI444" t="s">
        <v>223</v>
      </c>
      <c r="AJ444" t="s">
        <v>223</v>
      </c>
      <c r="AK444" t="s">
        <v>223</v>
      </c>
      <c r="AL444" t="s">
        <v>223</v>
      </c>
      <c r="AM444" t="s">
        <v>223</v>
      </c>
      <c r="AN444" s="9">
        <v>19</v>
      </c>
    </row>
    <row r="445" spans="1:40">
      <c r="A445" t="s">
        <v>384</v>
      </c>
      <c r="B445">
        <v>20</v>
      </c>
      <c r="C445" t="s">
        <v>223</v>
      </c>
      <c r="D445" t="s">
        <v>223</v>
      </c>
      <c r="E445" t="s">
        <v>223</v>
      </c>
      <c r="F445" t="s">
        <v>223</v>
      </c>
      <c r="G445" t="s">
        <v>223</v>
      </c>
      <c r="H445" t="s">
        <v>223</v>
      </c>
      <c r="I445" t="s">
        <v>223</v>
      </c>
      <c r="J445" t="s">
        <v>223</v>
      </c>
      <c r="K445" t="s">
        <v>223</v>
      </c>
      <c r="L445" t="s">
        <v>223</v>
      </c>
      <c r="M445" t="s">
        <v>223</v>
      </c>
      <c r="N445" t="s">
        <v>223</v>
      </c>
      <c r="O445" t="s">
        <v>223</v>
      </c>
      <c r="P445" t="s">
        <v>223</v>
      </c>
      <c r="Q445" t="s">
        <v>223</v>
      </c>
      <c r="R445" t="s">
        <v>223</v>
      </c>
      <c r="S445" t="s">
        <v>223</v>
      </c>
      <c r="T445" t="s">
        <v>223</v>
      </c>
      <c r="U445" t="s">
        <v>223</v>
      </c>
      <c r="V445" t="s">
        <v>223</v>
      </c>
      <c r="W445" t="s">
        <v>223</v>
      </c>
      <c r="X445" t="s">
        <v>223</v>
      </c>
      <c r="Y445" t="s">
        <v>223</v>
      </c>
      <c r="Z445" t="s">
        <v>223</v>
      </c>
      <c r="AA445" t="s">
        <v>223</v>
      </c>
      <c r="AB445" t="s">
        <v>223</v>
      </c>
      <c r="AC445" t="s">
        <v>223</v>
      </c>
      <c r="AD445" t="s">
        <v>223</v>
      </c>
      <c r="AE445" t="s">
        <v>223</v>
      </c>
      <c r="AF445" t="s">
        <v>223</v>
      </c>
      <c r="AG445" t="s">
        <v>223</v>
      </c>
      <c r="AH445" t="s">
        <v>223</v>
      </c>
      <c r="AI445" t="s">
        <v>223</v>
      </c>
      <c r="AJ445" t="s">
        <v>223</v>
      </c>
      <c r="AK445" t="s">
        <v>223</v>
      </c>
      <c r="AL445" t="s">
        <v>223</v>
      </c>
      <c r="AM445" t="s">
        <v>223</v>
      </c>
      <c r="AN445" s="9">
        <v>20</v>
      </c>
    </row>
    <row r="446" spans="1:40">
      <c r="A446" t="s">
        <v>384</v>
      </c>
      <c r="B446">
        <v>21</v>
      </c>
      <c r="C446" t="s">
        <v>223</v>
      </c>
      <c r="D446" t="s">
        <v>223</v>
      </c>
      <c r="E446" t="s">
        <v>223</v>
      </c>
      <c r="F446" t="s">
        <v>223</v>
      </c>
      <c r="G446" t="s">
        <v>223</v>
      </c>
      <c r="H446" t="s">
        <v>223</v>
      </c>
      <c r="I446" t="s">
        <v>223</v>
      </c>
      <c r="J446" t="s">
        <v>223</v>
      </c>
      <c r="K446" t="s">
        <v>223</v>
      </c>
      <c r="L446" t="s">
        <v>223</v>
      </c>
      <c r="M446" t="s">
        <v>223</v>
      </c>
      <c r="N446" t="s">
        <v>223</v>
      </c>
      <c r="O446" t="s">
        <v>223</v>
      </c>
      <c r="P446" t="s">
        <v>223</v>
      </c>
      <c r="Q446" t="s">
        <v>223</v>
      </c>
      <c r="R446" t="s">
        <v>223</v>
      </c>
      <c r="S446" t="s">
        <v>223</v>
      </c>
      <c r="T446" t="s">
        <v>223</v>
      </c>
      <c r="U446" t="s">
        <v>223</v>
      </c>
      <c r="V446" t="s">
        <v>223</v>
      </c>
      <c r="W446" t="s">
        <v>223</v>
      </c>
      <c r="X446" t="s">
        <v>223</v>
      </c>
      <c r="Y446" t="s">
        <v>223</v>
      </c>
      <c r="Z446" t="s">
        <v>223</v>
      </c>
      <c r="AA446" t="s">
        <v>223</v>
      </c>
      <c r="AB446" t="s">
        <v>223</v>
      </c>
      <c r="AC446" t="s">
        <v>223</v>
      </c>
      <c r="AD446" t="s">
        <v>223</v>
      </c>
      <c r="AE446" t="s">
        <v>223</v>
      </c>
      <c r="AF446" t="s">
        <v>223</v>
      </c>
      <c r="AG446" t="s">
        <v>223</v>
      </c>
      <c r="AH446" t="s">
        <v>223</v>
      </c>
      <c r="AI446" t="s">
        <v>223</v>
      </c>
      <c r="AJ446" t="s">
        <v>223</v>
      </c>
      <c r="AK446" t="s">
        <v>223</v>
      </c>
      <c r="AL446" t="s">
        <v>223</v>
      </c>
      <c r="AM446" t="s">
        <v>223</v>
      </c>
      <c r="AN446" s="9">
        <v>21</v>
      </c>
    </row>
    <row r="447" spans="1:40">
      <c r="A447" t="s">
        <v>384</v>
      </c>
      <c r="B447">
        <v>22</v>
      </c>
      <c r="C447" t="s">
        <v>223</v>
      </c>
      <c r="D447" t="s">
        <v>223</v>
      </c>
      <c r="E447" t="s">
        <v>223</v>
      </c>
      <c r="F447" t="s">
        <v>223</v>
      </c>
      <c r="G447" t="s">
        <v>223</v>
      </c>
      <c r="H447" t="s">
        <v>223</v>
      </c>
      <c r="I447" t="s">
        <v>223</v>
      </c>
      <c r="J447" t="s">
        <v>223</v>
      </c>
      <c r="K447" t="s">
        <v>223</v>
      </c>
      <c r="L447" t="s">
        <v>223</v>
      </c>
      <c r="M447" t="s">
        <v>223</v>
      </c>
      <c r="N447" t="s">
        <v>223</v>
      </c>
      <c r="O447" t="s">
        <v>223</v>
      </c>
      <c r="P447" t="s">
        <v>223</v>
      </c>
      <c r="Q447" t="s">
        <v>223</v>
      </c>
      <c r="R447" t="s">
        <v>223</v>
      </c>
      <c r="S447" t="s">
        <v>223</v>
      </c>
      <c r="T447" t="s">
        <v>223</v>
      </c>
      <c r="U447" t="s">
        <v>223</v>
      </c>
      <c r="V447" t="s">
        <v>223</v>
      </c>
      <c r="W447" t="s">
        <v>223</v>
      </c>
      <c r="X447" t="s">
        <v>223</v>
      </c>
      <c r="Y447" t="s">
        <v>223</v>
      </c>
      <c r="Z447" t="s">
        <v>223</v>
      </c>
      <c r="AA447" t="s">
        <v>223</v>
      </c>
      <c r="AB447" t="s">
        <v>223</v>
      </c>
      <c r="AC447" t="s">
        <v>223</v>
      </c>
      <c r="AD447" t="s">
        <v>223</v>
      </c>
      <c r="AE447" t="s">
        <v>223</v>
      </c>
      <c r="AF447" t="s">
        <v>223</v>
      </c>
      <c r="AG447" t="s">
        <v>223</v>
      </c>
      <c r="AH447" t="s">
        <v>223</v>
      </c>
      <c r="AI447" t="s">
        <v>223</v>
      </c>
      <c r="AJ447" t="s">
        <v>223</v>
      </c>
      <c r="AK447" t="s">
        <v>223</v>
      </c>
      <c r="AL447" t="s">
        <v>223</v>
      </c>
      <c r="AM447" t="s">
        <v>223</v>
      </c>
      <c r="AN447" s="9">
        <v>22</v>
      </c>
    </row>
    <row r="448" spans="1:40">
      <c r="A448" t="s">
        <v>384</v>
      </c>
      <c r="B448">
        <v>23</v>
      </c>
      <c r="C448" t="s">
        <v>223</v>
      </c>
      <c r="D448" t="s">
        <v>223</v>
      </c>
      <c r="E448" t="s">
        <v>223</v>
      </c>
      <c r="F448" t="s">
        <v>223</v>
      </c>
      <c r="G448" t="s">
        <v>223</v>
      </c>
      <c r="H448" t="s">
        <v>223</v>
      </c>
      <c r="I448" t="s">
        <v>223</v>
      </c>
      <c r="J448" t="s">
        <v>223</v>
      </c>
      <c r="K448" t="s">
        <v>223</v>
      </c>
      <c r="L448" t="s">
        <v>223</v>
      </c>
      <c r="M448" t="s">
        <v>223</v>
      </c>
      <c r="N448" t="s">
        <v>223</v>
      </c>
      <c r="O448" t="s">
        <v>223</v>
      </c>
      <c r="P448" t="s">
        <v>223</v>
      </c>
      <c r="Q448" t="s">
        <v>223</v>
      </c>
      <c r="R448" t="s">
        <v>223</v>
      </c>
      <c r="S448" t="s">
        <v>223</v>
      </c>
      <c r="T448" t="s">
        <v>223</v>
      </c>
      <c r="U448" t="s">
        <v>223</v>
      </c>
      <c r="V448" t="s">
        <v>223</v>
      </c>
      <c r="W448" t="s">
        <v>223</v>
      </c>
      <c r="X448" t="s">
        <v>223</v>
      </c>
      <c r="Y448" t="s">
        <v>223</v>
      </c>
      <c r="Z448" t="s">
        <v>223</v>
      </c>
      <c r="AA448" t="s">
        <v>223</v>
      </c>
      <c r="AB448" t="s">
        <v>223</v>
      </c>
      <c r="AC448" t="s">
        <v>223</v>
      </c>
      <c r="AD448" t="s">
        <v>223</v>
      </c>
      <c r="AE448" t="s">
        <v>223</v>
      </c>
      <c r="AF448" t="s">
        <v>223</v>
      </c>
      <c r="AG448" t="s">
        <v>223</v>
      </c>
      <c r="AH448" t="s">
        <v>223</v>
      </c>
      <c r="AI448" t="s">
        <v>223</v>
      </c>
      <c r="AJ448" t="s">
        <v>223</v>
      </c>
      <c r="AK448" t="s">
        <v>223</v>
      </c>
      <c r="AL448" t="s">
        <v>223</v>
      </c>
      <c r="AM448" t="s">
        <v>223</v>
      </c>
      <c r="AN448" s="9">
        <v>23</v>
      </c>
    </row>
    <row r="449" spans="1:40">
      <c r="A449" t="s">
        <v>384</v>
      </c>
      <c r="B449">
        <v>24</v>
      </c>
      <c r="C449" t="s">
        <v>223</v>
      </c>
      <c r="D449" t="s">
        <v>223</v>
      </c>
      <c r="E449" t="s">
        <v>223</v>
      </c>
      <c r="F449" t="s">
        <v>223</v>
      </c>
      <c r="G449" t="s">
        <v>223</v>
      </c>
      <c r="H449" t="s">
        <v>223</v>
      </c>
      <c r="I449" t="s">
        <v>223</v>
      </c>
      <c r="J449" t="s">
        <v>223</v>
      </c>
      <c r="K449" t="s">
        <v>223</v>
      </c>
      <c r="L449" t="s">
        <v>223</v>
      </c>
      <c r="M449" t="s">
        <v>223</v>
      </c>
      <c r="N449" t="s">
        <v>223</v>
      </c>
      <c r="O449" t="s">
        <v>223</v>
      </c>
      <c r="P449" t="s">
        <v>223</v>
      </c>
      <c r="Q449" t="s">
        <v>223</v>
      </c>
      <c r="R449" t="s">
        <v>223</v>
      </c>
      <c r="S449" t="s">
        <v>223</v>
      </c>
      <c r="T449" t="s">
        <v>223</v>
      </c>
      <c r="U449" t="s">
        <v>223</v>
      </c>
      <c r="V449" t="s">
        <v>223</v>
      </c>
      <c r="W449" t="s">
        <v>223</v>
      </c>
      <c r="X449" t="s">
        <v>223</v>
      </c>
      <c r="Y449" t="s">
        <v>223</v>
      </c>
      <c r="Z449" t="s">
        <v>223</v>
      </c>
      <c r="AA449" t="s">
        <v>223</v>
      </c>
      <c r="AB449" t="s">
        <v>223</v>
      </c>
      <c r="AC449" t="s">
        <v>223</v>
      </c>
      <c r="AD449" t="s">
        <v>223</v>
      </c>
      <c r="AE449" t="s">
        <v>223</v>
      </c>
      <c r="AF449" t="s">
        <v>223</v>
      </c>
      <c r="AG449" t="s">
        <v>223</v>
      </c>
      <c r="AH449" t="s">
        <v>223</v>
      </c>
      <c r="AI449" t="s">
        <v>223</v>
      </c>
      <c r="AJ449" t="s">
        <v>223</v>
      </c>
      <c r="AK449" t="s">
        <v>223</v>
      </c>
      <c r="AL449" t="s">
        <v>223</v>
      </c>
      <c r="AM449" t="s">
        <v>223</v>
      </c>
      <c r="AN449" s="9">
        <v>24</v>
      </c>
    </row>
    <row r="450" spans="1:40">
      <c r="A450" t="s">
        <v>384</v>
      </c>
      <c r="B450">
        <v>25</v>
      </c>
      <c r="C450" t="s">
        <v>223</v>
      </c>
      <c r="D450" t="s">
        <v>223</v>
      </c>
      <c r="E450" t="s">
        <v>223</v>
      </c>
      <c r="F450" t="s">
        <v>223</v>
      </c>
      <c r="G450" t="s">
        <v>223</v>
      </c>
      <c r="H450" t="s">
        <v>223</v>
      </c>
      <c r="I450" t="s">
        <v>223</v>
      </c>
      <c r="J450" t="s">
        <v>223</v>
      </c>
      <c r="K450" t="s">
        <v>223</v>
      </c>
      <c r="L450" t="s">
        <v>223</v>
      </c>
      <c r="M450" t="s">
        <v>223</v>
      </c>
      <c r="N450" t="s">
        <v>223</v>
      </c>
      <c r="O450" t="s">
        <v>223</v>
      </c>
      <c r="P450" t="s">
        <v>223</v>
      </c>
      <c r="Q450" t="s">
        <v>223</v>
      </c>
      <c r="R450" t="s">
        <v>223</v>
      </c>
      <c r="S450" t="s">
        <v>223</v>
      </c>
      <c r="T450" t="s">
        <v>223</v>
      </c>
      <c r="U450" t="s">
        <v>223</v>
      </c>
      <c r="V450" t="s">
        <v>223</v>
      </c>
      <c r="W450" t="s">
        <v>223</v>
      </c>
      <c r="X450" t="s">
        <v>223</v>
      </c>
      <c r="Y450" t="s">
        <v>223</v>
      </c>
      <c r="Z450" t="s">
        <v>223</v>
      </c>
      <c r="AA450" t="s">
        <v>223</v>
      </c>
      <c r="AB450" t="s">
        <v>223</v>
      </c>
      <c r="AC450" t="s">
        <v>223</v>
      </c>
      <c r="AD450" t="s">
        <v>223</v>
      </c>
      <c r="AE450" t="s">
        <v>223</v>
      </c>
      <c r="AF450" t="s">
        <v>223</v>
      </c>
      <c r="AG450" t="s">
        <v>223</v>
      </c>
      <c r="AH450" t="s">
        <v>223</v>
      </c>
      <c r="AI450" t="s">
        <v>223</v>
      </c>
      <c r="AJ450" t="s">
        <v>223</v>
      </c>
      <c r="AK450" t="s">
        <v>223</v>
      </c>
      <c r="AL450" t="s">
        <v>223</v>
      </c>
      <c r="AM450" t="s">
        <v>223</v>
      </c>
      <c r="AN450" s="9">
        <v>25</v>
      </c>
    </row>
    <row r="451" spans="1:40">
      <c r="A451" t="s">
        <v>384</v>
      </c>
      <c r="B451">
        <v>26</v>
      </c>
      <c r="C451" t="s">
        <v>223</v>
      </c>
      <c r="D451" t="s">
        <v>223</v>
      </c>
      <c r="E451" t="s">
        <v>223</v>
      </c>
      <c r="F451" t="s">
        <v>223</v>
      </c>
      <c r="G451" t="s">
        <v>223</v>
      </c>
      <c r="H451" t="s">
        <v>223</v>
      </c>
      <c r="I451" t="s">
        <v>223</v>
      </c>
      <c r="J451" t="s">
        <v>223</v>
      </c>
      <c r="K451" t="s">
        <v>223</v>
      </c>
      <c r="L451" t="s">
        <v>223</v>
      </c>
      <c r="M451" t="s">
        <v>223</v>
      </c>
      <c r="N451" t="s">
        <v>223</v>
      </c>
      <c r="O451" t="s">
        <v>223</v>
      </c>
      <c r="P451" t="s">
        <v>223</v>
      </c>
      <c r="Q451" t="s">
        <v>223</v>
      </c>
      <c r="R451" t="s">
        <v>223</v>
      </c>
      <c r="S451" t="s">
        <v>223</v>
      </c>
      <c r="T451" t="s">
        <v>223</v>
      </c>
      <c r="U451" t="s">
        <v>223</v>
      </c>
      <c r="V451" t="s">
        <v>223</v>
      </c>
      <c r="W451" t="s">
        <v>223</v>
      </c>
      <c r="X451" t="s">
        <v>223</v>
      </c>
      <c r="Y451" t="s">
        <v>223</v>
      </c>
      <c r="Z451" t="s">
        <v>223</v>
      </c>
      <c r="AA451" t="s">
        <v>223</v>
      </c>
      <c r="AB451" t="s">
        <v>223</v>
      </c>
      <c r="AC451" t="s">
        <v>223</v>
      </c>
      <c r="AD451" t="s">
        <v>223</v>
      </c>
      <c r="AE451" t="s">
        <v>223</v>
      </c>
      <c r="AF451" t="s">
        <v>223</v>
      </c>
      <c r="AG451" t="s">
        <v>223</v>
      </c>
      <c r="AH451" t="s">
        <v>223</v>
      </c>
      <c r="AI451" t="s">
        <v>223</v>
      </c>
      <c r="AJ451" t="s">
        <v>223</v>
      </c>
      <c r="AK451" t="s">
        <v>223</v>
      </c>
      <c r="AL451" t="s">
        <v>223</v>
      </c>
      <c r="AM451" t="s">
        <v>223</v>
      </c>
      <c r="AN451" s="9">
        <v>26</v>
      </c>
    </row>
    <row r="452" spans="1:40">
      <c r="A452" t="s">
        <v>384</v>
      </c>
      <c r="B452">
        <v>27</v>
      </c>
      <c r="C452" t="s">
        <v>223</v>
      </c>
      <c r="D452" t="s">
        <v>223</v>
      </c>
      <c r="E452" t="s">
        <v>223</v>
      </c>
      <c r="F452" t="s">
        <v>223</v>
      </c>
      <c r="G452" t="s">
        <v>223</v>
      </c>
      <c r="H452" t="s">
        <v>223</v>
      </c>
      <c r="I452" t="s">
        <v>223</v>
      </c>
      <c r="J452" t="s">
        <v>223</v>
      </c>
      <c r="K452" t="s">
        <v>223</v>
      </c>
      <c r="L452" t="s">
        <v>223</v>
      </c>
      <c r="M452" t="s">
        <v>223</v>
      </c>
      <c r="N452" t="s">
        <v>223</v>
      </c>
      <c r="O452" t="s">
        <v>223</v>
      </c>
      <c r="P452" t="s">
        <v>223</v>
      </c>
      <c r="Q452" t="s">
        <v>223</v>
      </c>
      <c r="R452" t="s">
        <v>223</v>
      </c>
      <c r="S452" t="s">
        <v>223</v>
      </c>
      <c r="T452" t="s">
        <v>223</v>
      </c>
      <c r="U452" t="s">
        <v>223</v>
      </c>
      <c r="V452" t="s">
        <v>223</v>
      </c>
      <c r="W452" t="s">
        <v>223</v>
      </c>
      <c r="X452" t="s">
        <v>223</v>
      </c>
      <c r="Y452" t="s">
        <v>223</v>
      </c>
      <c r="Z452" t="s">
        <v>223</v>
      </c>
      <c r="AA452" t="s">
        <v>223</v>
      </c>
      <c r="AB452" t="s">
        <v>223</v>
      </c>
      <c r="AC452" t="s">
        <v>223</v>
      </c>
      <c r="AD452" t="s">
        <v>223</v>
      </c>
      <c r="AE452" t="s">
        <v>223</v>
      </c>
      <c r="AF452" t="s">
        <v>223</v>
      </c>
      <c r="AG452" t="s">
        <v>223</v>
      </c>
      <c r="AH452" t="s">
        <v>223</v>
      </c>
      <c r="AI452" t="s">
        <v>223</v>
      </c>
      <c r="AJ452" t="s">
        <v>223</v>
      </c>
      <c r="AK452" t="s">
        <v>223</v>
      </c>
      <c r="AL452" t="s">
        <v>223</v>
      </c>
      <c r="AM452" t="s">
        <v>223</v>
      </c>
      <c r="AN452" s="9">
        <v>27</v>
      </c>
    </row>
    <row r="453" spans="1:40">
      <c r="A453" t="s">
        <v>384</v>
      </c>
      <c r="B453">
        <v>28</v>
      </c>
      <c r="C453" t="s">
        <v>223</v>
      </c>
      <c r="D453" t="s">
        <v>223</v>
      </c>
      <c r="E453" t="s">
        <v>223</v>
      </c>
      <c r="F453" t="s">
        <v>223</v>
      </c>
      <c r="G453" t="s">
        <v>223</v>
      </c>
      <c r="H453" t="s">
        <v>223</v>
      </c>
      <c r="I453" t="s">
        <v>223</v>
      </c>
      <c r="J453" t="s">
        <v>223</v>
      </c>
      <c r="K453" t="s">
        <v>223</v>
      </c>
      <c r="L453" t="s">
        <v>223</v>
      </c>
      <c r="M453" t="s">
        <v>223</v>
      </c>
      <c r="N453" t="s">
        <v>223</v>
      </c>
      <c r="O453" t="s">
        <v>223</v>
      </c>
      <c r="P453" t="s">
        <v>223</v>
      </c>
      <c r="Q453" t="s">
        <v>223</v>
      </c>
      <c r="R453" t="s">
        <v>223</v>
      </c>
      <c r="S453" t="s">
        <v>223</v>
      </c>
      <c r="T453" t="s">
        <v>223</v>
      </c>
      <c r="U453" t="s">
        <v>223</v>
      </c>
      <c r="V453" t="s">
        <v>223</v>
      </c>
      <c r="W453" t="s">
        <v>223</v>
      </c>
      <c r="X453" t="s">
        <v>223</v>
      </c>
      <c r="Y453" t="s">
        <v>223</v>
      </c>
      <c r="Z453" t="s">
        <v>223</v>
      </c>
      <c r="AA453" t="s">
        <v>223</v>
      </c>
      <c r="AB453" t="s">
        <v>223</v>
      </c>
      <c r="AC453" t="s">
        <v>223</v>
      </c>
      <c r="AD453" t="s">
        <v>223</v>
      </c>
      <c r="AE453" t="s">
        <v>223</v>
      </c>
      <c r="AF453" t="s">
        <v>223</v>
      </c>
      <c r="AG453" t="s">
        <v>223</v>
      </c>
      <c r="AH453" t="s">
        <v>223</v>
      </c>
      <c r="AI453" t="s">
        <v>223</v>
      </c>
      <c r="AJ453" t="s">
        <v>223</v>
      </c>
      <c r="AK453" t="s">
        <v>223</v>
      </c>
      <c r="AL453" t="s">
        <v>223</v>
      </c>
      <c r="AM453" t="s">
        <v>223</v>
      </c>
      <c r="AN453" s="9">
        <v>28</v>
      </c>
    </row>
    <row r="454" spans="1:40">
      <c r="A454" t="s">
        <v>384</v>
      </c>
      <c r="B454">
        <v>29</v>
      </c>
      <c r="C454" t="s">
        <v>223</v>
      </c>
      <c r="D454" t="s">
        <v>223</v>
      </c>
      <c r="E454" t="s">
        <v>223</v>
      </c>
      <c r="F454" t="s">
        <v>223</v>
      </c>
      <c r="G454" t="s">
        <v>223</v>
      </c>
      <c r="H454" t="s">
        <v>223</v>
      </c>
      <c r="I454" t="s">
        <v>223</v>
      </c>
      <c r="J454" t="s">
        <v>223</v>
      </c>
      <c r="K454" t="s">
        <v>223</v>
      </c>
      <c r="L454" t="s">
        <v>223</v>
      </c>
      <c r="M454" t="s">
        <v>223</v>
      </c>
      <c r="N454" t="s">
        <v>223</v>
      </c>
      <c r="O454" t="s">
        <v>223</v>
      </c>
      <c r="P454" t="s">
        <v>223</v>
      </c>
      <c r="Q454" t="s">
        <v>223</v>
      </c>
      <c r="R454" t="s">
        <v>223</v>
      </c>
      <c r="S454" t="s">
        <v>223</v>
      </c>
      <c r="T454" t="s">
        <v>223</v>
      </c>
      <c r="U454" t="s">
        <v>223</v>
      </c>
      <c r="V454" t="s">
        <v>223</v>
      </c>
      <c r="W454" t="s">
        <v>223</v>
      </c>
      <c r="X454" t="s">
        <v>223</v>
      </c>
      <c r="Y454" t="s">
        <v>223</v>
      </c>
      <c r="Z454" t="s">
        <v>223</v>
      </c>
      <c r="AA454" t="s">
        <v>223</v>
      </c>
      <c r="AB454" t="s">
        <v>223</v>
      </c>
      <c r="AC454" t="s">
        <v>223</v>
      </c>
      <c r="AD454" t="s">
        <v>223</v>
      </c>
      <c r="AE454" t="s">
        <v>223</v>
      </c>
      <c r="AF454" t="s">
        <v>223</v>
      </c>
      <c r="AG454" t="s">
        <v>223</v>
      </c>
      <c r="AH454" t="s">
        <v>223</v>
      </c>
      <c r="AI454" t="s">
        <v>223</v>
      </c>
      <c r="AJ454" t="s">
        <v>223</v>
      </c>
      <c r="AK454" t="s">
        <v>223</v>
      </c>
      <c r="AL454" t="s">
        <v>223</v>
      </c>
      <c r="AM454" t="s">
        <v>223</v>
      </c>
      <c r="AN454" s="9">
        <v>29</v>
      </c>
    </row>
    <row r="455" spans="1:40">
      <c r="A455" t="s">
        <v>384</v>
      </c>
      <c r="B455">
        <v>30</v>
      </c>
      <c r="C455" t="s">
        <v>223</v>
      </c>
      <c r="D455" t="s">
        <v>223</v>
      </c>
      <c r="E455" t="s">
        <v>223</v>
      </c>
      <c r="F455" t="s">
        <v>223</v>
      </c>
      <c r="G455" t="s">
        <v>223</v>
      </c>
      <c r="H455" t="s">
        <v>223</v>
      </c>
      <c r="I455" t="s">
        <v>223</v>
      </c>
      <c r="J455" t="s">
        <v>223</v>
      </c>
      <c r="K455" t="s">
        <v>223</v>
      </c>
      <c r="L455" t="s">
        <v>223</v>
      </c>
      <c r="M455" t="s">
        <v>223</v>
      </c>
      <c r="N455" t="s">
        <v>223</v>
      </c>
      <c r="O455" t="s">
        <v>223</v>
      </c>
      <c r="P455" t="s">
        <v>223</v>
      </c>
      <c r="Q455" t="s">
        <v>223</v>
      </c>
      <c r="R455" t="s">
        <v>223</v>
      </c>
      <c r="S455" t="s">
        <v>223</v>
      </c>
      <c r="T455" t="s">
        <v>223</v>
      </c>
      <c r="U455" t="s">
        <v>223</v>
      </c>
      <c r="V455" t="s">
        <v>223</v>
      </c>
      <c r="W455" t="s">
        <v>223</v>
      </c>
      <c r="X455" t="s">
        <v>223</v>
      </c>
      <c r="Y455" t="s">
        <v>223</v>
      </c>
      <c r="Z455" t="s">
        <v>223</v>
      </c>
      <c r="AA455" t="s">
        <v>223</v>
      </c>
      <c r="AB455" t="s">
        <v>223</v>
      </c>
      <c r="AC455" t="s">
        <v>223</v>
      </c>
      <c r="AD455" t="s">
        <v>223</v>
      </c>
      <c r="AE455" t="s">
        <v>223</v>
      </c>
      <c r="AF455" t="s">
        <v>223</v>
      </c>
      <c r="AG455" t="s">
        <v>223</v>
      </c>
      <c r="AH455" t="s">
        <v>223</v>
      </c>
      <c r="AI455" t="s">
        <v>223</v>
      </c>
      <c r="AJ455" t="s">
        <v>223</v>
      </c>
      <c r="AK455" t="s">
        <v>223</v>
      </c>
      <c r="AL455" t="s">
        <v>223</v>
      </c>
      <c r="AM455" t="s">
        <v>223</v>
      </c>
      <c r="AN455" s="9">
        <v>30</v>
      </c>
    </row>
    <row r="456" spans="1:40">
      <c r="A456" t="s">
        <v>384</v>
      </c>
      <c r="B456">
        <v>31</v>
      </c>
      <c r="C456" t="s">
        <v>223</v>
      </c>
      <c r="D456" t="s">
        <v>223</v>
      </c>
      <c r="E456" t="s">
        <v>223</v>
      </c>
      <c r="F456" t="s">
        <v>223</v>
      </c>
      <c r="G456" t="s">
        <v>223</v>
      </c>
      <c r="H456" t="s">
        <v>223</v>
      </c>
      <c r="I456" t="s">
        <v>223</v>
      </c>
      <c r="J456" t="s">
        <v>223</v>
      </c>
      <c r="K456" t="s">
        <v>223</v>
      </c>
      <c r="L456" t="s">
        <v>223</v>
      </c>
      <c r="M456" t="s">
        <v>223</v>
      </c>
      <c r="N456" t="s">
        <v>223</v>
      </c>
      <c r="O456" t="s">
        <v>223</v>
      </c>
      <c r="P456" t="s">
        <v>223</v>
      </c>
      <c r="Q456" t="s">
        <v>223</v>
      </c>
      <c r="R456" t="s">
        <v>223</v>
      </c>
      <c r="S456" t="s">
        <v>223</v>
      </c>
      <c r="T456" t="s">
        <v>223</v>
      </c>
      <c r="U456" t="s">
        <v>223</v>
      </c>
      <c r="V456" t="s">
        <v>223</v>
      </c>
      <c r="W456" t="s">
        <v>223</v>
      </c>
      <c r="X456" t="s">
        <v>223</v>
      </c>
      <c r="Y456" t="s">
        <v>223</v>
      </c>
      <c r="Z456" t="s">
        <v>223</v>
      </c>
      <c r="AA456" t="s">
        <v>223</v>
      </c>
      <c r="AB456" t="s">
        <v>223</v>
      </c>
      <c r="AC456" t="s">
        <v>223</v>
      </c>
      <c r="AD456" t="s">
        <v>223</v>
      </c>
      <c r="AE456" t="s">
        <v>223</v>
      </c>
      <c r="AF456" t="s">
        <v>223</v>
      </c>
      <c r="AG456" t="s">
        <v>223</v>
      </c>
      <c r="AH456" t="s">
        <v>223</v>
      </c>
      <c r="AI456" t="s">
        <v>223</v>
      </c>
      <c r="AJ456" t="s">
        <v>223</v>
      </c>
      <c r="AK456" t="s">
        <v>223</v>
      </c>
      <c r="AL456" t="s">
        <v>223</v>
      </c>
      <c r="AM456" t="s">
        <v>223</v>
      </c>
      <c r="AN456" s="9">
        <v>31</v>
      </c>
    </row>
    <row r="457" spans="1:40">
      <c r="A457" t="s">
        <v>384</v>
      </c>
      <c r="B457">
        <v>32</v>
      </c>
      <c r="C457" t="s">
        <v>223</v>
      </c>
      <c r="D457" t="s">
        <v>223</v>
      </c>
      <c r="E457" t="s">
        <v>223</v>
      </c>
      <c r="F457" t="s">
        <v>223</v>
      </c>
      <c r="G457" t="s">
        <v>223</v>
      </c>
      <c r="H457" t="s">
        <v>223</v>
      </c>
      <c r="I457" t="s">
        <v>223</v>
      </c>
      <c r="J457" t="s">
        <v>223</v>
      </c>
      <c r="K457" t="s">
        <v>223</v>
      </c>
      <c r="L457" t="s">
        <v>223</v>
      </c>
      <c r="M457" t="s">
        <v>223</v>
      </c>
      <c r="N457" t="s">
        <v>223</v>
      </c>
      <c r="O457" t="s">
        <v>223</v>
      </c>
      <c r="P457" t="s">
        <v>223</v>
      </c>
      <c r="Q457" t="s">
        <v>223</v>
      </c>
      <c r="R457" t="s">
        <v>223</v>
      </c>
      <c r="S457" t="s">
        <v>223</v>
      </c>
      <c r="T457" t="s">
        <v>223</v>
      </c>
      <c r="U457" t="s">
        <v>223</v>
      </c>
      <c r="V457" t="s">
        <v>223</v>
      </c>
      <c r="W457" t="s">
        <v>223</v>
      </c>
      <c r="X457" t="s">
        <v>223</v>
      </c>
      <c r="Y457" t="s">
        <v>223</v>
      </c>
      <c r="Z457" t="s">
        <v>223</v>
      </c>
      <c r="AA457" t="s">
        <v>223</v>
      </c>
      <c r="AB457" t="s">
        <v>223</v>
      </c>
      <c r="AC457" t="s">
        <v>223</v>
      </c>
      <c r="AD457" t="s">
        <v>223</v>
      </c>
      <c r="AE457" t="s">
        <v>223</v>
      </c>
      <c r="AF457" t="s">
        <v>223</v>
      </c>
      <c r="AG457" t="s">
        <v>223</v>
      </c>
      <c r="AH457" t="s">
        <v>223</v>
      </c>
      <c r="AI457" t="s">
        <v>223</v>
      </c>
      <c r="AJ457" t="s">
        <v>223</v>
      </c>
      <c r="AK457" t="s">
        <v>223</v>
      </c>
      <c r="AL457" t="s">
        <v>223</v>
      </c>
      <c r="AM457" t="s">
        <v>223</v>
      </c>
      <c r="AN457" s="9">
        <v>32</v>
      </c>
    </row>
    <row r="458" spans="1:40">
      <c r="A458" t="s">
        <v>384</v>
      </c>
      <c r="B458">
        <v>33</v>
      </c>
      <c r="C458" t="s">
        <v>223</v>
      </c>
      <c r="D458" t="s">
        <v>223</v>
      </c>
      <c r="E458" t="s">
        <v>223</v>
      </c>
      <c r="F458" t="s">
        <v>223</v>
      </c>
      <c r="G458" t="s">
        <v>223</v>
      </c>
      <c r="H458" t="s">
        <v>223</v>
      </c>
      <c r="I458" t="s">
        <v>223</v>
      </c>
      <c r="J458" t="s">
        <v>223</v>
      </c>
      <c r="K458" t="s">
        <v>223</v>
      </c>
      <c r="L458" t="s">
        <v>223</v>
      </c>
      <c r="M458" t="s">
        <v>223</v>
      </c>
      <c r="N458" t="s">
        <v>223</v>
      </c>
      <c r="O458" t="s">
        <v>223</v>
      </c>
      <c r="P458" t="s">
        <v>223</v>
      </c>
      <c r="Q458" t="s">
        <v>223</v>
      </c>
      <c r="R458" t="s">
        <v>223</v>
      </c>
      <c r="S458" t="s">
        <v>223</v>
      </c>
      <c r="T458" t="s">
        <v>223</v>
      </c>
      <c r="U458" t="s">
        <v>223</v>
      </c>
      <c r="V458" t="s">
        <v>223</v>
      </c>
      <c r="W458" t="s">
        <v>223</v>
      </c>
      <c r="X458" t="s">
        <v>223</v>
      </c>
      <c r="Y458" t="s">
        <v>223</v>
      </c>
      <c r="Z458" t="s">
        <v>223</v>
      </c>
      <c r="AA458" t="s">
        <v>223</v>
      </c>
      <c r="AB458" t="s">
        <v>223</v>
      </c>
      <c r="AC458" t="s">
        <v>223</v>
      </c>
      <c r="AD458" t="s">
        <v>223</v>
      </c>
      <c r="AE458" t="s">
        <v>223</v>
      </c>
      <c r="AF458" t="s">
        <v>223</v>
      </c>
      <c r="AG458" t="s">
        <v>223</v>
      </c>
      <c r="AH458" t="s">
        <v>223</v>
      </c>
      <c r="AI458" t="s">
        <v>223</v>
      </c>
      <c r="AJ458" t="s">
        <v>223</v>
      </c>
      <c r="AK458" t="s">
        <v>223</v>
      </c>
      <c r="AL458" t="s">
        <v>223</v>
      </c>
      <c r="AM458" t="s">
        <v>223</v>
      </c>
      <c r="AN458" s="9">
        <v>33</v>
      </c>
    </row>
    <row r="459" spans="1:40">
      <c r="A459" t="s">
        <v>384</v>
      </c>
      <c r="B459">
        <v>34</v>
      </c>
      <c r="C459" t="s">
        <v>223</v>
      </c>
      <c r="D459" t="s">
        <v>223</v>
      </c>
      <c r="E459" t="s">
        <v>223</v>
      </c>
      <c r="F459" t="s">
        <v>223</v>
      </c>
      <c r="G459" t="s">
        <v>223</v>
      </c>
      <c r="H459" t="s">
        <v>223</v>
      </c>
      <c r="I459" t="s">
        <v>223</v>
      </c>
      <c r="J459" t="s">
        <v>223</v>
      </c>
      <c r="K459" t="s">
        <v>223</v>
      </c>
      <c r="L459" t="s">
        <v>223</v>
      </c>
      <c r="M459" t="s">
        <v>223</v>
      </c>
      <c r="N459" t="s">
        <v>223</v>
      </c>
      <c r="O459" t="s">
        <v>223</v>
      </c>
      <c r="P459" t="s">
        <v>223</v>
      </c>
      <c r="Q459" t="s">
        <v>223</v>
      </c>
      <c r="R459" t="s">
        <v>223</v>
      </c>
      <c r="S459" t="s">
        <v>223</v>
      </c>
      <c r="T459" t="s">
        <v>223</v>
      </c>
      <c r="U459" t="s">
        <v>223</v>
      </c>
      <c r="V459" t="s">
        <v>223</v>
      </c>
      <c r="W459" t="s">
        <v>223</v>
      </c>
      <c r="X459" t="s">
        <v>223</v>
      </c>
      <c r="Y459" t="s">
        <v>223</v>
      </c>
      <c r="Z459" t="s">
        <v>223</v>
      </c>
      <c r="AA459" t="s">
        <v>223</v>
      </c>
      <c r="AB459" t="s">
        <v>223</v>
      </c>
      <c r="AC459" t="s">
        <v>223</v>
      </c>
      <c r="AD459" t="s">
        <v>223</v>
      </c>
      <c r="AE459" t="s">
        <v>223</v>
      </c>
      <c r="AF459" t="s">
        <v>223</v>
      </c>
      <c r="AG459" t="s">
        <v>223</v>
      </c>
      <c r="AH459" t="s">
        <v>223</v>
      </c>
      <c r="AI459" t="s">
        <v>223</v>
      </c>
      <c r="AJ459" t="s">
        <v>223</v>
      </c>
      <c r="AK459" t="s">
        <v>223</v>
      </c>
      <c r="AL459" t="s">
        <v>223</v>
      </c>
      <c r="AM459" t="s">
        <v>223</v>
      </c>
      <c r="AN459" s="9">
        <v>34</v>
      </c>
    </row>
    <row r="460" spans="1:40">
      <c r="A460" t="s">
        <v>384</v>
      </c>
      <c r="B460">
        <v>35</v>
      </c>
      <c r="C460" t="s">
        <v>223</v>
      </c>
      <c r="D460" t="s">
        <v>223</v>
      </c>
      <c r="E460" t="s">
        <v>223</v>
      </c>
      <c r="F460" t="s">
        <v>223</v>
      </c>
      <c r="G460" t="s">
        <v>223</v>
      </c>
      <c r="H460" t="s">
        <v>223</v>
      </c>
      <c r="I460" t="s">
        <v>223</v>
      </c>
      <c r="J460" t="s">
        <v>223</v>
      </c>
      <c r="K460" t="s">
        <v>223</v>
      </c>
      <c r="L460" t="s">
        <v>223</v>
      </c>
      <c r="M460" t="s">
        <v>223</v>
      </c>
      <c r="N460" t="s">
        <v>223</v>
      </c>
      <c r="O460" t="s">
        <v>223</v>
      </c>
      <c r="P460" t="s">
        <v>223</v>
      </c>
      <c r="Q460" t="s">
        <v>223</v>
      </c>
      <c r="R460" t="s">
        <v>223</v>
      </c>
      <c r="S460" t="s">
        <v>223</v>
      </c>
      <c r="T460" t="s">
        <v>223</v>
      </c>
      <c r="U460" t="s">
        <v>223</v>
      </c>
      <c r="V460" t="s">
        <v>223</v>
      </c>
      <c r="W460" t="s">
        <v>223</v>
      </c>
      <c r="X460" t="s">
        <v>223</v>
      </c>
      <c r="Y460" t="s">
        <v>223</v>
      </c>
      <c r="Z460" t="s">
        <v>223</v>
      </c>
      <c r="AA460" t="s">
        <v>223</v>
      </c>
      <c r="AB460" t="s">
        <v>223</v>
      </c>
      <c r="AC460" t="s">
        <v>223</v>
      </c>
      <c r="AD460" t="s">
        <v>223</v>
      </c>
      <c r="AE460" t="s">
        <v>223</v>
      </c>
      <c r="AF460" t="s">
        <v>223</v>
      </c>
      <c r="AG460" t="s">
        <v>223</v>
      </c>
      <c r="AH460" t="s">
        <v>223</v>
      </c>
      <c r="AI460" t="s">
        <v>223</v>
      </c>
      <c r="AJ460" t="s">
        <v>223</v>
      </c>
      <c r="AK460" t="s">
        <v>223</v>
      </c>
      <c r="AL460" t="s">
        <v>223</v>
      </c>
      <c r="AM460" t="s">
        <v>223</v>
      </c>
      <c r="AN460" s="9">
        <v>35</v>
      </c>
    </row>
    <row r="461" spans="1:40">
      <c r="A461" t="s">
        <v>384</v>
      </c>
      <c r="B461">
        <v>36</v>
      </c>
      <c r="C461" t="s">
        <v>223</v>
      </c>
      <c r="D461" t="s">
        <v>223</v>
      </c>
      <c r="E461" t="s">
        <v>223</v>
      </c>
      <c r="F461" t="s">
        <v>223</v>
      </c>
      <c r="G461" t="s">
        <v>223</v>
      </c>
      <c r="H461" t="s">
        <v>223</v>
      </c>
      <c r="I461" t="s">
        <v>223</v>
      </c>
      <c r="J461" t="s">
        <v>223</v>
      </c>
      <c r="K461" t="s">
        <v>223</v>
      </c>
      <c r="L461" t="s">
        <v>223</v>
      </c>
      <c r="M461" t="s">
        <v>223</v>
      </c>
      <c r="N461" t="s">
        <v>223</v>
      </c>
      <c r="O461" t="s">
        <v>223</v>
      </c>
      <c r="P461" t="s">
        <v>223</v>
      </c>
      <c r="Q461" t="s">
        <v>223</v>
      </c>
      <c r="R461" t="s">
        <v>223</v>
      </c>
      <c r="S461" t="s">
        <v>223</v>
      </c>
      <c r="T461" t="s">
        <v>223</v>
      </c>
      <c r="U461" t="s">
        <v>223</v>
      </c>
      <c r="V461" t="s">
        <v>223</v>
      </c>
      <c r="W461" t="s">
        <v>223</v>
      </c>
      <c r="X461" t="s">
        <v>223</v>
      </c>
      <c r="Y461" t="s">
        <v>223</v>
      </c>
      <c r="Z461" t="s">
        <v>223</v>
      </c>
      <c r="AA461" t="s">
        <v>223</v>
      </c>
      <c r="AB461" t="s">
        <v>223</v>
      </c>
      <c r="AC461" t="s">
        <v>223</v>
      </c>
      <c r="AD461" t="s">
        <v>223</v>
      </c>
      <c r="AE461" t="s">
        <v>223</v>
      </c>
      <c r="AF461" t="s">
        <v>223</v>
      </c>
      <c r="AG461" t="s">
        <v>223</v>
      </c>
      <c r="AH461" t="s">
        <v>223</v>
      </c>
      <c r="AI461" t="s">
        <v>223</v>
      </c>
      <c r="AJ461" t="s">
        <v>223</v>
      </c>
      <c r="AK461" t="s">
        <v>223</v>
      </c>
      <c r="AL461" t="s">
        <v>223</v>
      </c>
      <c r="AM461" t="s">
        <v>223</v>
      </c>
      <c r="AN461" s="9">
        <v>36</v>
      </c>
    </row>
    <row r="462" spans="1:40">
      <c r="A462" t="s">
        <v>384</v>
      </c>
      <c r="B462">
        <v>37</v>
      </c>
      <c r="C462" t="s">
        <v>223</v>
      </c>
      <c r="D462" t="s">
        <v>223</v>
      </c>
      <c r="E462" t="s">
        <v>223</v>
      </c>
      <c r="F462" t="s">
        <v>223</v>
      </c>
      <c r="G462" t="s">
        <v>223</v>
      </c>
      <c r="H462" t="s">
        <v>223</v>
      </c>
      <c r="I462" t="s">
        <v>223</v>
      </c>
      <c r="J462" t="s">
        <v>223</v>
      </c>
      <c r="K462" t="s">
        <v>223</v>
      </c>
      <c r="L462" t="s">
        <v>223</v>
      </c>
      <c r="M462" t="s">
        <v>223</v>
      </c>
      <c r="N462" t="s">
        <v>223</v>
      </c>
      <c r="O462" t="s">
        <v>223</v>
      </c>
      <c r="P462" t="s">
        <v>223</v>
      </c>
      <c r="Q462" t="s">
        <v>223</v>
      </c>
      <c r="R462" t="s">
        <v>223</v>
      </c>
      <c r="S462" t="s">
        <v>223</v>
      </c>
      <c r="T462" t="s">
        <v>223</v>
      </c>
      <c r="U462" t="s">
        <v>223</v>
      </c>
      <c r="V462" t="s">
        <v>223</v>
      </c>
      <c r="W462" t="s">
        <v>223</v>
      </c>
      <c r="X462" t="s">
        <v>223</v>
      </c>
      <c r="Y462" t="s">
        <v>223</v>
      </c>
      <c r="Z462" t="s">
        <v>223</v>
      </c>
      <c r="AA462" t="s">
        <v>223</v>
      </c>
      <c r="AB462" t="s">
        <v>223</v>
      </c>
      <c r="AC462" t="s">
        <v>223</v>
      </c>
      <c r="AD462" t="s">
        <v>223</v>
      </c>
      <c r="AE462" t="s">
        <v>223</v>
      </c>
      <c r="AF462" t="s">
        <v>223</v>
      </c>
      <c r="AG462" t="s">
        <v>223</v>
      </c>
      <c r="AH462" t="s">
        <v>223</v>
      </c>
      <c r="AI462" t="s">
        <v>223</v>
      </c>
      <c r="AJ462" t="s">
        <v>223</v>
      </c>
      <c r="AK462" t="s">
        <v>223</v>
      </c>
      <c r="AL462" t="s">
        <v>223</v>
      </c>
      <c r="AM462" t="s">
        <v>223</v>
      </c>
      <c r="AN462" s="9">
        <v>37</v>
      </c>
    </row>
    <row r="463" spans="1:40">
      <c r="A463" t="s">
        <v>384</v>
      </c>
      <c r="B463">
        <v>38</v>
      </c>
      <c r="C463" t="s">
        <v>223</v>
      </c>
      <c r="D463" t="s">
        <v>223</v>
      </c>
      <c r="E463" t="s">
        <v>223</v>
      </c>
      <c r="F463" t="s">
        <v>223</v>
      </c>
      <c r="G463" t="s">
        <v>223</v>
      </c>
      <c r="H463" t="s">
        <v>223</v>
      </c>
      <c r="I463" t="s">
        <v>223</v>
      </c>
      <c r="J463" t="s">
        <v>223</v>
      </c>
      <c r="K463" t="s">
        <v>223</v>
      </c>
      <c r="L463" t="s">
        <v>223</v>
      </c>
      <c r="M463" t="s">
        <v>223</v>
      </c>
      <c r="N463" t="s">
        <v>223</v>
      </c>
      <c r="O463" t="s">
        <v>223</v>
      </c>
      <c r="P463" t="s">
        <v>223</v>
      </c>
      <c r="Q463" t="s">
        <v>223</v>
      </c>
      <c r="R463" t="s">
        <v>223</v>
      </c>
      <c r="S463" t="s">
        <v>223</v>
      </c>
      <c r="T463" t="s">
        <v>223</v>
      </c>
      <c r="U463" t="s">
        <v>223</v>
      </c>
      <c r="V463" t="s">
        <v>223</v>
      </c>
      <c r="W463" t="s">
        <v>223</v>
      </c>
      <c r="X463" t="s">
        <v>223</v>
      </c>
      <c r="Y463" t="s">
        <v>223</v>
      </c>
      <c r="Z463" t="s">
        <v>223</v>
      </c>
      <c r="AA463" t="s">
        <v>223</v>
      </c>
      <c r="AB463" t="s">
        <v>223</v>
      </c>
      <c r="AC463" t="s">
        <v>223</v>
      </c>
      <c r="AD463" t="s">
        <v>223</v>
      </c>
      <c r="AE463" t="s">
        <v>223</v>
      </c>
      <c r="AF463" t="s">
        <v>223</v>
      </c>
      <c r="AG463" t="s">
        <v>223</v>
      </c>
      <c r="AH463" t="s">
        <v>223</v>
      </c>
      <c r="AI463" t="s">
        <v>223</v>
      </c>
      <c r="AJ463" t="s">
        <v>223</v>
      </c>
      <c r="AK463" t="s">
        <v>223</v>
      </c>
      <c r="AL463" t="s">
        <v>223</v>
      </c>
      <c r="AM463" t="s">
        <v>223</v>
      </c>
      <c r="AN463" s="9">
        <v>38</v>
      </c>
    </row>
    <row r="464" spans="1:40">
      <c r="A464" t="s">
        <v>384</v>
      </c>
      <c r="B464">
        <v>39</v>
      </c>
      <c r="C464" t="s">
        <v>223</v>
      </c>
      <c r="D464" t="s">
        <v>223</v>
      </c>
      <c r="E464" t="s">
        <v>223</v>
      </c>
      <c r="F464" t="s">
        <v>223</v>
      </c>
      <c r="G464" t="s">
        <v>223</v>
      </c>
      <c r="H464" t="s">
        <v>223</v>
      </c>
      <c r="I464" t="s">
        <v>223</v>
      </c>
      <c r="J464" t="s">
        <v>223</v>
      </c>
      <c r="K464" t="s">
        <v>223</v>
      </c>
      <c r="L464" t="s">
        <v>223</v>
      </c>
      <c r="M464" t="s">
        <v>223</v>
      </c>
      <c r="N464" t="s">
        <v>223</v>
      </c>
      <c r="O464" t="s">
        <v>223</v>
      </c>
      <c r="P464" t="s">
        <v>223</v>
      </c>
      <c r="Q464" t="s">
        <v>223</v>
      </c>
      <c r="R464" t="s">
        <v>223</v>
      </c>
      <c r="S464" t="s">
        <v>223</v>
      </c>
      <c r="T464" t="s">
        <v>223</v>
      </c>
      <c r="U464" t="s">
        <v>223</v>
      </c>
      <c r="V464" t="s">
        <v>223</v>
      </c>
      <c r="W464" t="s">
        <v>223</v>
      </c>
      <c r="X464" t="s">
        <v>223</v>
      </c>
      <c r="Y464" t="s">
        <v>223</v>
      </c>
      <c r="Z464" t="s">
        <v>223</v>
      </c>
      <c r="AA464" t="s">
        <v>223</v>
      </c>
      <c r="AB464" t="s">
        <v>223</v>
      </c>
      <c r="AC464" t="s">
        <v>223</v>
      </c>
      <c r="AD464" t="s">
        <v>223</v>
      </c>
      <c r="AE464" t="s">
        <v>223</v>
      </c>
      <c r="AF464" t="s">
        <v>223</v>
      </c>
      <c r="AG464" t="s">
        <v>223</v>
      </c>
      <c r="AH464" t="s">
        <v>223</v>
      </c>
      <c r="AI464" t="s">
        <v>223</v>
      </c>
      <c r="AJ464" t="s">
        <v>223</v>
      </c>
      <c r="AK464" t="s">
        <v>223</v>
      </c>
      <c r="AL464" t="s">
        <v>223</v>
      </c>
      <c r="AM464" t="s">
        <v>223</v>
      </c>
      <c r="AN464" s="9">
        <v>39</v>
      </c>
    </row>
    <row r="465" spans="1:40">
      <c r="A465" t="s">
        <v>384</v>
      </c>
      <c r="B465">
        <v>40</v>
      </c>
      <c r="C465" t="s">
        <v>223</v>
      </c>
      <c r="D465" t="s">
        <v>223</v>
      </c>
      <c r="E465" t="s">
        <v>223</v>
      </c>
      <c r="F465" t="s">
        <v>223</v>
      </c>
      <c r="G465" t="s">
        <v>223</v>
      </c>
      <c r="H465" t="s">
        <v>223</v>
      </c>
      <c r="I465" t="s">
        <v>223</v>
      </c>
      <c r="J465" t="s">
        <v>223</v>
      </c>
      <c r="K465" t="s">
        <v>223</v>
      </c>
      <c r="L465" t="s">
        <v>223</v>
      </c>
      <c r="M465" t="s">
        <v>223</v>
      </c>
      <c r="N465" t="s">
        <v>223</v>
      </c>
      <c r="O465" t="s">
        <v>223</v>
      </c>
      <c r="P465" t="s">
        <v>223</v>
      </c>
      <c r="Q465" t="s">
        <v>223</v>
      </c>
      <c r="R465" t="s">
        <v>223</v>
      </c>
      <c r="S465" t="s">
        <v>223</v>
      </c>
      <c r="T465" t="s">
        <v>223</v>
      </c>
      <c r="U465" t="s">
        <v>223</v>
      </c>
      <c r="V465" t="s">
        <v>223</v>
      </c>
      <c r="W465" t="s">
        <v>223</v>
      </c>
      <c r="X465" t="s">
        <v>223</v>
      </c>
      <c r="Y465" t="s">
        <v>223</v>
      </c>
      <c r="Z465" t="s">
        <v>223</v>
      </c>
      <c r="AA465" t="s">
        <v>223</v>
      </c>
      <c r="AB465" t="s">
        <v>223</v>
      </c>
      <c r="AC465" t="s">
        <v>223</v>
      </c>
      <c r="AD465" t="s">
        <v>223</v>
      </c>
      <c r="AE465" t="s">
        <v>223</v>
      </c>
      <c r="AF465" t="s">
        <v>223</v>
      </c>
      <c r="AG465" t="s">
        <v>223</v>
      </c>
      <c r="AH465" t="s">
        <v>223</v>
      </c>
      <c r="AI465" t="s">
        <v>223</v>
      </c>
      <c r="AJ465" t="s">
        <v>223</v>
      </c>
      <c r="AK465" t="s">
        <v>223</v>
      </c>
      <c r="AL465" t="s">
        <v>223</v>
      </c>
      <c r="AM465" t="s">
        <v>223</v>
      </c>
      <c r="AN465" s="9">
        <v>40</v>
      </c>
    </row>
    <row r="466" spans="1:40">
      <c r="A466" t="s">
        <v>384</v>
      </c>
      <c r="B466">
        <v>41</v>
      </c>
      <c r="C466" t="s">
        <v>223</v>
      </c>
      <c r="D466" t="s">
        <v>223</v>
      </c>
      <c r="E466" t="s">
        <v>223</v>
      </c>
      <c r="F466" t="s">
        <v>223</v>
      </c>
      <c r="G466" t="s">
        <v>223</v>
      </c>
      <c r="H466" t="s">
        <v>223</v>
      </c>
      <c r="I466" t="s">
        <v>223</v>
      </c>
      <c r="J466" t="s">
        <v>223</v>
      </c>
      <c r="K466" t="s">
        <v>223</v>
      </c>
      <c r="L466" t="s">
        <v>223</v>
      </c>
      <c r="M466" t="s">
        <v>223</v>
      </c>
      <c r="N466" t="s">
        <v>223</v>
      </c>
      <c r="O466" t="s">
        <v>223</v>
      </c>
      <c r="P466" t="s">
        <v>223</v>
      </c>
      <c r="Q466" t="s">
        <v>223</v>
      </c>
      <c r="R466" t="s">
        <v>223</v>
      </c>
      <c r="S466" t="s">
        <v>223</v>
      </c>
      <c r="T466" t="s">
        <v>223</v>
      </c>
      <c r="U466" t="s">
        <v>223</v>
      </c>
      <c r="V466" t="s">
        <v>223</v>
      </c>
      <c r="W466" t="s">
        <v>223</v>
      </c>
      <c r="X466" t="s">
        <v>223</v>
      </c>
      <c r="Y466" t="s">
        <v>223</v>
      </c>
      <c r="Z466" t="s">
        <v>223</v>
      </c>
      <c r="AA466" t="s">
        <v>223</v>
      </c>
      <c r="AB466" t="s">
        <v>223</v>
      </c>
      <c r="AC466" t="s">
        <v>223</v>
      </c>
      <c r="AD466" t="s">
        <v>223</v>
      </c>
      <c r="AE466" t="s">
        <v>223</v>
      </c>
      <c r="AF466" t="s">
        <v>223</v>
      </c>
      <c r="AG466" t="s">
        <v>223</v>
      </c>
      <c r="AH466" t="s">
        <v>223</v>
      </c>
      <c r="AI466" t="s">
        <v>223</v>
      </c>
      <c r="AJ466" t="s">
        <v>223</v>
      </c>
      <c r="AK466" t="s">
        <v>223</v>
      </c>
      <c r="AL466" t="s">
        <v>223</v>
      </c>
      <c r="AM466" t="s">
        <v>223</v>
      </c>
      <c r="AN466" s="9">
        <v>41</v>
      </c>
    </row>
    <row r="467" spans="1:40">
      <c r="A467" t="s">
        <v>384</v>
      </c>
      <c r="B467">
        <v>42</v>
      </c>
      <c r="C467" t="s">
        <v>223</v>
      </c>
      <c r="D467" t="s">
        <v>223</v>
      </c>
      <c r="E467" t="s">
        <v>223</v>
      </c>
      <c r="F467" t="s">
        <v>223</v>
      </c>
      <c r="G467" t="s">
        <v>223</v>
      </c>
      <c r="H467" t="s">
        <v>223</v>
      </c>
      <c r="I467" t="s">
        <v>223</v>
      </c>
      <c r="J467" t="s">
        <v>223</v>
      </c>
      <c r="K467" t="s">
        <v>223</v>
      </c>
      <c r="L467" t="s">
        <v>223</v>
      </c>
      <c r="M467" t="s">
        <v>223</v>
      </c>
      <c r="N467" t="s">
        <v>223</v>
      </c>
      <c r="O467" t="s">
        <v>223</v>
      </c>
      <c r="P467" t="s">
        <v>223</v>
      </c>
      <c r="Q467" t="s">
        <v>223</v>
      </c>
      <c r="R467" t="s">
        <v>223</v>
      </c>
      <c r="S467" t="s">
        <v>223</v>
      </c>
      <c r="T467" t="s">
        <v>223</v>
      </c>
      <c r="U467" t="s">
        <v>223</v>
      </c>
      <c r="V467" t="s">
        <v>223</v>
      </c>
      <c r="W467" t="s">
        <v>223</v>
      </c>
      <c r="X467" t="s">
        <v>223</v>
      </c>
      <c r="Y467" t="s">
        <v>223</v>
      </c>
      <c r="Z467" t="s">
        <v>223</v>
      </c>
      <c r="AA467" t="s">
        <v>223</v>
      </c>
      <c r="AB467" t="s">
        <v>223</v>
      </c>
      <c r="AC467" t="s">
        <v>223</v>
      </c>
      <c r="AD467" t="s">
        <v>223</v>
      </c>
      <c r="AE467" t="s">
        <v>223</v>
      </c>
      <c r="AF467" t="s">
        <v>223</v>
      </c>
      <c r="AG467" t="s">
        <v>223</v>
      </c>
      <c r="AH467" t="s">
        <v>223</v>
      </c>
      <c r="AI467" t="s">
        <v>223</v>
      </c>
      <c r="AJ467" t="s">
        <v>223</v>
      </c>
      <c r="AK467" t="s">
        <v>223</v>
      </c>
      <c r="AL467" t="s">
        <v>223</v>
      </c>
      <c r="AM467" t="s">
        <v>223</v>
      </c>
      <c r="AN467" s="9">
        <v>42</v>
      </c>
    </row>
    <row r="468" spans="1:40">
      <c r="A468" t="s">
        <v>384</v>
      </c>
      <c r="B468">
        <v>43</v>
      </c>
      <c r="C468" t="s">
        <v>223</v>
      </c>
      <c r="D468" t="s">
        <v>223</v>
      </c>
      <c r="E468" t="s">
        <v>223</v>
      </c>
      <c r="F468" t="s">
        <v>223</v>
      </c>
      <c r="G468" t="s">
        <v>223</v>
      </c>
      <c r="H468" t="s">
        <v>223</v>
      </c>
      <c r="I468" t="s">
        <v>223</v>
      </c>
      <c r="J468" t="s">
        <v>223</v>
      </c>
      <c r="K468" t="s">
        <v>223</v>
      </c>
      <c r="L468" t="s">
        <v>223</v>
      </c>
      <c r="M468" t="s">
        <v>223</v>
      </c>
      <c r="N468" t="s">
        <v>223</v>
      </c>
      <c r="O468" t="s">
        <v>223</v>
      </c>
      <c r="P468" t="s">
        <v>223</v>
      </c>
      <c r="Q468" t="s">
        <v>223</v>
      </c>
      <c r="R468" t="s">
        <v>223</v>
      </c>
      <c r="S468" t="s">
        <v>223</v>
      </c>
      <c r="T468" t="s">
        <v>223</v>
      </c>
      <c r="U468" t="s">
        <v>223</v>
      </c>
      <c r="V468" t="s">
        <v>223</v>
      </c>
      <c r="W468" t="s">
        <v>223</v>
      </c>
      <c r="X468" t="s">
        <v>223</v>
      </c>
      <c r="Y468" t="s">
        <v>223</v>
      </c>
      <c r="Z468" t="s">
        <v>223</v>
      </c>
      <c r="AA468" t="s">
        <v>223</v>
      </c>
      <c r="AB468" t="s">
        <v>223</v>
      </c>
      <c r="AC468" t="s">
        <v>223</v>
      </c>
      <c r="AD468" t="s">
        <v>223</v>
      </c>
      <c r="AE468" t="s">
        <v>223</v>
      </c>
      <c r="AF468" t="s">
        <v>223</v>
      </c>
      <c r="AG468" t="s">
        <v>223</v>
      </c>
      <c r="AH468" t="s">
        <v>223</v>
      </c>
      <c r="AI468" t="s">
        <v>223</v>
      </c>
      <c r="AJ468" t="s">
        <v>223</v>
      </c>
      <c r="AK468" t="s">
        <v>223</v>
      </c>
      <c r="AL468" t="s">
        <v>223</v>
      </c>
      <c r="AM468" t="s">
        <v>223</v>
      </c>
      <c r="AN468" s="9">
        <v>43</v>
      </c>
    </row>
    <row r="469" spans="1:40">
      <c r="A469" t="s">
        <v>384</v>
      </c>
      <c r="B469">
        <v>44</v>
      </c>
      <c r="C469" t="s">
        <v>223</v>
      </c>
      <c r="D469" t="s">
        <v>223</v>
      </c>
      <c r="E469" t="s">
        <v>223</v>
      </c>
      <c r="F469" t="s">
        <v>223</v>
      </c>
      <c r="G469" t="s">
        <v>223</v>
      </c>
      <c r="H469" t="s">
        <v>223</v>
      </c>
      <c r="I469" t="s">
        <v>223</v>
      </c>
      <c r="J469" t="s">
        <v>223</v>
      </c>
      <c r="K469" t="s">
        <v>223</v>
      </c>
      <c r="L469" t="s">
        <v>223</v>
      </c>
      <c r="M469" t="s">
        <v>223</v>
      </c>
      <c r="N469" t="s">
        <v>223</v>
      </c>
      <c r="O469" t="s">
        <v>223</v>
      </c>
      <c r="P469" t="s">
        <v>223</v>
      </c>
      <c r="Q469" t="s">
        <v>223</v>
      </c>
      <c r="R469" t="s">
        <v>223</v>
      </c>
      <c r="S469" t="s">
        <v>223</v>
      </c>
      <c r="T469" t="s">
        <v>223</v>
      </c>
      <c r="U469" t="s">
        <v>223</v>
      </c>
      <c r="V469" t="s">
        <v>223</v>
      </c>
      <c r="W469" t="s">
        <v>223</v>
      </c>
      <c r="X469" t="s">
        <v>223</v>
      </c>
      <c r="Y469" t="s">
        <v>223</v>
      </c>
      <c r="Z469" t="s">
        <v>223</v>
      </c>
      <c r="AA469" t="s">
        <v>223</v>
      </c>
      <c r="AB469" t="s">
        <v>223</v>
      </c>
      <c r="AC469" t="s">
        <v>223</v>
      </c>
      <c r="AD469" t="s">
        <v>223</v>
      </c>
      <c r="AE469" t="s">
        <v>223</v>
      </c>
      <c r="AF469" t="s">
        <v>223</v>
      </c>
      <c r="AG469" t="s">
        <v>223</v>
      </c>
      <c r="AH469" t="s">
        <v>223</v>
      </c>
      <c r="AI469" t="s">
        <v>223</v>
      </c>
      <c r="AJ469" t="s">
        <v>223</v>
      </c>
      <c r="AK469" t="s">
        <v>223</v>
      </c>
      <c r="AL469" t="s">
        <v>223</v>
      </c>
      <c r="AM469" t="s">
        <v>223</v>
      </c>
      <c r="AN469" s="9">
        <v>44</v>
      </c>
    </row>
    <row r="470" spans="1:40">
      <c r="A470" t="s">
        <v>384</v>
      </c>
      <c r="B470">
        <v>45</v>
      </c>
      <c r="C470" t="s">
        <v>223</v>
      </c>
      <c r="D470" t="s">
        <v>223</v>
      </c>
      <c r="E470" t="s">
        <v>223</v>
      </c>
      <c r="F470" t="s">
        <v>223</v>
      </c>
      <c r="G470" t="s">
        <v>223</v>
      </c>
      <c r="H470" t="s">
        <v>223</v>
      </c>
      <c r="I470" t="s">
        <v>223</v>
      </c>
      <c r="J470" t="s">
        <v>223</v>
      </c>
      <c r="K470" t="s">
        <v>223</v>
      </c>
      <c r="L470" t="s">
        <v>223</v>
      </c>
      <c r="M470" t="s">
        <v>223</v>
      </c>
      <c r="N470" t="s">
        <v>223</v>
      </c>
      <c r="O470" t="s">
        <v>223</v>
      </c>
      <c r="P470" t="s">
        <v>223</v>
      </c>
      <c r="Q470" t="s">
        <v>223</v>
      </c>
      <c r="R470" t="s">
        <v>223</v>
      </c>
      <c r="S470" t="s">
        <v>223</v>
      </c>
      <c r="T470" t="s">
        <v>223</v>
      </c>
      <c r="U470" t="s">
        <v>223</v>
      </c>
      <c r="V470" t="s">
        <v>223</v>
      </c>
      <c r="W470" t="s">
        <v>223</v>
      </c>
      <c r="X470" t="s">
        <v>223</v>
      </c>
      <c r="Y470" t="s">
        <v>223</v>
      </c>
      <c r="Z470" t="s">
        <v>223</v>
      </c>
      <c r="AA470" t="s">
        <v>223</v>
      </c>
      <c r="AB470" t="s">
        <v>223</v>
      </c>
      <c r="AC470" t="s">
        <v>223</v>
      </c>
      <c r="AD470" t="s">
        <v>223</v>
      </c>
      <c r="AE470" t="s">
        <v>223</v>
      </c>
      <c r="AF470" t="s">
        <v>223</v>
      </c>
      <c r="AG470" t="s">
        <v>223</v>
      </c>
      <c r="AH470" t="s">
        <v>223</v>
      </c>
      <c r="AI470" t="s">
        <v>223</v>
      </c>
      <c r="AJ470" t="s">
        <v>223</v>
      </c>
      <c r="AK470" t="s">
        <v>223</v>
      </c>
      <c r="AL470" t="s">
        <v>223</v>
      </c>
      <c r="AM470" t="s">
        <v>223</v>
      </c>
      <c r="AN470" s="9">
        <v>45</v>
      </c>
    </row>
    <row r="471" spans="1:40">
      <c r="A471" t="s">
        <v>384</v>
      </c>
      <c r="B471">
        <v>46</v>
      </c>
      <c r="C471" t="s">
        <v>223</v>
      </c>
      <c r="D471" t="s">
        <v>223</v>
      </c>
      <c r="E471" t="s">
        <v>223</v>
      </c>
      <c r="F471" t="s">
        <v>223</v>
      </c>
      <c r="G471" t="s">
        <v>223</v>
      </c>
      <c r="H471" t="s">
        <v>223</v>
      </c>
      <c r="I471" t="s">
        <v>223</v>
      </c>
      <c r="J471" t="s">
        <v>223</v>
      </c>
      <c r="K471" t="s">
        <v>223</v>
      </c>
      <c r="L471" t="s">
        <v>223</v>
      </c>
      <c r="M471" t="s">
        <v>223</v>
      </c>
      <c r="N471" t="s">
        <v>223</v>
      </c>
      <c r="O471" t="s">
        <v>223</v>
      </c>
      <c r="P471" t="s">
        <v>223</v>
      </c>
      <c r="Q471" t="s">
        <v>223</v>
      </c>
      <c r="R471" t="s">
        <v>223</v>
      </c>
      <c r="S471" t="s">
        <v>223</v>
      </c>
      <c r="T471" t="s">
        <v>223</v>
      </c>
      <c r="U471" t="s">
        <v>223</v>
      </c>
      <c r="V471" t="s">
        <v>223</v>
      </c>
      <c r="W471" t="s">
        <v>223</v>
      </c>
      <c r="X471" t="s">
        <v>223</v>
      </c>
      <c r="Y471" t="s">
        <v>223</v>
      </c>
      <c r="Z471" t="s">
        <v>223</v>
      </c>
      <c r="AA471" t="s">
        <v>223</v>
      </c>
      <c r="AB471" t="s">
        <v>223</v>
      </c>
      <c r="AC471" t="s">
        <v>223</v>
      </c>
      <c r="AD471" t="s">
        <v>223</v>
      </c>
      <c r="AE471" t="s">
        <v>223</v>
      </c>
      <c r="AF471" t="s">
        <v>223</v>
      </c>
      <c r="AG471" t="s">
        <v>223</v>
      </c>
      <c r="AH471" t="s">
        <v>223</v>
      </c>
      <c r="AI471" t="s">
        <v>223</v>
      </c>
      <c r="AJ471" t="s">
        <v>223</v>
      </c>
      <c r="AK471" t="s">
        <v>223</v>
      </c>
      <c r="AL471" t="s">
        <v>223</v>
      </c>
      <c r="AM471" t="s">
        <v>223</v>
      </c>
      <c r="AN471" s="9">
        <v>46</v>
      </c>
    </row>
    <row r="472" spans="1:40">
      <c r="A472" t="s">
        <v>384</v>
      </c>
      <c r="B472">
        <v>47</v>
      </c>
      <c r="C472" t="s">
        <v>223</v>
      </c>
      <c r="D472" t="s">
        <v>223</v>
      </c>
      <c r="E472" t="s">
        <v>223</v>
      </c>
      <c r="F472" t="s">
        <v>223</v>
      </c>
      <c r="G472" t="s">
        <v>223</v>
      </c>
      <c r="H472" t="s">
        <v>223</v>
      </c>
      <c r="I472" t="s">
        <v>223</v>
      </c>
      <c r="J472" t="s">
        <v>223</v>
      </c>
      <c r="K472" t="s">
        <v>223</v>
      </c>
      <c r="L472" t="s">
        <v>223</v>
      </c>
      <c r="M472" t="s">
        <v>223</v>
      </c>
      <c r="N472" t="s">
        <v>223</v>
      </c>
      <c r="O472" t="s">
        <v>223</v>
      </c>
      <c r="P472" t="s">
        <v>223</v>
      </c>
      <c r="Q472" t="s">
        <v>223</v>
      </c>
      <c r="R472" t="s">
        <v>223</v>
      </c>
      <c r="S472" t="s">
        <v>223</v>
      </c>
      <c r="T472" t="s">
        <v>223</v>
      </c>
      <c r="U472" t="s">
        <v>223</v>
      </c>
      <c r="V472" t="s">
        <v>223</v>
      </c>
      <c r="W472" t="s">
        <v>223</v>
      </c>
      <c r="X472" t="s">
        <v>223</v>
      </c>
      <c r="Y472" t="s">
        <v>223</v>
      </c>
      <c r="Z472" t="s">
        <v>223</v>
      </c>
      <c r="AA472" t="s">
        <v>223</v>
      </c>
      <c r="AB472" t="s">
        <v>223</v>
      </c>
      <c r="AC472" t="s">
        <v>223</v>
      </c>
      <c r="AD472" t="s">
        <v>223</v>
      </c>
      <c r="AE472" t="s">
        <v>223</v>
      </c>
      <c r="AF472" t="s">
        <v>223</v>
      </c>
      <c r="AG472" t="s">
        <v>223</v>
      </c>
      <c r="AH472" t="s">
        <v>223</v>
      </c>
      <c r="AI472" t="s">
        <v>223</v>
      </c>
      <c r="AJ472" t="s">
        <v>223</v>
      </c>
      <c r="AK472" t="s">
        <v>223</v>
      </c>
      <c r="AL472" t="s">
        <v>223</v>
      </c>
      <c r="AM472" t="s">
        <v>223</v>
      </c>
      <c r="AN472" s="9">
        <v>47</v>
      </c>
    </row>
    <row r="473" spans="1:40">
      <c r="A473" t="s">
        <v>384</v>
      </c>
      <c r="B473">
        <v>48</v>
      </c>
      <c r="C473" t="s">
        <v>223</v>
      </c>
      <c r="D473" t="s">
        <v>223</v>
      </c>
      <c r="E473" t="s">
        <v>223</v>
      </c>
      <c r="F473" t="s">
        <v>223</v>
      </c>
      <c r="G473" t="s">
        <v>223</v>
      </c>
      <c r="H473" t="s">
        <v>223</v>
      </c>
      <c r="I473" t="s">
        <v>223</v>
      </c>
      <c r="J473" t="s">
        <v>223</v>
      </c>
      <c r="K473" t="s">
        <v>223</v>
      </c>
      <c r="L473" t="s">
        <v>223</v>
      </c>
      <c r="M473" t="s">
        <v>223</v>
      </c>
      <c r="N473" t="s">
        <v>223</v>
      </c>
      <c r="O473" t="s">
        <v>223</v>
      </c>
      <c r="P473" t="s">
        <v>223</v>
      </c>
      <c r="Q473" t="s">
        <v>223</v>
      </c>
      <c r="R473" t="s">
        <v>223</v>
      </c>
      <c r="S473" t="s">
        <v>223</v>
      </c>
      <c r="T473" t="s">
        <v>223</v>
      </c>
      <c r="U473" t="s">
        <v>223</v>
      </c>
      <c r="V473" t="s">
        <v>223</v>
      </c>
      <c r="W473" t="s">
        <v>223</v>
      </c>
      <c r="X473" t="s">
        <v>223</v>
      </c>
      <c r="Y473" t="s">
        <v>223</v>
      </c>
      <c r="Z473" t="s">
        <v>223</v>
      </c>
      <c r="AA473" t="s">
        <v>223</v>
      </c>
      <c r="AB473" t="s">
        <v>223</v>
      </c>
      <c r="AC473" t="s">
        <v>223</v>
      </c>
      <c r="AD473" t="s">
        <v>223</v>
      </c>
      <c r="AE473" t="s">
        <v>223</v>
      </c>
      <c r="AF473" t="s">
        <v>223</v>
      </c>
      <c r="AG473" t="s">
        <v>223</v>
      </c>
      <c r="AH473" t="s">
        <v>223</v>
      </c>
      <c r="AI473" t="s">
        <v>223</v>
      </c>
      <c r="AJ473" t="s">
        <v>223</v>
      </c>
      <c r="AK473" t="s">
        <v>223</v>
      </c>
      <c r="AL473" t="s">
        <v>223</v>
      </c>
      <c r="AM473" t="s">
        <v>223</v>
      </c>
      <c r="AN473" s="9">
        <v>48</v>
      </c>
    </row>
    <row r="474" spans="1:40">
      <c r="A474" t="s">
        <v>384</v>
      </c>
      <c r="B474">
        <v>49</v>
      </c>
      <c r="C474" t="s">
        <v>223</v>
      </c>
      <c r="D474" t="s">
        <v>223</v>
      </c>
      <c r="E474" t="s">
        <v>223</v>
      </c>
      <c r="F474" t="s">
        <v>223</v>
      </c>
      <c r="G474" t="s">
        <v>223</v>
      </c>
      <c r="H474" t="s">
        <v>223</v>
      </c>
      <c r="I474" t="s">
        <v>223</v>
      </c>
      <c r="J474" t="s">
        <v>223</v>
      </c>
      <c r="K474" t="s">
        <v>223</v>
      </c>
      <c r="L474" t="s">
        <v>223</v>
      </c>
      <c r="M474" t="s">
        <v>223</v>
      </c>
      <c r="N474" t="s">
        <v>223</v>
      </c>
      <c r="O474" t="s">
        <v>223</v>
      </c>
      <c r="P474" t="s">
        <v>223</v>
      </c>
      <c r="Q474" t="s">
        <v>223</v>
      </c>
      <c r="R474" t="s">
        <v>223</v>
      </c>
      <c r="S474" t="s">
        <v>223</v>
      </c>
      <c r="T474" t="s">
        <v>223</v>
      </c>
      <c r="U474" t="s">
        <v>223</v>
      </c>
      <c r="V474" t="s">
        <v>223</v>
      </c>
      <c r="W474" t="s">
        <v>223</v>
      </c>
      <c r="X474" t="s">
        <v>223</v>
      </c>
      <c r="Y474" t="s">
        <v>223</v>
      </c>
      <c r="Z474" t="s">
        <v>223</v>
      </c>
      <c r="AA474" t="s">
        <v>223</v>
      </c>
      <c r="AB474" t="s">
        <v>223</v>
      </c>
      <c r="AC474" t="s">
        <v>223</v>
      </c>
      <c r="AD474" t="s">
        <v>223</v>
      </c>
      <c r="AE474" t="s">
        <v>223</v>
      </c>
      <c r="AF474" t="s">
        <v>223</v>
      </c>
      <c r="AG474" t="s">
        <v>223</v>
      </c>
      <c r="AH474" t="s">
        <v>223</v>
      </c>
      <c r="AI474" t="s">
        <v>223</v>
      </c>
      <c r="AJ474" t="s">
        <v>223</v>
      </c>
      <c r="AK474" t="s">
        <v>223</v>
      </c>
      <c r="AL474" t="s">
        <v>223</v>
      </c>
      <c r="AM474" t="s">
        <v>223</v>
      </c>
      <c r="AN474" s="9">
        <v>49</v>
      </c>
    </row>
    <row r="475" spans="1:40">
      <c r="A475" t="s">
        <v>384</v>
      </c>
      <c r="B475">
        <v>50</v>
      </c>
      <c r="C475" t="s">
        <v>223</v>
      </c>
      <c r="D475" t="s">
        <v>223</v>
      </c>
      <c r="E475" t="s">
        <v>223</v>
      </c>
      <c r="F475" t="s">
        <v>223</v>
      </c>
      <c r="G475" t="s">
        <v>223</v>
      </c>
      <c r="H475" t="s">
        <v>223</v>
      </c>
      <c r="I475" t="s">
        <v>223</v>
      </c>
      <c r="J475" t="s">
        <v>223</v>
      </c>
      <c r="K475" t="s">
        <v>223</v>
      </c>
      <c r="L475" t="s">
        <v>223</v>
      </c>
      <c r="M475" t="s">
        <v>223</v>
      </c>
      <c r="N475" t="s">
        <v>223</v>
      </c>
      <c r="O475" t="s">
        <v>223</v>
      </c>
      <c r="P475" t="s">
        <v>223</v>
      </c>
      <c r="Q475" t="s">
        <v>223</v>
      </c>
      <c r="R475" t="s">
        <v>223</v>
      </c>
      <c r="S475" t="s">
        <v>223</v>
      </c>
      <c r="T475" t="s">
        <v>223</v>
      </c>
      <c r="U475" t="s">
        <v>223</v>
      </c>
      <c r="V475" t="s">
        <v>223</v>
      </c>
      <c r="W475" t="s">
        <v>223</v>
      </c>
      <c r="X475" t="s">
        <v>223</v>
      </c>
      <c r="Y475" t="s">
        <v>223</v>
      </c>
      <c r="Z475" t="s">
        <v>223</v>
      </c>
      <c r="AA475" t="s">
        <v>223</v>
      </c>
      <c r="AB475" t="s">
        <v>223</v>
      </c>
      <c r="AC475" t="s">
        <v>223</v>
      </c>
      <c r="AD475" t="s">
        <v>223</v>
      </c>
      <c r="AE475" t="s">
        <v>223</v>
      </c>
      <c r="AF475" t="s">
        <v>223</v>
      </c>
      <c r="AG475" t="s">
        <v>223</v>
      </c>
      <c r="AH475" t="s">
        <v>223</v>
      </c>
      <c r="AI475" t="s">
        <v>223</v>
      </c>
      <c r="AJ475" t="s">
        <v>223</v>
      </c>
      <c r="AK475" t="s">
        <v>223</v>
      </c>
      <c r="AL475" t="s">
        <v>223</v>
      </c>
      <c r="AM475" t="s">
        <v>223</v>
      </c>
      <c r="AN475" s="9">
        <v>50</v>
      </c>
    </row>
    <row r="476" spans="1:40">
      <c r="A476" t="s">
        <v>384</v>
      </c>
      <c r="B476">
        <v>51</v>
      </c>
      <c r="C476" t="s">
        <v>223</v>
      </c>
      <c r="D476" t="s">
        <v>223</v>
      </c>
      <c r="E476" t="s">
        <v>223</v>
      </c>
      <c r="F476" t="s">
        <v>223</v>
      </c>
      <c r="G476" t="s">
        <v>223</v>
      </c>
      <c r="H476" t="s">
        <v>223</v>
      </c>
      <c r="I476" t="s">
        <v>223</v>
      </c>
      <c r="J476" t="s">
        <v>223</v>
      </c>
      <c r="K476" t="s">
        <v>223</v>
      </c>
      <c r="L476" t="s">
        <v>223</v>
      </c>
      <c r="M476" t="s">
        <v>223</v>
      </c>
      <c r="N476" t="s">
        <v>223</v>
      </c>
      <c r="O476" t="s">
        <v>223</v>
      </c>
      <c r="P476" t="s">
        <v>223</v>
      </c>
      <c r="Q476" t="s">
        <v>223</v>
      </c>
      <c r="R476" t="s">
        <v>223</v>
      </c>
      <c r="S476" t="s">
        <v>223</v>
      </c>
      <c r="T476" t="s">
        <v>223</v>
      </c>
      <c r="U476" t="s">
        <v>223</v>
      </c>
      <c r="V476" t="s">
        <v>223</v>
      </c>
      <c r="W476" t="s">
        <v>223</v>
      </c>
      <c r="X476" t="s">
        <v>223</v>
      </c>
      <c r="Y476" t="s">
        <v>223</v>
      </c>
      <c r="Z476" t="s">
        <v>223</v>
      </c>
      <c r="AA476" t="s">
        <v>223</v>
      </c>
      <c r="AB476" t="s">
        <v>223</v>
      </c>
      <c r="AC476" t="s">
        <v>223</v>
      </c>
      <c r="AD476" t="s">
        <v>223</v>
      </c>
      <c r="AE476" t="s">
        <v>223</v>
      </c>
      <c r="AF476" t="s">
        <v>223</v>
      </c>
      <c r="AG476" t="s">
        <v>223</v>
      </c>
      <c r="AH476" t="s">
        <v>223</v>
      </c>
      <c r="AI476" t="s">
        <v>223</v>
      </c>
      <c r="AJ476" t="s">
        <v>223</v>
      </c>
      <c r="AK476" t="s">
        <v>223</v>
      </c>
      <c r="AL476" t="s">
        <v>223</v>
      </c>
      <c r="AM476" t="s">
        <v>223</v>
      </c>
      <c r="AN476" s="9">
        <v>51</v>
      </c>
    </row>
    <row r="477" spans="1:40">
      <c r="A477" t="s">
        <v>384</v>
      </c>
      <c r="B477">
        <v>52</v>
      </c>
      <c r="C477" t="s">
        <v>223</v>
      </c>
      <c r="D477" t="s">
        <v>223</v>
      </c>
      <c r="E477" t="s">
        <v>223</v>
      </c>
      <c r="F477" t="s">
        <v>223</v>
      </c>
      <c r="G477" t="s">
        <v>223</v>
      </c>
      <c r="H477" t="s">
        <v>223</v>
      </c>
      <c r="I477" t="s">
        <v>223</v>
      </c>
      <c r="J477" t="s">
        <v>223</v>
      </c>
      <c r="K477" t="s">
        <v>223</v>
      </c>
      <c r="L477" t="s">
        <v>223</v>
      </c>
      <c r="M477" t="s">
        <v>223</v>
      </c>
      <c r="N477" t="s">
        <v>223</v>
      </c>
      <c r="O477" t="s">
        <v>223</v>
      </c>
      <c r="P477" t="s">
        <v>223</v>
      </c>
      <c r="Q477" t="s">
        <v>223</v>
      </c>
      <c r="R477" t="s">
        <v>223</v>
      </c>
      <c r="S477" t="s">
        <v>223</v>
      </c>
      <c r="T477" t="s">
        <v>223</v>
      </c>
      <c r="U477" t="s">
        <v>223</v>
      </c>
      <c r="V477" t="s">
        <v>223</v>
      </c>
      <c r="W477" t="s">
        <v>223</v>
      </c>
      <c r="X477" t="s">
        <v>223</v>
      </c>
      <c r="Y477" t="s">
        <v>223</v>
      </c>
      <c r="Z477" t="s">
        <v>223</v>
      </c>
      <c r="AA477" t="s">
        <v>223</v>
      </c>
      <c r="AB477" t="s">
        <v>223</v>
      </c>
      <c r="AC477" t="s">
        <v>223</v>
      </c>
      <c r="AD477" t="s">
        <v>223</v>
      </c>
      <c r="AE477" t="s">
        <v>223</v>
      </c>
      <c r="AF477" t="s">
        <v>223</v>
      </c>
      <c r="AG477" t="s">
        <v>223</v>
      </c>
      <c r="AH477" t="s">
        <v>223</v>
      </c>
      <c r="AI477" t="s">
        <v>223</v>
      </c>
      <c r="AJ477" t="s">
        <v>223</v>
      </c>
      <c r="AK477" t="s">
        <v>223</v>
      </c>
      <c r="AL477" t="s">
        <v>223</v>
      </c>
      <c r="AM477" t="s">
        <v>223</v>
      </c>
      <c r="AN477" s="9">
        <v>52</v>
      </c>
    </row>
    <row r="478" spans="1:40">
      <c r="A478" t="s">
        <v>384</v>
      </c>
      <c r="B478">
        <v>53</v>
      </c>
      <c r="C478" t="s">
        <v>223</v>
      </c>
      <c r="D478" t="s">
        <v>223</v>
      </c>
      <c r="E478" t="s">
        <v>223</v>
      </c>
      <c r="F478" t="s">
        <v>223</v>
      </c>
      <c r="G478" t="s">
        <v>223</v>
      </c>
      <c r="H478" t="s">
        <v>223</v>
      </c>
      <c r="I478" t="s">
        <v>223</v>
      </c>
      <c r="J478" t="s">
        <v>223</v>
      </c>
      <c r="K478" t="s">
        <v>223</v>
      </c>
      <c r="L478" t="s">
        <v>223</v>
      </c>
      <c r="M478" t="s">
        <v>223</v>
      </c>
      <c r="N478" t="s">
        <v>223</v>
      </c>
      <c r="O478" t="s">
        <v>223</v>
      </c>
      <c r="P478" t="s">
        <v>223</v>
      </c>
      <c r="Q478" t="s">
        <v>223</v>
      </c>
      <c r="R478" t="s">
        <v>223</v>
      </c>
      <c r="S478" t="s">
        <v>223</v>
      </c>
      <c r="T478" t="s">
        <v>223</v>
      </c>
      <c r="U478" t="s">
        <v>223</v>
      </c>
      <c r="V478" t="s">
        <v>223</v>
      </c>
      <c r="W478" t="s">
        <v>223</v>
      </c>
      <c r="X478" t="s">
        <v>223</v>
      </c>
      <c r="Y478" t="s">
        <v>223</v>
      </c>
      <c r="Z478" t="s">
        <v>223</v>
      </c>
      <c r="AA478" t="s">
        <v>223</v>
      </c>
      <c r="AB478" t="s">
        <v>223</v>
      </c>
      <c r="AC478" t="s">
        <v>223</v>
      </c>
      <c r="AD478" t="s">
        <v>223</v>
      </c>
      <c r="AE478" t="s">
        <v>223</v>
      </c>
      <c r="AF478" t="s">
        <v>223</v>
      </c>
      <c r="AG478" t="s">
        <v>223</v>
      </c>
      <c r="AH478" t="s">
        <v>223</v>
      </c>
      <c r="AI478" t="s">
        <v>223</v>
      </c>
      <c r="AJ478" t="s">
        <v>223</v>
      </c>
      <c r="AK478" t="s">
        <v>223</v>
      </c>
      <c r="AL478" t="s">
        <v>223</v>
      </c>
      <c r="AM478" t="s">
        <v>223</v>
      </c>
      <c r="AN478" s="9">
        <v>53</v>
      </c>
    </row>
    <row r="479" spans="1:40">
      <c r="A479" t="s">
        <v>385</v>
      </c>
      <c r="B479">
        <v>16</v>
      </c>
      <c r="C479">
        <v>17</v>
      </c>
      <c r="D479">
        <v>18</v>
      </c>
      <c r="E479">
        <v>19</v>
      </c>
      <c r="F479">
        <v>20</v>
      </c>
      <c r="G479">
        <v>21</v>
      </c>
      <c r="H479">
        <v>22</v>
      </c>
      <c r="I479">
        <v>23</v>
      </c>
      <c r="J479">
        <v>24</v>
      </c>
      <c r="K479">
        <v>25</v>
      </c>
      <c r="L479">
        <v>26</v>
      </c>
      <c r="M479">
        <v>27</v>
      </c>
      <c r="N479" t="s">
        <v>223</v>
      </c>
      <c r="O479" t="s">
        <v>223</v>
      </c>
      <c r="P479" t="s">
        <v>223</v>
      </c>
      <c r="Q479" t="s">
        <v>223</v>
      </c>
      <c r="R479" t="s">
        <v>223</v>
      </c>
      <c r="S479" t="s">
        <v>223</v>
      </c>
      <c r="T479" t="s">
        <v>223</v>
      </c>
      <c r="U479" t="s">
        <v>223</v>
      </c>
      <c r="V479" t="s">
        <v>223</v>
      </c>
      <c r="W479" t="s">
        <v>223</v>
      </c>
      <c r="X479" t="s">
        <v>223</v>
      </c>
      <c r="Y479" t="s">
        <v>223</v>
      </c>
      <c r="Z479" t="s">
        <v>223</v>
      </c>
      <c r="AA479" t="s">
        <v>223</v>
      </c>
      <c r="AB479" t="s">
        <v>223</v>
      </c>
      <c r="AC479" t="s">
        <v>223</v>
      </c>
      <c r="AD479" t="s">
        <v>223</v>
      </c>
      <c r="AE479" t="s">
        <v>223</v>
      </c>
      <c r="AF479" t="s">
        <v>223</v>
      </c>
      <c r="AG479" t="s">
        <v>223</v>
      </c>
      <c r="AH479" t="s">
        <v>223</v>
      </c>
      <c r="AI479" t="s">
        <v>223</v>
      </c>
      <c r="AJ479" t="s">
        <v>223</v>
      </c>
      <c r="AK479" t="s">
        <v>223</v>
      </c>
      <c r="AL479" t="s">
        <v>223</v>
      </c>
      <c r="AM479" t="s">
        <v>223</v>
      </c>
      <c r="AN479" s="9" t="s">
        <v>448</v>
      </c>
    </row>
    <row r="480" spans="1:40">
      <c r="A480" t="s">
        <v>386</v>
      </c>
      <c r="B480">
        <v>28</v>
      </c>
      <c r="C480">
        <v>29</v>
      </c>
      <c r="D480">
        <v>30</v>
      </c>
      <c r="E480">
        <v>31</v>
      </c>
      <c r="F480">
        <v>32</v>
      </c>
      <c r="G480">
        <v>33</v>
      </c>
      <c r="H480">
        <v>34</v>
      </c>
      <c r="I480">
        <v>35</v>
      </c>
      <c r="J480">
        <v>36</v>
      </c>
      <c r="K480">
        <v>37</v>
      </c>
      <c r="L480">
        <v>38</v>
      </c>
      <c r="M480">
        <v>39</v>
      </c>
      <c r="N480" t="s">
        <v>223</v>
      </c>
      <c r="O480" t="s">
        <v>223</v>
      </c>
      <c r="P480" t="s">
        <v>223</v>
      </c>
      <c r="Q480" t="s">
        <v>223</v>
      </c>
      <c r="R480" t="s">
        <v>223</v>
      </c>
      <c r="S480" t="s">
        <v>223</v>
      </c>
      <c r="T480" t="s">
        <v>223</v>
      </c>
      <c r="U480" t="s">
        <v>223</v>
      </c>
      <c r="V480" t="s">
        <v>223</v>
      </c>
      <c r="W480" t="s">
        <v>223</v>
      </c>
      <c r="X480" t="s">
        <v>223</v>
      </c>
      <c r="Y480" t="s">
        <v>223</v>
      </c>
      <c r="Z480" t="s">
        <v>223</v>
      </c>
      <c r="AA480" t="s">
        <v>223</v>
      </c>
      <c r="AB480" t="s">
        <v>223</v>
      </c>
      <c r="AC480" t="s">
        <v>223</v>
      </c>
      <c r="AD480" t="s">
        <v>223</v>
      </c>
      <c r="AE480" t="s">
        <v>223</v>
      </c>
      <c r="AF480" t="s">
        <v>223</v>
      </c>
      <c r="AG480" t="s">
        <v>223</v>
      </c>
      <c r="AH480" t="s">
        <v>223</v>
      </c>
      <c r="AI480" t="s">
        <v>223</v>
      </c>
      <c r="AJ480" t="s">
        <v>223</v>
      </c>
      <c r="AK480" t="s">
        <v>223</v>
      </c>
      <c r="AL480" t="s">
        <v>223</v>
      </c>
      <c r="AM480" t="s">
        <v>223</v>
      </c>
      <c r="AN480" s="9" t="s">
        <v>449</v>
      </c>
    </row>
    <row r="481" spans="1:40">
      <c r="A481" t="s">
        <v>386</v>
      </c>
      <c r="B481">
        <v>40</v>
      </c>
      <c r="C481">
        <v>41</v>
      </c>
      <c r="D481">
        <v>42</v>
      </c>
      <c r="E481">
        <v>43</v>
      </c>
      <c r="F481">
        <v>44</v>
      </c>
      <c r="G481">
        <v>45</v>
      </c>
      <c r="H481">
        <v>46</v>
      </c>
      <c r="I481">
        <v>47</v>
      </c>
      <c r="J481">
        <v>48</v>
      </c>
      <c r="K481">
        <v>49</v>
      </c>
      <c r="L481">
        <v>50</v>
      </c>
      <c r="M481">
        <v>51</v>
      </c>
      <c r="N481" t="s">
        <v>223</v>
      </c>
      <c r="O481" t="s">
        <v>223</v>
      </c>
      <c r="P481" t="s">
        <v>223</v>
      </c>
      <c r="Q481" t="s">
        <v>223</v>
      </c>
      <c r="R481" t="s">
        <v>223</v>
      </c>
      <c r="S481" t="s">
        <v>223</v>
      </c>
      <c r="T481" t="s">
        <v>223</v>
      </c>
      <c r="U481" t="s">
        <v>223</v>
      </c>
      <c r="V481" t="s">
        <v>223</v>
      </c>
      <c r="W481" t="s">
        <v>223</v>
      </c>
      <c r="X481" t="s">
        <v>223</v>
      </c>
      <c r="Y481" t="s">
        <v>223</v>
      </c>
      <c r="Z481" t="s">
        <v>223</v>
      </c>
      <c r="AA481" t="s">
        <v>223</v>
      </c>
      <c r="AB481" t="s">
        <v>223</v>
      </c>
      <c r="AC481" t="s">
        <v>223</v>
      </c>
      <c r="AD481" t="s">
        <v>223</v>
      </c>
      <c r="AE481" t="s">
        <v>223</v>
      </c>
      <c r="AF481" t="s">
        <v>223</v>
      </c>
      <c r="AG481" t="s">
        <v>223</v>
      </c>
      <c r="AH481" t="s">
        <v>223</v>
      </c>
      <c r="AI481" t="s">
        <v>223</v>
      </c>
      <c r="AJ481" t="s">
        <v>223</v>
      </c>
      <c r="AK481" t="s">
        <v>223</v>
      </c>
      <c r="AL481" t="s">
        <v>223</v>
      </c>
      <c r="AM481" t="s">
        <v>223</v>
      </c>
      <c r="AN481" s="9" t="s">
        <v>450</v>
      </c>
    </row>
    <row r="482" spans="1:40">
      <c r="A482" t="s">
        <v>387</v>
      </c>
      <c r="B482">
        <v>52</v>
      </c>
      <c r="C482">
        <v>53</v>
      </c>
      <c r="D482" t="s">
        <v>223</v>
      </c>
      <c r="E482" t="s">
        <v>223</v>
      </c>
      <c r="F482" t="s">
        <v>223</v>
      </c>
      <c r="G482" t="s">
        <v>223</v>
      </c>
      <c r="H482" t="s">
        <v>223</v>
      </c>
      <c r="I482" t="s">
        <v>223</v>
      </c>
      <c r="J482" t="s">
        <v>223</v>
      </c>
      <c r="K482" t="s">
        <v>223</v>
      </c>
      <c r="L482" t="s">
        <v>223</v>
      </c>
      <c r="M482" t="s">
        <v>223</v>
      </c>
      <c r="N482" t="s">
        <v>223</v>
      </c>
      <c r="O482" t="s">
        <v>223</v>
      </c>
      <c r="P482" t="s">
        <v>223</v>
      </c>
      <c r="Q482" t="s">
        <v>223</v>
      </c>
      <c r="R482" t="s">
        <v>223</v>
      </c>
      <c r="S482" t="s">
        <v>223</v>
      </c>
      <c r="T482" t="s">
        <v>223</v>
      </c>
      <c r="U482" t="s">
        <v>223</v>
      </c>
      <c r="V482" t="s">
        <v>223</v>
      </c>
      <c r="W482" t="s">
        <v>223</v>
      </c>
      <c r="X482" t="s">
        <v>223</v>
      </c>
      <c r="Y482" t="s">
        <v>223</v>
      </c>
      <c r="Z482" t="s">
        <v>223</v>
      </c>
      <c r="AA482" t="s">
        <v>223</v>
      </c>
      <c r="AB482" t="s">
        <v>223</v>
      </c>
      <c r="AC482" t="s">
        <v>223</v>
      </c>
      <c r="AD482" t="s">
        <v>223</v>
      </c>
      <c r="AE482" t="s">
        <v>223</v>
      </c>
      <c r="AF482" t="s">
        <v>223</v>
      </c>
      <c r="AG482" t="s">
        <v>223</v>
      </c>
      <c r="AH482" t="s">
        <v>223</v>
      </c>
      <c r="AI482" t="s">
        <v>223</v>
      </c>
      <c r="AJ482" t="s">
        <v>223</v>
      </c>
      <c r="AK482" t="s">
        <v>223</v>
      </c>
      <c r="AL482" t="s">
        <v>223</v>
      </c>
      <c r="AM482" t="s">
        <v>223</v>
      </c>
      <c r="AN482" s="9" t="s">
        <v>428</v>
      </c>
    </row>
    <row r="483" spans="1:40">
      <c r="A483" t="s">
        <v>388</v>
      </c>
      <c r="B483">
        <v>2</v>
      </c>
      <c r="C483">
        <v>3</v>
      </c>
      <c r="D483">
        <v>4</v>
      </c>
      <c r="E483">
        <v>5</v>
      </c>
      <c r="F483">
        <v>6</v>
      </c>
      <c r="G483" t="s">
        <v>223</v>
      </c>
      <c r="H483" t="s">
        <v>223</v>
      </c>
      <c r="I483" t="s">
        <v>223</v>
      </c>
      <c r="J483" t="s">
        <v>223</v>
      </c>
      <c r="K483" t="s">
        <v>223</v>
      </c>
      <c r="L483" t="s">
        <v>223</v>
      </c>
      <c r="M483" t="s">
        <v>223</v>
      </c>
      <c r="N483" t="s">
        <v>223</v>
      </c>
      <c r="O483" t="s">
        <v>223</v>
      </c>
      <c r="P483" t="s">
        <v>223</v>
      </c>
      <c r="Q483" t="s">
        <v>223</v>
      </c>
      <c r="R483" t="s">
        <v>223</v>
      </c>
      <c r="S483" t="s">
        <v>223</v>
      </c>
      <c r="T483" t="s">
        <v>223</v>
      </c>
      <c r="U483" t="s">
        <v>223</v>
      </c>
      <c r="V483" t="s">
        <v>223</v>
      </c>
      <c r="W483" t="s">
        <v>223</v>
      </c>
      <c r="X483" t="s">
        <v>223</v>
      </c>
      <c r="Y483" t="s">
        <v>223</v>
      </c>
      <c r="Z483" t="s">
        <v>223</v>
      </c>
      <c r="AA483" t="s">
        <v>223</v>
      </c>
      <c r="AB483" t="s">
        <v>223</v>
      </c>
      <c r="AC483" t="s">
        <v>223</v>
      </c>
      <c r="AD483" t="s">
        <v>223</v>
      </c>
      <c r="AE483" t="s">
        <v>223</v>
      </c>
      <c r="AF483" t="s">
        <v>223</v>
      </c>
      <c r="AG483" t="s">
        <v>223</v>
      </c>
      <c r="AH483" t="s">
        <v>223</v>
      </c>
      <c r="AI483" t="s">
        <v>223</v>
      </c>
      <c r="AJ483" t="s">
        <v>223</v>
      </c>
      <c r="AK483" t="s">
        <v>223</v>
      </c>
      <c r="AL483" t="s">
        <v>223</v>
      </c>
      <c r="AM483" t="s">
        <v>223</v>
      </c>
      <c r="AN483" s="9" t="s">
        <v>451</v>
      </c>
    </row>
    <row r="484" spans="1:40">
      <c r="A484" t="s">
        <v>389</v>
      </c>
      <c r="B484">
        <v>2</v>
      </c>
      <c r="C484">
        <v>3</v>
      </c>
      <c r="D484">
        <v>4</v>
      </c>
      <c r="E484">
        <v>5</v>
      </c>
      <c r="F484">
        <v>6</v>
      </c>
      <c r="G484" t="s">
        <v>223</v>
      </c>
      <c r="H484" t="s">
        <v>223</v>
      </c>
      <c r="I484" t="s">
        <v>223</v>
      </c>
      <c r="J484" t="s">
        <v>223</v>
      </c>
      <c r="K484" t="s">
        <v>223</v>
      </c>
      <c r="L484" t="s">
        <v>223</v>
      </c>
      <c r="M484" t="s">
        <v>223</v>
      </c>
      <c r="N484" t="s">
        <v>223</v>
      </c>
      <c r="O484" t="s">
        <v>223</v>
      </c>
      <c r="P484" t="s">
        <v>223</v>
      </c>
      <c r="Q484" t="s">
        <v>223</v>
      </c>
      <c r="R484" t="s">
        <v>223</v>
      </c>
      <c r="S484" t="s">
        <v>223</v>
      </c>
      <c r="T484" t="s">
        <v>223</v>
      </c>
      <c r="U484" t="s">
        <v>223</v>
      </c>
      <c r="V484" t="s">
        <v>223</v>
      </c>
      <c r="W484" t="s">
        <v>223</v>
      </c>
      <c r="X484" t="s">
        <v>223</v>
      </c>
      <c r="Y484" t="s">
        <v>223</v>
      </c>
      <c r="Z484" t="s">
        <v>223</v>
      </c>
      <c r="AA484" t="s">
        <v>223</v>
      </c>
      <c r="AB484" t="s">
        <v>223</v>
      </c>
      <c r="AC484" t="s">
        <v>223</v>
      </c>
      <c r="AD484" t="s">
        <v>223</v>
      </c>
      <c r="AE484" t="s">
        <v>223</v>
      </c>
      <c r="AF484" t="s">
        <v>223</v>
      </c>
      <c r="AG484" t="s">
        <v>223</v>
      </c>
      <c r="AH484" t="s">
        <v>223</v>
      </c>
      <c r="AI484" t="s">
        <v>223</v>
      </c>
      <c r="AJ484" t="s">
        <v>223</v>
      </c>
      <c r="AK484" t="s">
        <v>223</v>
      </c>
      <c r="AL484" t="s">
        <v>223</v>
      </c>
      <c r="AM484" t="s">
        <v>223</v>
      </c>
      <c r="AN484" s="9" t="s">
        <v>451</v>
      </c>
    </row>
    <row r="485" spans="1:40">
      <c r="A485" t="s">
        <v>390</v>
      </c>
      <c r="B485">
        <v>2</v>
      </c>
      <c r="C485">
        <v>3</v>
      </c>
      <c r="D485">
        <v>4</v>
      </c>
      <c r="E485">
        <v>5</v>
      </c>
      <c r="F485">
        <v>6</v>
      </c>
      <c r="G485" t="s">
        <v>223</v>
      </c>
      <c r="H485" t="s">
        <v>223</v>
      </c>
      <c r="I485" t="s">
        <v>223</v>
      </c>
      <c r="J485" t="s">
        <v>223</v>
      </c>
      <c r="K485" t="s">
        <v>223</v>
      </c>
      <c r="L485" t="s">
        <v>223</v>
      </c>
      <c r="M485" t="s">
        <v>223</v>
      </c>
      <c r="N485" t="s">
        <v>223</v>
      </c>
      <c r="O485" t="s">
        <v>223</v>
      </c>
      <c r="P485" t="s">
        <v>223</v>
      </c>
      <c r="Q485" t="s">
        <v>223</v>
      </c>
      <c r="R485" t="s">
        <v>223</v>
      </c>
      <c r="S485" t="s">
        <v>223</v>
      </c>
      <c r="T485" t="s">
        <v>223</v>
      </c>
      <c r="U485" t="s">
        <v>223</v>
      </c>
      <c r="V485" t="s">
        <v>223</v>
      </c>
      <c r="W485" t="s">
        <v>223</v>
      </c>
      <c r="X485" t="s">
        <v>223</v>
      </c>
      <c r="Y485" t="s">
        <v>223</v>
      </c>
      <c r="Z485" t="s">
        <v>223</v>
      </c>
      <c r="AA485" t="s">
        <v>223</v>
      </c>
      <c r="AB485" t="s">
        <v>223</v>
      </c>
      <c r="AC485" t="s">
        <v>223</v>
      </c>
      <c r="AD485" t="s">
        <v>223</v>
      </c>
      <c r="AE485" t="s">
        <v>223</v>
      </c>
      <c r="AF485" t="s">
        <v>223</v>
      </c>
      <c r="AG485" t="s">
        <v>223</v>
      </c>
      <c r="AH485" t="s">
        <v>223</v>
      </c>
      <c r="AI485" t="s">
        <v>223</v>
      </c>
      <c r="AJ485" t="s">
        <v>223</v>
      </c>
      <c r="AK485" t="s">
        <v>223</v>
      </c>
      <c r="AL485" t="s">
        <v>223</v>
      </c>
      <c r="AM485" t="s">
        <v>223</v>
      </c>
      <c r="AN485" s="9" t="s">
        <v>451</v>
      </c>
    </row>
    <row r="486" spans="1:40">
      <c r="A486" t="s">
        <v>391</v>
      </c>
      <c r="B486">
        <v>9</v>
      </c>
      <c r="C486">
        <v>10</v>
      </c>
      <c r="D486">
        <v>11</v>
      </c>
      <c r="E486">
        <v>12</v>
      </c>
      <c r="F486">
        <v>13</v>
      </c>
      <c r="G486" t="s">
        <v>223</v>
      </c>
      <c r="H486" t="s">
        <v>223</v>
      </c>
      <c r="I486" t="s">
        <v>223</v>
      </c>
      <c r="J486" t="s">
        <v>223</v>
      </c>
      <c r="K486" t="s">
        <v>223</v>
      </c>
      <c r="L486" t="s">
        <v>223</v>
      </c>
      <c r="M486" t="s">
        <v>223</v>
      </c>
      <c r="N486" t="s">
        <v>223</v>
      </c>
      <c r="O486" t="s">
        <v>223</v>
      </c>
      <c r="P486" t="s">
        <v>223</v>
      </c>
      <c r="Q486" t="s">
        <v>223</v>
      </c>
      <c r="R486" t="s">
        <v>223</v>
      </c>
      <c r="S486" t="s">
        <v>223</v>
      </c>
      <c r="T486" t="s">
        <v>223</v>
      </c>
      <c r="U486" t="s">
        <v>223</v>
      </c>
      <c r="V486" t="s">
        <v>223</v>
      </c>
      <c r="W486" t="s">
        <v>223</v>
      </c>
      <c r="X486" t="s">
        <v>223</v>
      </c>
      <c r="Y486" t="s">
        <v>223</v>
      </c>
      <c r="Z486" t="s">
        <v>223</v>
      </c>
      <c r="AA486" t="s">
        <v>223</v>
      </c>
      <c r="AB486" t="s">
        <v>223</v>
      </c>
      <c r="AC486" t="s">
        <v>223</v>
      </c>
      <c r="AD486" t="s">
        <v>223</v>
      </c>
      <c r="AE486" t="s">
        <v>223</v>
      </c>
      <c r="AF486" t="s">
        <v>223</v>
      </c>
      <c r="AG486" t="s">
        <v>223</v>
      </c>
      <c r="AH486" t="s">
        <v>223</v>
      </c>
      <c r="AI486" t="s">
        <v>223</v>
      </c>
      <c r="AJ486" t="s">
        <v>223</v>
      </c>
      <c r="AK486" t="s">
        <v>223</v>
      </c>
      <c r="AL486" t="s">
        <v>223</v>
      </c>
      <c r="AM486" t="s">
        <v>223</v>
      </c>
      <c r="AN486" s="9" t="s">
        <v>452</v>
      </c>
    </row>
    <row r="487" spans="1:40">
      <c r="A487" t="s">
        <v>392</v>
      </c>
      <c r="B487">
        <v>9</v>
      </c>
      <c r="C487">
        <v>10</v>
      </c>
      <c r="D487">
        <v>11</v>
      </c>
      <c r="E487">
        <v>12</v>
      </c>
      <c r="F487">
        <v>13</v>
      </c>
      <c r="G487" t="s">
        <v>223</v>
      </c>
      <c r="H487" t="s">
        <v>223</v>
      </c>
      <c r="I487" t="s">
        <v>223</v>
      </c>
      <c r="J487" t="s">
        <v>223</v>
      </c>
      <c r="K487" t="s">
        <v>223</v>
      </c>
      <c r="L487" t="s">
        <v>223</v>
      </c>
      <c r="M487" t="s">
        <v>223</v>
      </c>
      <c r="N487" t="s">
        <v>223</v>
      </c>
      <c r="O487" t="s">
        <v>223</v>
      </c>
      <c r="P487" t="s">
        <v>223</v>
      </c>
      <c r="Q487" t="s">
        <v>223</v>
      </c>
      <c r="R487" t="s">
        <v>223</v>
      </c>
      <c r="S487" t="s">
        <v>223</v>
      </c>
      <c r="T487" t="s">
        <v>223</v>
      </c>
      <c r="U487" t="s">
        <v>223</v>
      </c>
      <c r="V487" t="s">
        <v>223</v>
      </c>
      <c r="W487" t="s">
        <v>223</v>
      </c>
      <c r="X487" t="s">
        <v>223</v>
      </c>
      <c r="Y487" t="s">
        <v>223</v>
      </c>
      <c r="Z487" t="s">
        <v>223</v>
      </c>
      <c r="AA487" t="s">
        <v>223</v>
      </c>
      <c r="AB487" t="s">
        <v>223</v>
      </c>
      <c r="AC487" t="s">
        <v>223</v>
      </c>
      <c r="AD487" t="s">
        <v>223</v>
      </c>
      <c r="AE487" t="s">
        <v>223</v>
      </c>
      <c r="AF487" t="s">
        <v>223</v>
      </c>
      <c r="AG487" t="s">
        <v>223</v>
      </c>
      <c r="AH487" t="s">
        <v>223</v>
      </c>
      <c r="AI487" t="s">
        <v>223</v>
      </c>
      <c r="AJ487" t="s">
        <v>223</v>
      </c>
      <c r="AK487" t="s">
        <v>223</v>
      </c>
      <c r="AL487" t="s">
        <v>223</v>
      </c>
      <c r="AM487" t="s">
        <v>223</v>
      </c>
      <c r="AN487" s="9" t="s">
        <v>452</v>
      </c>
    </row>
    <row r="488" spans="1:40">
      <c r="A488" t="s">
        <v>393</v>
      </c>
      <c r="B488">
        <v>9</v>
      </c>
      <c r="C488">
        <v>10</v>
      </c>
      <c r="D488">
        <v>11</v>
      </c>
      <c r="E488">
        <v>12</v>
      </c>
      <c r="F488">
        <v>13</v>
      </c>
      <c r="G488" t="s">
        <v>223</v>
      </c>
      <c r="H488" t="s">
        <v>223</v>
      </c>
      <c r="I488" t="s">
        <v>223</v>
      </c>
      <c r="J488" t="s">
        <v>223</v>
      </c>
      <c r="K488" t="s">
        <v>223</v>
      </c>
      <c r="L488" t="s">
        <v>223</v>
      </c>
      <c r="M488" t="s">
        <v>223</v>
      </c>
      <c r="N488" t="s">
        <v>223</v>
      </c>
      <c r="O488" t="s">
        <v>223</v>
      </c>
      <c r="P488" t="s">
        <v>223</v>
      </c>
      <c r="Q488" t="s">
        <v>223</v>
      </c>
      <c r="R488" t="s">
        <v>223</v>
      </c>
      <c r="S488" t="s">
        <v>223</v>
      </c>
      <c r="T488" t="s">
        <v>223</v>
      </c>
      <c r="U488" t="s">
        <v>223</v>
      </c>
      <c r="V488" t="s">
        <v>223</v>
      </c>
      <c r="W488" t="s">
        <v>223</v>
      </c>
      <c r="X488" t="s">
        <v>223</v>
      </c>
      <c r="Y488" t="s">
        <v>223</v>
      </c>
      <c r="Z488" t="s">
        <v>223</v>
      </c>
      <c r="AA488" t="s">
        <v>223</v>
      </c>
      <c r="AB488" t="s">
        <v>223</v>
      </c>
      <c r="AC488" t="s">
        <v>223</v>
      </c>
      <c r="AD488" t="s">
        <v>223</v>
      </c>
      <c r="AE488" t="s">
        <v>223</v>
      </c>
      <c r="AF488" t="s">
        <v>223</v>
      </c>
      <c r="AG488" t="s">
        <v>223</v>
      </c>
      <c r="AH488" t="s">
        <v>223</v>
      </c>
      <c r="AI488" t="s">
        <v>223</v>
      </c>
      <c r="AJ488" t="s">
        <v>223</v>
      </c>
      <c r="AK488" t="s">
        <v>223</v>
      </c>
      <c r="AL488" t="s">
        <v>223</v>
      </c>
      <c r="AM488" t="s">
        <v>223</v>
      </c>
      <c r="AN488" s="9" t="s">
        <v>452</v>
      </c>
    </row>
    <row r="489" spans="1:40">
      <c r="A489" t="s">
        <v>394</v>
      </c>
      <c r="B489">
        <v>0</v>
      </c>
      <c r="C489">
        <v>1</v>
      </c>
      <c r="D489" t="s">
        <v>223</v>
      </c>
      <c r="E489" t="s">
        <v>223</v>
      </c>
      <c r="F489" t="s">
        <v>223</v>
      </c>
      <c r="G489" t="s">
        <v>223</v>
      </c>
      <c r="H489" t="s">
        <v>223</v>
      </c>
      <c r="I489" t="s">
        <v>223</v>
      </c>
      <c r="J489" t="s">
        <v>223</v>
      </c>
      <c r="K489" t="s">
        <v>223</v>
      </c>
      <c r="L489" t="s">
        <v>223</v>
      </c>
      <c r="M489" t="s">
        <v>223</v>
      </c>
      <c r="N489" t="s">
        <v>223</v>
      </c>
      <c r="O489" t="s">
        <v>223</v>
      </c>
      <c r="P489" t="s">
        <v>223</v>
      </c>
      <c r="Q489" t="s">
        <v>223</v>
      </c>
      <c r="R489" t="s">
        <v>223</v>
      </c>
      <c r="S489" t="s">
        <v>223</v>
      </c>
      <c r="T489" t="s">
        <v>223</v>
      </c>
      <c r="U489" t="s">
        <v>223</v>
      </c>
      <c r="V489" t="s">
        <v>223</v>
      </c>
      <c r="W489" t="s">
        <v>223</v>
      </c>
      <c r="X489" t="s">
        <v>223</v>
      </c>
      <c r="Y489" t="s">
        <v>223</v>
      </c>
      <c r="Z489" t="s">
        <v>223</v>
      </c>
      <c r="AA489" t="s">
        <v>223</v>
      </c>
      <c r="AB489" t="s">
        <v>223</v>
      </c>
      <c r="AC489" t="s">
        <v>223</v>
      </c>
      <c r="AD489" t="s">
        <v>223</v>
      </c>
      <c r="AE489" t="s">
        <v>223</v>
      </c>
      <c r="AF489" t="s">
        <v>223</v>
      </c>
      <c r="AG489" t="s">
        <v>223</v>
      </c>
      <c r="AH489" t="s">
        <v>223</v>
      </c>
      <c r="AI489" t="s">
        <v>223</v>
      </c>
      <c r="AJ489" t="s">
        <v>223</v>
      </c>
      <c r="AK489" t="s">
        <v>223</v>
      </c>
      <c r="AL489" t="s">
        <v>223</v>
      </c>
      <c r="AM489" t="s">
        <v>223</v>
      </c>
      <c r="AN489" s="9" t="s">
        <v>1729</v>
      </c>
    </row>
    <row r="490" spans="1:40">
      <c r="A490" s="6" t="s">
        <v>1732</v>
      </c>
      <c r="B490">
        <v>8</v>
      </c>
      <c r="C490" t="s">
        <v>223</v>
      </c>
      <c r="D490" t="s">
        <v>223</v>
      </c>
      <c r="E490" t="s">
        <v>223</v>
      </c>
      <c r="F490" t="s">
        <v>223</v>
      </c>
      <c r="G490" t="s">
        <v>223</v>
      </c>
      <c r="H490" t="s">
        <v>223</v>
      </c>
      <c r="I490" t="s">
        <v>223</v>
      </c>
      <c r="J490" t="s">
        <v>223</v>
      </c>
      <c r="K490" t="s">
        <v>223</v>
      </c>
      <c r="L490" t="s">
        <v>223</v>
      </c>
      <c r="M490" t="s">
        <v>223</v>
      </c>
      <c r="N490" t="s">
        <v>223</v>
      </c>
      <c r="O490" t="s">
        <v>223</v>
      </c>
      <c r="P490" t="s">
        <v>223</v>
      </c>
      <c r="Q490" t="s">
        <v>223</v>
      </c>
      <c r="R490" t="s">
        <v>223</v>
      </c>
      <c r="S490" t="s">
        <v>223</v>
      </c>
      <c r="T490" t="s">
        <v>223</v>
      </c>
      <c r="U490" t="s">
        <v>223</v>
      </c>
      <c r="V490" t="s">
        <v>223</v>
      </c>
      <c r="W490" t="s">
        <v>223</v>
      </c>
      <c r="X490" t="s">
        <v>223</v>
      </c>
      <c r="Y490" t="s">
        <v>223</v>
      </c>
      <c r="Z490" t="s">
        <v>223</v>
      </c>
      <c r="AA490" t="s">
        <v>223</v>
      </c>
      <c r="AB490" t="s">
        <v>223</v>
      </c>
      <c r="AC490" t="s">
        <v>223</v>
      </c>
      <c r="AD490" t="s">
        <v>223</v>
      </c>
      <c r="AE490" t="s">
        <v>223</v>
      </c>
      <c r="AF490" t="s">
        <v>223</v>
      </c>
      <c r="AG490" t="s">
        <v>223</v>
      </c>
      <c r="AH490" t="s">
        <v>223</v>
      </c>
      <c r="AI490" t="s">
        <v>223</v>
      </c>
      <c r="AJ490" t="s">
        <v>223</v>
      </c>
      <c r="AK490" t="s">
        <v>223</v>
      </c>
      <c r="AL490" t="s">
        <v>223</v>
      </c>
      <c r="AM490" t="s">
        <v>223</v>
      </c>
      <c r="AN490" s="9" t="s">
        <v>1731</v>
      </c>
    </row>
    <row r="491" spans="1:40">
      <c r="A491" t="s">
        <v>395</v>
      </c>
      <c r="B491">
        <v>28</v>
      </c>
      <c r="C491">
        <v>29</v>
      </c>
      <c r="D491">
        <v>30</v>
      </c>
      <c r="E491">
        <v>31</v>
      </c>
      <c r="F491">
        <v>32</v>
      </c>
      <c r="G491">
        <v>33</v>
      </c>
      <c r="H491">
        <v>34</v>
      </c>
      <c r="I491">
        <v>35</v>
      </c>
      <c r="J491">
        <v>36</v>
      </c>
      <c r="K491">
        <v>37</v>
      </c>
      <c r="L491">
        <v>38</v>
      </c>
      <c r="M491">
        <v>39</v>
      </c>
      <c r="N491" t="s">
        <v>223</v>
      </c>
      <c r="O491" t="s">
        <v>223</v>
      </c>
      <c r="P491" t="s">
        <v>223</v>
      </c>
      <c r="Q491" t="s">
        <v>223</v>
      </c>
      <c r="R491" t="s">
        <v>223</v>
      </c>
      <c r="S491" t="s">
        <v>223</v>
      </c>
      <c r="T491" t="s">
        <v>223</v>
      </c>
      <c r="U491" t="s">
        <v>223</v>
      </c>
      <c r="V491" t="s">
        <v>223</v>
      </c>
      <c r="W491" t="s">
        <v>223</v>
      </c>
      <c r="X491" t="s">
        <v>223</v>
      </c>
      <c r="Y491" t="s">
        <v>223</v>
      </c>
      <c r="Z491" t="s">
        <v>223</v>
      </c>
      <c r="AA491" t="s">
        <v>223</v>
      </c>
      <c r="AB491" t="s">
        <v>223</v>
      </c>
      <c r="AC491" t="s">
        <v>223</v>
      </c>
      <c r="AD491" t="s">
        <v>223</v>
      </c>
      <c r="AE491" t="s">
        <v>223</v>
      </c>
      <c r="AF491" t="s">
        <v>223</v>
      </c>
      <c r="AG491" t="s">
        <v>223</v>
      </c>
      <c r="AH491" t="s">
        <v>223</v>
      </c>
      <c r="AI491" t="s">
        <v>223</v>
      </c>
      <c r="AJ491" t="s">
        <v>223</v>
      </c>
      <c r="AK491" t="s">
        <v>223</v>
      </c>
      <c r="AL491" t="s">
        <v>223</v>
      </c>
      <c r="AM491" t="s">
        <v>223</v>
      </c>
      <c r="AN491" s="9" t="s">
        <v>449</v>
      </c>
    </row>
    <row r="492" spans="1:40">
      <c r="A492" t="s">
        <v>398</v>
      </c>
      <c r="B492">
        <v>40</v>
      </c>
      <c r="C492">
        <v>41</v>
      </c>
      <c r="D492">
        <v>42</v>
      </c>
      <c r="E492">
        <v>43</v>
      </c>
      <c r="F492">
        <v>44</v>
      </c>
      <c r="G492">
        <v>45</v>
      </c>
      <c r="H492">
        <v>46</v>
      </c>
      <c r="I492">
        <v>47</v>
      </c>
      <c r="J492">
        <v>48</v>
      </c>
      <c r="K492">
        <v>49</v>
      </c>
      <c r="L492">
        <v>50</v>
      </c>
      <c r="M492">
        <v>51</v>
      </c>
      <c r="N492" t="s">
        <v>223</v>
      </c>
      <c r="O492" t="s">
        <v>223</v>
      </c>
      <c r="P492" t="s">
        <v>223</v>
      </c>
      <c r="Q492" t="s">
        <v>223</v>
      </c>
      <c r="R492" t="s">
        <v>223</v>
      </c>
      <c r="S492" t="s">
        <v>223</v>
      </c>
      <c r="T492" t="s">
        <v>223</v>
      </c>
      <c r="U492" t="s">
        <v>223</v>
      </c>
      <c r="V492" t="s">
        <v>223</v>
      </c>
      <c r="W492" t="s">
        <v>223</v>
      </c>
      <c r="X492" t="s">
        <v>223</v>
      </c>
      <c r="Y492" t="s">
        <v>223</v>
      </c>
      <c r="Z492" t="s">
        <v>223</v>
      </c>
      <c r="AA492" t="s">
        <v>223</v>
      </c>
      <c r="AB492" t="s">
        <v>223</v>
      </c>
      <c r="AC492" t="s">
        <v>223</v>
      </c>
      <c r="AD492" t="s">
        <v>223</v>
      </c>
      <c r="AE492" t="s">
        <v>223</v>
      </c>
      <c r="AF492" t="s">
        <v>223</v>
      </c>
      <c r="AG492" t="s">
        <v>223</v>
      </c>
      <c r="AH492" t="s">
        <v>223</v>
      </c>
      <c r="AI492" t="s">
        <v>223</v>
      </c>
      <c r="AJ492" t="s">
        <v>223</v>
      </c>
      <c r="AK492" t="s">
        <v>223</v>
      </c>
      <c r="AL492" t="s">
        <v>223</v>
      </c>
      <c r="AM492" t="s">
        <v>223</v>
      </c>
      <c r="AN492" s="9" t="s">
        <v>450</v>
      </c>
    </row>
    <row r="493" spans="1:40">
      <c r="A493" t="s">
        <v>396</v>
      </c>
      <c r="B493">
        <v>0</v>
      </c>
      <c r="C493">
        <v>1</v>
      </c>
      <c r="D493">
        <v>3</v>
      </c>
      <c r="E493">
        <v>4</v>
      </c>
      <c r="F493">
        <v>5</v>
      </c>
      <c r="G493">
        <v>6</v>
      </c>
      <c r="H493">
        <v>7</v>
      </c>
      <c r="I493">
        <v>8</v>
      </c>
      <c r="J493">
        <v>9</v>
      </c>
      <c r="K493">
        <v>10</v>
      </c>
      <c r="L493">
        <v>11</v>
      </c>
      <c r="M493">
        <v>12</v>
      </c>
      <c r="N493">
        <v>13</v>
      </c>
      <c r="O493">
        <v>15</v>
      </c>
      <c r="P493">
        <v>16</v>
      </c>
      <c r="Q493">
        <v>17</v>
      </c>
      <c r="R493">
        <v>18</v>
      </c>
      <c r="S493">
        <v>19</v>
      </c>
      <c r="T493">
        <v>20</v>
      </c>
      <c r="U493">
        <v>21</v>
      </c>
      <c r="V493">
        <v>22</v>
      </c>
      <c r="W493">
        <v>23</v>
      </c>
      <c r="X493">
        <v>24</v>
      </c>
      <c r="Y493">
        <v>25</v>
      </c>
      <c r="Z493">
        <v>26</v>
      </c>
      <c r="AA493">
        <v>27</v>
      </c>
      <c r="AB493">
        <v>28</v>
      </c>
      <c r="AC493">
        <v>29</v>
      </c>
      <c r="AD493">
        <v>30</v>
      </c>
      <c r="AE493">
        <v>31</v>
      </c>
      <c r="AF493">
        <v>32</v>
      </c>
      <c r="AG493">
        <v>33</v>
      </c>
      <c r="AH493">
        <v>34</v>
      </c>
      <c r="AI493">
        <v>35</v>
      </c>
      <c r="AJ493">
        <v>36</v>
      </c>
      <c r="AK493">
        <v>37</v>
      </c>
      <c r="AL493">
        <v>38</v>
      </c>
      <c r="AM493">
        <v>39</v>
      </c>
      <c r="AN493" s="9" t="s">
        <v>453</v>
      </c>
    </row>
    <row r="494" spans="1:40">
      <c r="A494" t="s">
        <v>655</v>
      </c>
      <c r="B494">
        <v>0</v>
      </c>
      <c r="C494">
        <v>2</v>
      </c>
      <c r="D494">
        <v>3</v>
      </c>
      <c r="E494">
        <v>4</v>
      </c>
      <c r="F494">
        <v>5</v>
      </c>
      <c r="G494">
        <v>6</v>
      </c>
      <c r="H494">
        <v>7</v>
      </c>
      <c r="I494">
        <v>8</v>
      </c>
      <c r="J494">
        <v>9</v>
      </c>
      <c r="K494">
        <v>10</v>
      </c>
      <c r="L494">
        <v>11</v>
      </c>
      <c r="M494">
        <v>12</v>
      </c>
      <c r="N494">
        <v>13</v>
      </c>
      <c r="O494">
        <v>14</v>
      </c>
      <c r="P494" t="s">
        <v>223</v>
      </c>
      <c r="Q494" t="s">
        <v>223</v>
      </c>
      <c r="R494" t="s">
        <v>223</v>
      </c>
      <c r="S494" t="s">
        <v>223</v>
      </c>
      <c r="T494" t="s">
        <v>223</v>
      </c>
      <c r="U494" t="s">
        <v>223</v>
      </c>
      <c r="V494" t="s">
        <v>223</v>
      </c>
      <c r="W494" t="s">
        <v>223</v>
      </c>
      <c r="X494" t="s">
        <v>223</v>
      </c>
      <c r="Y494" t="s">
        <v>223</v>
      </c>
      <c r="Z494" t="s">
        <v>223</v>
      </c>
      <c r="AA494" t="s">
        <v>223</v>
      </c>
      <c r="AB494" t="s">
        <v>223</v>
      </c>
      <c r="AC494" t="s">
        <v>223</v>
      </c>
      <c r="AD494" t="s">
        <v>223</v>
      </c>
      <c r="AE494" t="s">
        <v>223</v>
      </c>
      <c r="AF494" t="s">
        <v>223</v>
      </c>
      <c r="AG494" t="s">
        <v>223</v>
      </c>
      <c r="AH494" t="s">
        <v>223</v>
      </c>
      <c r="AI494" t="s">
        <v>223</v>
      </c>
      <c r="AJ494" t="s">
        <v>223</v>
      </c>
      <c r="AK494" t="s">
        <v>223</v>
      </c>
      <c r="AL494" t="s">
        <v>223</v>
      </c>
      <c r="AM494" t="s">
        <v>223</v>
      </c>
      <c r="AN494" s="9" t="s">
        <v>657</v>
      </c>
    </row>
    <row r="495" spans="1:40">
      <c r="A495" t="s">
        <v>656</v>
      </c>
      <c r="B495">
        <v>0</v>
      </c>
      <c r="C495">
        <v>2</v>
      </c>
      <c r="D495">
        <v>3</v>
      </c>
      <c r="E495">
        <v>4</v>
      </c>
      <c r="F495">
        <v>5</v>
      </c>
      <c r="G495">
        <v>6</v>
      </c>
      <c r="H495">
        <v>7</v>
      </c>
      <c r="I495">
        <v>8</v>
      </c>
      <c r="J495">
        <v>9</v>
      </c>
      <c r="K495">
        <v>10</v>
      </c>
      <c r="L495">
        <v>11</v>
      </c>
      <c r="M495">
        <v>12</v>
      </c>
      <c r="N495">
        <v>13</v>
      </c>
      <c r="O495">
        <v>14</v>
      </c>
      <c r="P495">
        <v>16</v>
      </c>
      <c r="Q495">
        <v>17</v>
      </c>
      <c r="R495">
        <v>18</v>
      </c>
      <c r="S495">
        <v>19</v>
      </c>
      <c r="T495">
        <v>20</v>
      </c>
      <c r="U495">
        <v>21</v>
      </c>
      <c r="V495">
        <v>22</v>
      </c>
      <c r="W495">
        <v>23</v>
      </c>
      <c r="X495" t="s">
        <v>223</v>
      </c>
      <c r="Y495" t="s">
        <v>223</v>
      </c>
      <c r="Z495" t="s">
        <v>223</v>
      </c>
      <c r="AA495" t="s">
        <v>223</v>
      </c>
      <c r="AB495" t="s">
        <v>223</v>
      </c>
      <c r="AC495" t="s">
        <v>223</v>
      </c>
      <c r="AD495" t="s">
        <v>223</v>
      </c>
      <c r="AE495" t="s">
        <v>223</v>
      </c>
      <c r="AF495" t="s">
        <v>223</v>
      </c>
      <c r="AG495" t="s">
        <v>223</v>
      </c>
      <c r="AH495" t="s">
        <v>223</v>
      </c>
      <c r="AI495" t="s">
        <v>223</v>
      </c>
      <c r="AJ495" t="s">
        <v>223</v>
      </c>
      <c r="AK495" t="s">
        <v>223</v>
      </c>
      <c r="AL495" t="s">
        <v>223</v>
      </c>
      <c r="AM495" t="s">
        <v>223</v>
      </c>
      <c r="AN495" s="9" t="s">
        <v>454</v>
      </c>
    </row>
  </sheetData>
  <pageMargins left="0.7" right="0.7" top="0.75" bottom="0.75" header="0.3" footer="0.3"/>
  <pageSetup orientation="landscape" verticalDpi="0" r:id="rId1"/>
  <ignoredErrors>
    <ignoredError sqref="AN490"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CG39"/>
  <sheetViews>
    <sheetView topLeftCell="P1" workbookViewId="0">
      <selection activeCell="V2" sqref="V2"/>
    </sheetView>
  </sheetViews>
  <sheetFormatPr defaultColWidth="30.7109375" defaultRowHeight="60" customHeight="1"/>
  <sheetData>
    <row r="1" spans="1:85" ht="60" customHeight="1">
      <c r="A1" s="164" t="s">
        <v>360</v>
      </c>
      <c r="B1" s="1" t="s">
        <v>361</v>
      </c>
      <c r="C1" s="1" t="s">
        <v>362</v>
      </c>
      <c r="D1" s="1" t="s">
        <v>363</v>
      </c>
      <c r="E1" s="1" t="s">
        <v>364</v>
      </c>
      <c r="F1" s="1" t="s">
        <v>365</v>
      </c>
      <c r="G1" s="1" t="s">
        <v>366</v>
      </c>
      <c r="H1" s="1" t="s">
        <v>367</v>
      </c>
      <c r="I1" s="1" t="s">
        <v>368</v>
      </c>
      <c r="J1" s="1" t="s">
        <v>369</v>
      </c>
      <c r="K1" s="1" t="s">
        <v>370</v>
      </c>
      <c r="L1" s="1" t="s">
        <v>371</v>
      </c>
      <c r="M1" s="1" t="s">
        <v>372</v>
      </c>
      <c r="N1" s="1" t="s">
        <v>373</v>
      </c>
      <c r="O1" s="1" t="s">
        <v>374</v>
      </c>
      <c r="P1" s="1" t="s">
        <v>375</v>
      </c>
      <c r="Q1" s="1" t="s">
        <v>376</v>
      </c>
      <c r="R1" s="1" t="s">
        <v>377</v>
      </c>
      <c r="S1" s="1" t="s">
        <v>378</v>
      </c>
      <c r="T1" s="1" t="s">
        <v>379</v>
      </c>
      <c r="U1" s="1" t="s">
        <v>380</v>
      </c>
      <c r="V1" s="1" t="s">
        <v>381</v>
      </c>
      <c r="W1" s="1" t="s">
        <v>382</v>
      </c>
      <c r="X1" s="1" t="s">
        <v>383</v>
      </c>
      <c r="Y1" s="1" t="s">
        <v>384</v>
      </c>
      <c r="Z1" s="1" t="s">
        <v>385</v>
      </c>
      <c r="AA1" s="1" t="s">
        <v>386</v>
      </c>
      <c r="AB1" s="1" t="s">
        <v>387</v>
      </c>
      <c r="AC1" s="7" t="s">
        <v>388</v>
      </c>
      <c r="AD1" s="7" t="s">
        <v>389</v>
      </c>
      <c r="AE1" s="7" t="s">
        <v>390</v>
      </c>
      <c r="AF1" s="7" t="s">
        <v>391</v>
      </c>
      <c r="AG1" s="7" t="s">
        <v>392</v>
      </c>
      <c r="AH1" s="1" t="s">
        <v>393</v>
      </c>
      <c r="AI1" s="1" t="s">
        <v>394</v>
      </c>
      <c r="AJ1" s="7" t="s">
        <v>1732</v>
      </c>
      <c r="AK1" s="1" t="s">
        <v>395</v>
      </c>
      <c r="AL1" s="1" t="s">
        <v>398</v>
      </c>
      <c r="AM1" s="1" t="s">
        <v>396</v>
      </c>
      <c r="AN1" s="1" t="s">
        <v>655</v>
      </c>
      <c r="AO1" s="1" t="s">
        <v>656</v>
      </c>
      <c r="AQ1" t="s">
        <v>361</v>
      </c>
      <c r="AS1" s="164" t="s">
        <v>360</v>
      </c>
      <c r="AT1" s="1" t="s">
        <v>361</v>
      </c>
      <c r="AU1" s="1" t="s">
        <v>362</v>
      </c>
      <c r="AV1" s="1" t="s">
        <v>363</v>
      </c>
      <c r="AW1" s="1" t="s">
        <v>364</v>
      </c>
      <c r="AX1" s="1" t="s">
        <v>365</v>
      </c>
      <c r="AY1" s="1" t="s">
        <v>366</v>
      </c>
      <c r="AZ1" s="1" t="s">
        <v>367</v>
      </c>
      <c r="BA1" s="1" t="s">
        <v>368</v>
      </c>
      <c r="BB1" s="1" t="s">
        <v>369</v>
      </c>
      <c r="BC1" s="1" t="s">
        <v>370</v>
      </c>
      <c r="BD1" s="1" t="s">
        <v>371</v>
      </c>
      <c r="BE1" s="1" t="s">
        <v>372</v>
      </c>
      <c r="BF1" s="1" t="s">
        <v>373</v>
      </c>
      <c r="BG1" s="1" t="s">
        <v>374</v>
      </c>
      <c r="BH1" s="1" t="s">
        <v>375</v>
      </c>
      <c r="BI1" s="1" t="s">
        <v>376</v>
      </c>
      <c r="BJ1" s="1" t="s">
        <v>377</v>
      </c>
      <c r="BK1" s="1" t="s">
        <v>378</v>
      </c>
      <c r="BL1" s="1" t="s">
        <v>379</v>
      </c>
      <c r="BM1" s="1" t="s">
        <v>380</v>
      </c>
      <c r="BN1" s="1" t="s">
        <v>381</v>
      </c>
      <c r="BO1" s="1" t="s">
        <v>382</v>
      </c>
      <c r="BP1" s="1" t="s">
        <v>383</v>
      </c>
      <c r="BQ1" s="1" t="s">
        <v>384</v>
      </c>
      <c r="BR1" s="1" t="s">
        <v>385</v>
      </c>
      <c r="BS1" s="1" t="s">
        <v>386</v>
      </c>
      <c r="BT1" s="1" t="s">
        <v>387</v>
      </c>
      <c r="BU1" s="7" t="s">
        <v>388</v>
      </c>
      <c r="BV1" s="7" t="s">
        <v>389</v>
      </c>
      <c r="BW1" s="7" t="s">
        <v>390</v>
      </c>
      <c r="BX1" s="7" t="s">
        <v>391</v>
      </c>
      <c r="BY1" s="7" t="s">
        <v>392</v>
      </c>
      <c r="BZ1" s="1" t="s">
        <v>393</v>
      </c>
      <c r="CA1" s="1" t="s">
        <v>394</v>
      </c>
      <c r="CB1" s="7" t="s">
        <v>1732</v>
      </c>
      <c r="CC1" s="1" t="s">
        <v>395</v>
      </c>
      <c r="CD1" s="1" t="s">
        <v>398</v>
      </c>
      <c r="CE1" s="1" t="s">
        <v>396</v>
      </c>
      <c r="CF1" s="1" t="s">
        <v>655</v>
      </c>
      <c r="CG1" s="1" t="s">
        <v>656</v>
      </c>
    </row>
    <row r="2" spans="1:85" ht="60" customHeight="1">
      <c r="A2" s="164">
        <v>1</v>
      </c>
      <c r="B2" s="7" t="s">
        <v>1144</v>
      </c>
      <c r="C2" s="7" t="s">
        <v>1145</v>
      </c>
      <c r="D2" s="7" t="s">
        <v>1717</v>
      </c>
      <c r="E2" s="7" t="s">
        <v>1718</v>
      </c>
      <c r="F2" s="7" t="s">
        <v>1214</v>
      </c>
      <c r="G2" s="7" t="s">
        <v>705</v>
      </c>
      <c r="H2" s="7" t="s">
        <v>1216</v>
      </c>
      <c r="I2" s="7" t="s">
        <v>706</v>
      </c>
      <c r="J2" s="7" t="s">
        <v>1222</v>
      </c>
      <c r="K2" s="7" t="s">
        <v>1224</v>
      </c>
      <c r="L2" s="7" t="s">
        <v>707</v>
      </c>
      <c r="M2" s="7" t="s">
        <v>708</v>
      </c>
      <c r="N2" s="7" t="s">
        <v>709</v>
      </c>
      <c r="O2" s="7" t="s">
        <v>1194</v>
      </c>
      <c r="P2" s="7" t="s">
        <v>687</v>
      </c>
      <c r="Q2" s="7" t="s">
        <v>686</v>
      </c>
      <c r="R2" s="7" t="s">
        <v>1132</v>
      </c>
      <c r="S2" s="7" t="s">
        <v>1133</v>
      </c>
      <c r="T2" s="1" t="s">
        <v>399</v>
      </c>
      <c r="U2" s="1" t="s">
        <v>400</v>
      </c>
      <c r="V2" s="7" t="s">
        <v>1131</v>
      </c>
      <c r="W2" s="7" t="s">
        <v>1130</v>
      </c>
      <c r="X2" s="7" t="s">
        <v>1129</v>
      </c>
      <c r="Y2" s="7" t="s">
        <v>1128</v>
      </c>
      <c r="Z2" s="7" t="s">
        <v>1200</v>
      </c>
      <c r="AA2" s="7" t="s">
        <v>1201</v>
      </c>
      <c r="AB2" s="7" t="s">
        <v>710</v>
      </c>
      <c r="AC2" s="7" t="s">
        <v>1280</v>
      </c>
      <c r="AD2" s="7" t="s">
        <v>1281</v>
      </c>
      <c r="AE2" s="7" t="s">
        <v>1282</v>
      </c>
      <c r="AF2" s="7" t="s">
        <v>1283</v>
      </c>
      <c r="AG2" s="7" t="s">
        <v>1283</v>
      </c>
      <c r="AH2" s="7" t="s">
        <v>1283</v>
      </c>
      <c r="AI2" s="7" t="s">
        <v>1284</v>
      </c>
      <c r="AJ2" s="7" t="s">
        <v>1298</v>
      </c>
      <c r="AK2" s="7" t="s">
        <v>1734</v>
      </c>
      <c r="AL2" s="7" t="s">
        <v>1733</v>
      </c>
      <c r="AM2" s="1" t="s">
        <v>401</v>
      </c>
      <c r="AN2" s="1" t="s">
        <v>658</v>
      </c>
      <c r="AO2" s="1" t="s">
        <v>662</v>
      </c>
      <c r="AQ2" t="s">
        <v>362</v>
      </c>
      <c r="AS2" s="164">
        <v>1</v>
      </c>
    </row>
    <row r="3" spans="1:85" ht="60" customHeight="1">
      <c r="A3" s="164">
        <v>2</v>
      </c>
      <c r="B3" s="7" t="s">
        <v>1147</v>
      </c>
      <c r="C3" s="7" t="s">
        <v>1146</v>
      </c>
      <c r="D3" s="7" t="s">
        <v>1719</v>
      </c>
      <c r="E3" s="7" t="s">
        <v>1720</v>
      </c>
      <c r="F3" s="7" t="s">
        <v>1215</v>
      </c>
      <c r="G3" s="1" t="s">
        <v>223</v>
      </c>
      <c r="H3" s="7" t="s">
        <v>1217</v>
      </c>
      <c r="I3" s="1" t="s">
        <v>223</v>
      </c>
      <c r="J3" s="7" t="s">
        <v>1223</v>
      </c>
      <c r="K3" s="7" t="s">
        <v>1225</v>
      </c>
      <c r="L3" s="7" t="s">
        <v>711</v>
      </c>
      <c r="M3" s="7" t="s">
        <v>712</v>
      </c>
      <c r="N3" s="7" t="s">
        <v>713</v>
      </c>
      <c r="O3" s="1" t="s">
        <v>402</v>
      </c>
      <c r="P3" s="1" t="s">
        <v>403</v>
      </c>
      <c r="Q3" s="7" t="s">
        <v>688</v>
      </c>
      <c r="R3" s="7" t="s">
        <v>1143</v>
      </c>
      <c r="S3" s="7" t="s">
        <v>1134</v>
      </c>
      <c r="T3" s="1" t="s">
        <v>223</v>
      </c>
      <c r="U3" s="1" t="s">
        <v>223</v>
      </c>
      <c r="V3" s="1" t="s">
        <v>223</v>
      </c>
      <c r="W3" s="1" t="s">
        <v>223</v>
      </c>
      <c r="X3" s="1" t="s">
        <v>223</v>
      </c>
      <c r="Y3" s="1" t="s">
        <v>223</v>
      </c>
      <c r="Z3" s="7" t="s">
        <v>798</v>
      </c>
      <c r="AA3" s="7" t="s">
        <v>799</v>
      </c>
      <c r="AB3" s="7" t="s">
        <v>714</v>
      </c>
      <c r="AC3" s="7" t="s">
        <v>1285</v>
      </c>
      <c r="AD3" s="7" t="s">
        <v>1286</v>
      </c>
      <c r="AE3" s="7" t="s">
        <v>1287</v>
      </c>
      <c r="AF3" s="7" t="s">
        <v>1288</v>
      </c>
      <c r="AG3" s="7" t="s">
        <v>1289</v>
      </c>
      <c r="AH3" s="7" t="s">
        <v>1290</v>
      </c>
      <c r="AI3" s="7" t="s">
        <v>1291</v>
      </c>
      <c r="AJ3" s="1" t="s">
        <v>223</v>
      </c>
      <c r="AK3" s="7" t="s">
        <v>1695</v>
      </c>
      <c r="AL3" s="7" t="s">
        <v>1696</v>
      </c>
      <c r="AM3" s="1" t="s">
        <v>404</v>
      </c>
      <c r="AN3" s="1" t="s">
        <v>659</v>
      </c>
      <c r="AO3" s="1" t="s">
        <v>663</v>
      </c>
      <c r="AQ3" t="s">
        <v>363</v>
      </c>
      <c r="AS3" s="164">
        <v>2</v>
      </c>
    </row>
    <row r="4" spans="1:85" ht="60" customHeight="1">
      <c r="A4" s="164">
        <v>3</v>
      </c>
      <c r="B4" s="1" t="s">
        <v>223</v>
      </c>
      <c r="C4" s="1" t="s">
        <v>223</v>
      </c>
      <c r="D4" s="7" t="s">
        <v>1721</v>
      </c>
      <c r="E4" s="7" t="s">
        <v>1722</v>
      </c>
      <c r="F4" s="1" t="s">
        <v>223</v>
      </c>
      <c r="G4" s="1" t="s">
        <v>223</v>
      </c>
      <c r="H4" s="1" t="s">
        <v>223</v>
      </c>
      <c r="I4" s="1" t="s">
        <v>223</v>
      </c>
      <c r="J4" s="1" t="s">
        <v>223</v>
      </c>
      <c r="K4" s="1" t="s">
        <v>223</v>
      </c>
      <c r="L4" s="1" t="s">
        <v>223</v>
      </c>
      <c r="M4" s="1" t="s">
        <v>223</v>
      </c>
      <c r="N4" s="1" t="s">
        <v>223</v>
      </c>
      <c r="O4" s="7" t="s">
        <v>1195</v>
      </c>
      <c r="P4" s="1" t="s">
        <v>223</v>
      </c>
      <c r="Q4" s="7" t="s">
        <v>689</v>
      </c>
      <c r="R4" s="7" t="s">
        <v>1142</v>
      </c>
      <c r="S4" s="7" t="s">
        <v>1135</v>
      </c>
      <c r="T4" s="1" t="s">
        <v>223</v>
      </c>
      <c r="U4" s="1" t="s">
        <v>223</v>
      </c>
      <c r="V4" s="1" t="s">
        <v>223</v>
      </c>
      <c r="W4" s="1" t="s">
        <v>223</v>
      </c>
      <c r="X4" s="1" t="s">
        <v>223</v>
      </c>
      <c r="Y4" s="1" t="s">
        <v>223</v>
      </c>
      <c r="Z4" s="7" t="s">
        <v>800</v>
      </c>
      <c r="AA4" s="7" t="s">
        <v>801</v>
      </c>
      <c r="AB4" s="1" t="s">
        <v>223</v>
      </c>
      <c r="AC4" s="7" t="s">
        <v>1292</v>
      </c>
      <c r="AD4" s="7" t="s">
        <v>1293</v>
      </c>
      <c r="AE4" s="7" t="s">
        <v>1294</v>
      </c>
      <c r="AF4" s="7" t="s">
        <v>1295</v>
      </c>
      <c r="AG4" s="7" t="s">
        <v>1296</v>
      </c>
      <c r="AH4" s="7" t="s">
        <v>1297</v>
      </c>
      <c r="AI4" s="1" t="s">
        <v>223</v>
      </c>
      <c r="AJ4" s="1" t="s">
        <v>223</v>
      </c>
      <c r="AK4" s="7" t="s">
        <v>1702</v>
      </c>
      <c r="AL4" s="7" t="s">
        <v>1703</v>
      </c>
      <c r="AM4" s="7" t="s">
        <v>715</v>
      </c>
      <c r="AN4" s="7" t="s">
        <v>716</v>
      </c>
      <c r="AO4" s="7" t="s">
        <v>717</v>
      </c>
      <c r="AQ4" t="s">
        <v>364</v>
      </c>
      <c r="AS4" s="164">
        <v>3</v>
      </c>
    </row>
    <row r="5" spans="1:85" ht="60" customHeight="1">
      <c r="A5" s="164">
        <v>4</v>
      </c>
      <c r="B5" s="1" t="s">
        <v>223</v>
      </c>
      <c r="C5" s="1" t="s">
        <v>223</v>
      </c>
      <c r="D5" s="7" t="s">
        <v>1688</v>
      </c>
      <c r="E5" s="7" t="s">
        <v>1689</v>
      </c>
      <c r="F5" s="1" t="s">
        <v>223</v>
      </c>
      <c r="G5" s="1" t="s">
        <v>223</v>
      </c>
      <c r="H5" s="1" t="s">
        <v>223</v>
      </c>
      <c r="I5" s="1" t="s">
        <v>223</v>
      </c>
      <c r="J5" s="1" t="s">
        <v>223</v>
      </c>
      <c r="K5" s="1" t="s">
        <v>223</v>
      </c>
      <c r="L5" s="1" t="s">
        <v>223</v>
      </c>
      <c r="M5" s="1" t="s">
        <v>223</v>
      </c>
      <c r="N5" s="1" t="s">
        <v>223</v>
      </c>
      <c r="O5" s="7" t="s">
        <v>1196</v>
      </c>
      <c r="P5" s="1" t="s">
        <v>223</v>
      </c>
      <c r="Q5" s="7" t="s">
        <v>690</v>
      </c>
      <c r="R5" s="7" t="s">
        <v>1141</v>
      </c>
      <c r="S5" s="7" t="s">
        <v>1136</v>
      </c>
      <c r="T5" s="1" t="s">
        <v>223</v>
      </c>
      <c r="U5" s="1" t="s">
        <v>223</v>
      </c>
      <c r="V5" s="1" t="s">
        <v>223</v>
      </c>
      <c r="W5" s="1" t="s">
        <v>223</v>
      </c>
      <c r="X5" s="1" t="s">
        <v>223</v>
      </c>
      <c r="Y5" s="1" t="s">
        <v>223</v>
      </c>
      <c r="Z5" s="7" t="s">
        <v>802</v>
      </c>
      <c r="AA5" s="7" t="s">
        <v>803</v>
      </c>
      <c r="AB5" s="1" t="s">
        <v>223</v>
      </c>
      <c r="AC5" s="7" t="s">
        <v>1299</v>
      </c>
      <c r="AD5" s="7" t="s">
        <v>1300</v>
      </c>
      <c r="AE5" s="7" t="s">
        <v>1301</v>
      </c>
      <c r="AF5" s="7" t="s">
        <v>1302</v>
      </c>
      <c r="AG5" s="7" t="s">
        <v>1303</v>
      </c>
      <c r="AH5" s="7" t="s">
        <v>1304</v>
      </c>
      <c r="AI5" s="1" t="s">
        <v>223</v>
      </c>
      <c r="AJ5" s="1" t="s">
        <v>223</v>
      </c>
      <c r="AK5" s="7" t="s">
        <v>1697</v>
      </c>
      <c r="AL5" s="7" t="s">
        <v>1698</v>
      </c>
      <c r="AM5" s="7" t="s">
        <v>718</v>
      </c>
      <c r="AN5" s="7" t="s">
        <v>719</v>
      </c>
      <c r="AO5" s="7" t="s">
        <v>720</v>
      </c>
      <c r="AQ5" t="s">
        <v>365</v>
      </c>
      <c r="AS5" s="164">
        <v>4</v>
      </c>
    </row>
    <row r="6" spans="1:85" ht="60" customHeight="1">
      <c r="A6" s="164">
        <v>5</v>
      </c>
      <c r="B6" s="1" t="s">
        <v>223</v>
      </c>
      <c r="C6" s="1" t="s">
        <v>223</v>
      </c>
      <c r="D6" s="7" t="s">
        <v>1690</v>
      </c>
      <c r="E6" s="7" t="s">
        <v>1691</v>
      </c>
      <c r="F6" s="1" t="s">
        <v>223</v>
      </c>
      <c r="G6" s="1" t="s">
        <v>223</v>
      </c>
      <c r="H6" s="1" t="s">
        <v>223</v>
      </c>
      <c r="I6" s="1" t="s">
        <v>223</v>
      </c>
      <c r="J6" s="1" t="s">
        <v>223</v>
      </c>
      <c r="K6" s="1" t="s">
        <v>223</v>
      </c>
      <c r="L6" s="1" t="s">
        <v>223</v>
      </c>
      <c r="M6" s="1" t="s">
        <v>223</v>
      </c>
      <c r="N6" s="1" t="s">
        <v>223</v>
      </c>
      <c r="O6" s="1" t="s">
        <v>223</v>
      </c>
      <c r="P6" s="1" t="s">
        <v>223</v>
      </c>
      <c r="Q6" s="7" t="s">
        <v>691</v>
      </c>
      <c r="R6" s="7" t="s">
        <v>1140</v>
      </c>
      <c r="S6" s="7" t="s">
        <v>1137</v>
      </c>
      <c r="T6" s="1" t="s">
        <v>223</v>
      </c>
      <c r="U6" s="1" t="s">
        <v>223</v>
      </c>
      <c r="V6" s="1" t="s">
        <v>223</v>
      </c>
      <c r="W6" s="1" t="s">
        <v>223</v>
      </c>
      <c r="X6" s="1" t="s">
        <v>223</v>
      </c>
      <c r="Y6" s="1" t="s">
        <v>223</v>
      </c>
      <c r="Z6" s="7" t="s">
        <v>804</v>
      </c>
      <c r="AA6" s="7" t="s">
        <v>805</v>
      </c>
      <c r="AB6" s="1" t="s">
        <v>223</v>
      </c>
      <c r="AC6" s="7" t="s">
        <v>1305</v>
      </c>
      <c r="AD6" s="7" t="s">
        <v>1305</v>
      </c>
      <c r="AE6" s="7" t="s">
        <v>1305</v>
      </c>
      <c r="AF6" s="7" t="s">
        <v>1306</v>
      </c>
      <c r="AG6" s="7" t="s">
        <v>1307</v>
      </c>
      <c r="AH6" s="7" t="s">
        <v>1308</v>
      </c>
      <c r="AI6" s="1" t="s">
        <v>223</v>
      </c>
      <c r="AJ6" s="1" t="s">
        <v>223</v>
      </c>
      <c r="AK6" s="7" t="s">
        <v>1704</v>
      </c>
      <c r="AL6" s="7" t="s">
        <v>1705</v>
      </c>
      <c r="AM6" s="7" t="s">
        <v>721</v>
      </c>
      <c r="AN6" s="7" t="s">
        <v>722</v>
      </c>
      <c r="AO6" s="7" t="s">
        <v>723</v>
      </c>
      <c r="AQ6" t="s">
        <v>366</v>
      </c>
      <c r="AS6" s="164">
        <v>5</v>
      </c>
    </row>
    <row r="7" spans="1:85" ht="60" customHeight="1">
      <c r="A7" s="164">
        <v>6</v>
      </c>
      <c r="B7" s="1" t="s">
        <v>223</v>
      </c>
      <c r="C7" s="1" t="s">
        <v>223</v>
      </c>
      <c r="D7" s="7" t="s">
        <v>1692</v>
      </c>
      <c r="E7" s="7" t="s">
        <v>1693</v>
      </c>
      <c r="F7" s="1" t="s">
        <v>223</v>
      </c>
      <c r="G7" s="1" t="s">
        <v>223</v>
      </c>
      <c r="H7" s="1" t="s">
        <v>223</v>
      </c>
      <c r="I7" s="1" t="s">
        <v>223</v>
      </c>
      <c r="J7" s="1" t="s">
        <v>223</v>
      </c>
      <c r="K7" s="1" t="s">
        <v>223</v>
      </c>
      <c r="L7" s="1" t="s">
        <v>223</v>
      </c>
      <c r="M7" s="1" t="s">
        <v>223</v>
      </c>
      <c r="N7" s="1" t="s">
        <v>223</v>
      </c>
      <c r="O7" s="1" t="s">
        <v>223</v>
      </c>
      <c r="P7" s="1" t="s">
        <v>223</v>
      </c>
      <c r="Q7" s="7" t="s">
        <v>692</v>
      </c>
      <c r="R7" s="7" t="s">
        <v>1139</v>
      </c>
      <c r="S7" s="7" t="s">
        <v>1138</v>
      </c>
      <c r="T7" s="1" t="s">
        <v>223</v>
      </c>
      <c r="U7" s="1" t="s">
        <v>223</v>
      </c>
      <c r="V7" s="1" t="s">
        <v>223</v>
      </c>
      <c r="W7" s="1" t="s">
        <v>223</v>
      </c>
      <c r="X7" s="1" t="s">
        <v>223</v>
      </c>
      <c r="Y7" s="1" t="s">
        <v>223</v>
      </c>
      <c r="Z7" s="7" t="s">
        <v>806</v>
      </c>
      <c r="AA7" s="7" t="s">
        <v>807</v>
      </c>
      <c r="AB7" s="1" t="s">
        <v>223</v>
      </c>
      <c r="AC7" s="1" t="s">
        <v>223</v>
      </c>
      <c r="AD7" s="1" t="s">
        <v>223</v>
      </c>
      <c r="AE7" s="1" t="s">
        <v>223</v>
      </c>
      <c r="AF7" s="1" t="s">
        <v>223</v>
      </c>
      <c r="AG7" s="1" t="s">
        <v>223</v>
      </c>
      <c r="AH7" s="1" t="s">
        <v>223</v>
      </c>
      <c r="AI7" s="1" t="s">
        <v>223</v>
      </c>
      <c r="AJ7" s="1" t="s">
        <v>223</v>
      </c>
      <c r="AK7" s="7" t="s">
        <v>1706</v>
      </c>
      <c r="AL7" s="7" t="s">
        <v>1707</v>
      </c>
      <c r="AM7" s="7" t="s">
        <v>724</v>
      </c>
      <c r="AN7" s="7" t="s">
        <v>725</v>
      </c>
      <c r="AO7" s="7" t="s">
        <v>726</v>
      </c>
      <c r="AQ7" t="s">
        <v>367</v>
      </c>
      <c r="AS7" s="164">
        <v>6</v>
      </c>
    </row>
    <row r="8" spans="1:85" ht="60" customHeight="1">
      <c r="A8" s="164">
        <v>7</v>
      </c>
      <c r="B8" s="1" t="s">
        <v>223</v>
      </c>
      <c r="C8" s="1" t="s">
        <v>223</v>
      </c>
      <c r="D8" s="1" t="s">
        <v>223</v>
      </c>
      <c r="E8" s="1" t="s">
        <v>223</v>
      </c>
      <c r="F8" s="1" t="s">
        <v>223</v>
      </c>
      <c r="G8" s="1" t="s">
        <v>223</v>
      </c>
      <c r="H8" s="1" t="s">
        <v>223</v>
      </c>
      <c r="I8" s="1" t="s">
        <v>223</v>
      </c>
      <c r="J8" s="1" t="s">
        <v>223</v>
      </c>
      <c r="K8" s="1" t="s">
        <v>223</v>
      </c>
      <c r="L8" s="1" t="s">
        <v>223</v>
      </c>
      <c r="M8" s="1" t="s">
        <v>223</v>
      </c>
      <c r="N8" s="1" t="s">
        <v>223</v>
      </c>
      <c r="O8" s="1" t="s">
        <v>223</v>
      </c>
      <c r="P8" s="1" t="s">
        <v>223</v>
      </c>
      <c r="Q8" s="7" t="s">
        <v>693</v>
      </c>
      <c r="R8" s="1" t="s">
        <v>223</v>
      </c>
      <c r="S8" s="1" t="s">
        <v>223</v>
      </c>
      <c r="T8" s="1" t="s">
        <v>223</v>
      </c>
      <c r="U8" s="1" t="s">
        <v>223</v>
      </c>
      <c r="V8" s="1" t="s">
        <v>223</v>
      </c>
      <c r="W8" s="1" t="s">
        <v>223</v>
      </c>
      <c r="X8" s="1" t="s">
        <v>223</v>
      </c>
      <c r="Y8" s="1" t="s">
        <v>223</v>
      </c>
      <c r="Z8" s="7" t="s">
        <v>1199</v>
      </c>
      <c r="AA8" s="7" t="s">
        <v>1202</v>
      </c>
      <c r="AB8" s="1" t="s">
        <v>223</v>
      </c>
      <c r="AC8" s="1" t="s">
        <v>223</v>
      </c>
      <c r="AD8" s="1" t="s">
        <v>223</v>
      </c>
      <c r="AE8" s="1" t="s">
        <v>223</v>
      </c>
      <c r="AF8" s="1" t="s">
        <v>223</v>
      </c>
      <c r="AG8" s="1" t="s">
        <v>223</v>
      </c>
      <c r="AH8" s="1" t="s">
        <v>223</v>
      </c>
      <c r="AI8" s="1" t="s">
        <v>223</v>
      </c>
      <c r="AJ8" s="1" t="s">
        <v>223</v>
      </c>
      <c r="AK8" s="7" t="s">
        <v>1708</v>
      </c>
      <c r="AL8" s="7" t="s">
        <v>1701</v>
      </c>
      <c r="AM8" s="1" t="s">
        <v>405</v>
      </c>
      <c r="AN8" s="1" t="s">
        <v>660</v>
      </c>
      <c r="AO8" s="1" t="s">
        <v>664</v>
      </c>
      <c r="AQ8" t="s">
        <v>368</v>
      </c>
      <c r="AS8" s="164">
        <v>7</v>
      </c>
    </row>
    <row r="9" spans="1:85" ht="60" customHeight="1">
      <c r="A9" s="164">
        <v>8</v>
      </c>
      <c r="B9" s="1" t="s">
        <v>223</v>
      </c>
      <c r="C9" s="1" t="s">
        <v>223</v>
      </c>
      <c r="D9" s="1" t="s">
        <v>223</v>
      </c>
      <c r="E9" s="1" t="s">
        <v>223</v>
      </c>
      <c r="F9" s="1" t="s">
        <v>223</v>
      </c>
      <c r="G9" s="1" t="s">
        <v>223</v>
      </c>
      <c r="H9" s="1" t="s">
        <v>223</v>
      </c>
      <c r="I9" s="1" t="s">
        <v>223</v>
      </c>
      <c r="J9" s="1" t="s">
        <v>223</v>
      </c>
      <c r="K9" s="1" t="s">
        <v>223</v>
      </c>
      <c r="L9" s="1" t="s">
        <v>223</v>
      </c>
      <c r="M9" s="1" t="s">
        <v>223</v>
      </c>
      <c r="N9" s="1" t="s">
        <v>223</v>
      </c>
      <c r="O9" s="1" t="s">
        <v>223</v>
      </c>
      <c r="P9" s="1" t="s">
        <v>223</v>
      </c>
      <c r="Q9" s="7" t="s">
        <v>694</v>
      </c>
      <c r="R9" s="1" t="s">
        <v>223</v>
      </c>
      <c r="S9" s="1" t="s">
        <v>223</v>
      </c>
      <c r="T9" s="1" t="s">
        <v>223</v>
      </c>
      <c r="U9" s="1" t="s">
        <v>223</v>
      </c>
      <c r="V9" s="1" t="s">
        <v>223</v>
      </c>
      <c r="W9" s="1" t="s">
        <v>223</v>
      </c>
      <c r="X9" s="1" t="s">
        <v>223</v>
      </c>
      <c r="Y9" s="1" t="s">
        <v>223</v>
      </c>
      <c r="Z9" s="7" t="s">
        <v>808</v>
      </c>
      <c r="AA9" s="7" t="s">
        <v>809</v>
      </c>
      <c r="AB9" s="1" t="s">
        <v>223</v>
      </c>
      <c r="AC9" s="1" t="s">
        <v>223</v>
      </c>
      <c r="AD9" s="1" t="s">
        <v>223</v>
      </c>
      <c r="AE9" s="1" t="s">
        <v>223</v>
      </c>
      <c r="AF9" s="1" t="s">
        <v>223</v>
      </c>
      <c r="AG9" s="1" t="s">
        <v>223</v>
      </c>
      <c r="AH9" s="1" t="s">
        <v>223</v>
      </c>
      <c r="AI9" s="1" t="s">
        <v>223</v>
      </c>
      <c r="AJ9" s="1" t="s">
        <v>223</v>
      </c>
      <c r="AK9" s="7" t="s">
        <v>1709</v>
      </c>
      <c r="AL9" s="7" t="s">
        <v>1710</v>
      </c>
      <c r="AM9" s="7" t="s">
        <v>727</v>
      </c>
      <c r="AN9" s="7" t="s">
        <v>728</v>
      </c>
      <c r="AO9" s="7" t="s">
        <v>729</v>
      </c>
      <c r="AQ9" t="s">
        <v>369</v>
      </c>
      <c r="AS9" s="164">
        <v>8</v>
      </c>
    </row>
    <row r="10" spans="1:85" ht="60" customHeight="1">
      <c r="A10" s="164">
        <v>9</v>
      </c>
      <c r="B10" s="1" t="s">
        <v>223</v>
      </c>
      <c r="C10" s="1" t="s">
        <v>223</v>
      </c>
      <c r="D10" s="1" t="s">
        <v>223</v>
      </c>
      <c r="E10" s="1" t="s">
        <v>223</v>
      </c>
      <c r="F10" s="1" t="s">
        <v>223</v>
      </c>
      <c r="G10" s="1" t="s">
        <v>223</v>
      </c>
      <c r="H10" s="1" t="s">
        <v>223</v>
      </c>
      <c r="I10" s="1" t="s">
        <v>223</v>
      </c>
      <c r="J10" s="1" t="s">
        <v>223</v>
      </c>
      <c r="K10" s="1" t="s">
        <v>223</v>
      </c>
      <c r="L10" s="1" t="s">
        <v>223</v>
      </c>
      <c r="M10" s="1" t="s">
        <v>223</v>
      </c>
      <c r="N10" s="1" t="s">
        <v>223</v>
      </c>
      <c r="O10" s="1" t="s">
        <v>223</v>
      </c>
      <c r="P10" s="1" t="s">
        <v>223</v>
      </c>
      <c r="Q10" s="7" t="s">
        <v>695</v>
      </c>
      <c r="R10" s="1" t="s">
        <v>223</v>
      </c>
      <c r="S10" s="1" t="s">
        <v>223</v>
      </c>
      <c r="T10" s="1" t="s">
        <v>223</v>
      </c>
      <c r="U10" s="1" t="s">
        <v>223</v>
      </c>
      <c r="V10" s="1" t="s">
        <v>223</v>
      </c>
      <c r="W10" s="1" t="s">
        <v>223</v>
      </c>
      <c r="X10" s="1" t="s">
        <v>223</v>
      </c>
      <c r="Y10" s="1" t="s">
        <v>223</v>
      </c>
      <c r="Z10" s="7" t="s">
        <v>810</v>
      </c>
      <c r="AA10" s="7" t="s">
        <v>811</v>
      </c>
      <c r="AB10" s="1" t="s">
        <v>223</v>
      </c>
      <c r="AC10" s="1" t="s">
        <v>223</v>
      </c>
      <c r="AD10" s="1" t="s">
        <v>223</v>
      </c>
      <c r="AE10" s="1" t="s">
        <v>223</v>
      </c>
      <c r="AF10" s="1" t="s">
        <v>223</v>
      </c>
      <c r="AG10" s="1" t="s">
        <v>223</v>
      </c>
      <c r="AH10" s="1" t="s">
        <v>223</v>
      </c>
      <c r="AI10" s="1" t="s">
        <v>223</v>
      </c>
      <c r="AJ10" s="1" t="s">
        <v>223</v>
      </c>
      <c r="AK10" s="7" t="s">
        <v>1699</v>
      </c>
      <c r="AL10" s="7" t="s">
        <v>1700</v>
      </c>
      <c r="AM10" s="7" t="s">
        <v>730</v>
      </c>
      <c r="AN10" s="7" t="s">
        <v>731</v>
      </c>
      <c r="AO10" s="7" t="s">
        <v>732</v>
      </c>
      <c r="AQ10" t="s">
        <v>370</v>
      </c>
      <c r="AS10" s="164">
        <v>9</v>
      </c>
    </row>
    <row r="11" spans="1:85" ht="60" customHeight="1">
      <c r="A11" s="164">
        <v>10</v>
      </c>
      <c r="B11" s="1" t="s">
        <v>223</v>
      </c>
      <c r="C11" s="1" t="s">
        <v>223</v>
      </c>
      <c r="D11" s="1" t="s">
        <v>223</v>
      </c>
      <c r="E11" s="1" t="s">
        <v>223</v>
      </c>
      <c r="F11" s="1" t="s">
        <v>223</v>
      </c>
      <c r="G11" s="1" t="s">
        <v>223</v>
      </c>
      <c r="H11" s="1" t="s">
        <v>223</v>
      </c>
      <c r="I11" s="1" t="s">
        <v>223</v>
      </c>
      <c r="J11" s="1" t="s">
        <v>223</v>
      </c>
      <c r="K11" s="1" t="s">
        <v>223</v>
      </c>
      <c r="L11" s="1" t="s">
        <v>223</v>
      </c>
      <c r="M11" s="1" t="s">
        <v>223</v>
      </c>
      <c r="N11" s="1" t="s">
        <v>223</v>
      </c>
      <c r="O11" s="1" t="s">
        <v>223</v>
      </c>
      <c r="P11" s="1" t="s">
        <v>223</v>
      </c>
      <c r="Q11" s="7" t="s">
        <v>696</v>
      </c>
      <c r="R11" s="1" t="s">
        <v>223</v>
      </c>
      <c r="S11" s="1" t="s">
        <v>223</v>
      </c>
      <c r="T11" s="1" t="s">
        <v>223</v>
      </c>
      <c r="U11" s="1" t="s">
        <v>223</v>
      </c>
      <c r="V11" s="1" t="s">
        <v>223</v>
      </c>
      <c r="W11" s="1" t="s">
        <v>223</v>
      </c>
      <c r="X11" s="1" t="s">
        <v>223</v>
      </c>
      <c r="Y11" s="1" t="s">
        <v>223</v>
      </c>
      <c r="Z11" s="7" t="s">
        <v>812</v>
      </c>
      <c r="AA11" s="7" t="s">
        <v>813</v>
      </c>
      <c r="AB11" s="1" t="s">
        <v>223</v>
      </c>
      <c r="AC11" s="1" t="s">
        <v>223</v>
      </c>
      <c r="AD11" s="1" t="s">
        <v>223</v>
      </c>
      <c r="AE11" s="1" t="s">
        <v>223</v>
      </c>
      <c r="AF11" s="1" t="s">
        <v>223</v>
      </c>
      <c r="AG11" s="1" t="s">
        <v>223</v>
      </c>
      <c r="AH11" s="1" t="s">
        <v>223</v>
      </c>
      <c r="AI11" s="1" t="s">
        <v>223</v>
      </c>
      <c r="AJ11" s="1" t="s">
        <v>223</v>
      </c>
      <c r="AK11" s="7" t="s">
        <v>1711</v>
      </c>
      <c r="AL11" s="7" t="s">
        <v>1712</v>
      </c>
      <c r="AM11" s="7" t="s">
        <v>733</v>
      </c>
      <c r="AN11" s="7" t="s">
        <v>734</v>
      </c>
      <c r="AO11" s="7" t="s">
        <v>735</v>
      </c>
      <c r="AQ11" t="s">
        <v>371</v>
      </c>
      <c r="AS11" s="164">
        <v>10</v>
      </c>
    </row>
    <row r="12" spans="1:85" ht="60" customHeight="1">
      <c r="A12" s="164">
        <v>11</v>
      </c>
      <c r="B12" s="1" t="s">
        <v>223</v>
      </c>
      <c r="C12" s="1" t="s">
        <v>223</v>
      </c>
      <c r="D12" s="1" t="s">
        <v>223</v>
      </c>
      <c r="E12" s="1" t="s">
        <v>223</v>
      </c>
      <c r="F12" s="1" t="s">
        <v>223</v>
      </c>
      <c r="G12" s="1" t="s">
        <v>223</v>
      </c>
      <c r="H12" s="1" t="s">
        <v>223</v>
      </c>
      <c r="I12" s="1" t="s">
        <v>223</v>
      </c>
      <c r="J12" s="1" t="s">
        <v>223</v>
      </c>
      <c r="K12" s="1" t="s">
        <v>223</v>
      </c>
      <c r="L12" s="1" t="s">
        <v>223</v>
      </c>
      <c r="M12" s="1" t="s">
        <v>223</v>
      </c>
      <c r="N12" s="1" t="s">
        <v>223</v>
      </c>
      <c r="O12" s="1" t="s">
        <v>223</v>
      </c>
      <c r="P12" s="1" t="s">
        <v>223</v>
      </c>
      <c r="Q12" s="7" t="s">
        <v>697</v>
      </c>
      <c r="R12" s="1" t="s">
        <v>223</v>
      </c>
      <c r="S12" s="1" t="s">
        <v>223</v>
      </c>
      <c r="T12" s="1" t="s">
        <v>223</v>
      </c>
      <c r="U12" s="1" t="s">
        <v>223</v>
      </c>
      <c r="V12" s="1" t="s">
        <v>223</v>
      </c>
      <c r="W12" s="1" t="s">
        <v>223</v>
      </c>
      <c r="X12" s="1" t="s">
        <v>223</v>
      </c>
      <c r="Y12" s="1" t="s">
        <v>223</v>
      </c>
      <c r="Z12" s="7" t="s">
        <v>814</v>
      </c>
      <c r="AA12" s="7" t="s">
        <v>815</v>
      </c>
      <c r="AB12" s="1" t="s">
        <v>223</v>
      </c>
      <c r="AC12" s="1" t="s">
        <v>223</v>
      </c>
      <c r="AD12" s="1" t="s">
        <v>223</v>
      </c>
      <c r="AE12" s="1" t="s">
        <v>223</v>
      </c>
      <c r="AF12" s="1" t="s">
        <v>223</v>
      </c>
      <c r="AG12" s="1" t="s">
        <v>223</v>
      </c>
      <c r="AH12" s="1" t="s">
        <v>223</v>
      </c>
      <c r="AI12" s="1" t="s">
        <v>223</v>
      </c>
      <c r="AJ12" s="1" t="s">
        <v>223</v>
      </c>
      <c r="AK12" s="7" t="s">
        <v>1713</v>
      </c>
      <c r="AL12" s="7" t="s">
        <v>1714</v>
      </c>
      <c r="AM12" s="7" t="s">
        <v>736</v>
      </c>
      <c r="AN12" s="7" t="s">
        <v>737</v>
      </c>
      <c r="AO12" s="7" t="s">
        <v>738</v>
      </c>
      <c r="AQ12" t="s">
        <v>372</v>
      </c>
      <c r="AS12" s="164">
        <v>11</v>
      </c>
    </row>
    <row r="13" spans="1:85" ht="60" customHeight="1">
      <c r="A13" s="164">
        <v>12</v>
      </c>
      <c r="B13" s="1" t="s">
        <v>223</v>
      </c>
      <c r="C13" s="1" t="s">
        <v>223</v>
      </c>
      <c r="D13" s="1" t="s">
        <v>223</v>
      </c>
      <c r="E13" s="1" t="s">
        <v>223</v>
      </c>
      <c r="F13" s="1" t="s">
        <v>223</v>
      </c>
      <c r="G13" s="1" t="s">
        <v>223</v>
      </c>
      <c r="H13" s="1" t="s">
        <v>223</v>
      </c>
      <c r="I13" s="1" t="s">
        <v>223</v>
      </c>
      <c r="J13" s="1" t="s">
        <v>223</v>
      </c>
      <c r="K13" s="1" t="s">
        <v>223</v>
      </c>
      <c r="L13" s="1" t="s">
        <v>223</v>
      </c>
      <c r="M13" s="1" t="s">
        <v>223</v>
      </c>
      <c r="N13" s="1" t="s">
        <v>223</v>
      </c>
      <c r="O13" s="1" t="s">
        <v>223</v>
      </c>
      <c r="P13" s="1" t="s">
        <v>223</v>
      </c>
      <c r="Q13" s="7" t="s">
        <v>698</v>
      </c>
      <c r="R13" s="1" t="s">
        <v>223</v>
      </c>
      <c r="S13" s="1" t="s">
        <v>223</v>
      </c>
      <c r="T13" s="1" t="s">
        <v>223</v>
      </c>
      <c r="U13" s="1" t="s">
        <v>223</v>
      </c>
      <c r="V13" s="1" t="s">
        <v>223</v>
      </c>
      <c r="W13" s="1" t="s">
        <v>223</v>
      </c>
      <c r="X13" s="1" t="s">
        <v>223</v>
      </c>
      <c r="Y13" s="1" t="s">
        <v>223</v>
      </c>
      <c r="Z13" s="7" t="s">
        <v>816</v>
      </c>
      <c r="AA13" s="7" t="s">
        <v>817</v>
      </c>
      <c r="AB13" s="1" t="s">
        <v>223</v>
      </c>
      <c r="AC13" s="1" t="s">
        <v>223</v>
      </c>
      <c r="AD13" s="1" t="s">
        <v>223</v>
      </c>
      <c r="AE13" s="1" t="s">
        <v>223</v>
      </c>
      <c r="AF13" s="1" t="s">
        <v>223</v>
      </c>
      <c r="AG13" s="1" t="s">
        <v>223</v>
      </c>
      <c r="AH13" s="1" t="s">
        <v>223</v>
      </c>
      <c r="AI13" s="1" t="s">
        <v>223</v>
      </c>
      <c r="AJ13" s="1" t="s">
        <v>223</v>
      </c>
      <c r="AK13" s="7" t="s">
        <v>1715</v>
      </c>
      <c r="AL13" s="7" t="s">
        <v>1716</v>
      </c>
      <c r="AM13" s="1" t="s">
        <v>406</v>
      </c>
      <c r="AN13" s="7" t="s">
        <v>739</v>
      </c>
      <c r="AO13" s="7" t="s">
        <v>740</v>
      </c>
      <c r="AQ13" t="s">
        <v>373</v>
      </c>
      <c r="AS13" s="164">
        <v>12</v>
      </c>
    </row>
    <row r="14" spans="1:85" ht="60" customHeight="1">
      <c r="A14" s="164">
        <v>13</v>
      </c>
      <c r="B14" s="1" t="s">
        <v>223</v>
      </c>
      <c r="C14" s="1" t="s">
        <v>223</v>
      </c>
      <c r="D14" s="1" t="s">
        <v>223</v>
      </c>
      <c r="E14" s="1" t="s">
        <v>223</v>
      </c>
      <c r="F14" s="1" t="s">
        <v>223</v>
      </c>
      <c r="G14" s="1" t="s">
        <v>223</v>
      </c>
      <c r="H14" s="1" t="s">
        <v>223</v>
      </c>
      <c r="I14" s="1" t="s">
        <v>223</v>
      </c>
      <c r="J14" s="1" t="s">
        <v>223</v>
      </c>
      <c r="K14" s="1" t="s">
        <v>223</v>
      </c>
      <c r="L14" s="1" t="s">
        <v>223</v>
      </c>
      <c r="M14" s="1" t="s">
        <v>223</v>
      </c>
      <c r="N14" s="1" t="s">
        <v>223</v>
      </c>
      <c r="O14" s="1" t="s">
        <v>223</v>
      </c>
      <c r="P14" s="1" t="s">
        <v>223</v>
      </c>
      <c r="Q14" s="7" t="s">
        <v>699</v>
      </c>
      <c r="R14" s="1" t="s">
        <v>223</v>
      </c>
      <c r="S14" s="1" t="s">
        <v>223</v>
      </c>
      <c r="T14" s="1" t="s">
        <v>223</v>
      </c>
      <c r="U14" s="1" t="s">
        <v>223</v>
      </c>
      <c r="V14" s="1" t="s">
        <v>223</v>
      </c>
      <c r="W14" s="1" t="s">
        <v>223</v>
      </c>
      <c r="X14" s="1" t="s">
        <v>223</v>
      </c>
      <c r="Y14" s="1" t="s">
        <v>223</v>
      </c>
      <c r="Z14" s="1" t="s">
        <v>223</v>
      </c>
      <c r="AA14" s="1" t="s">
        <v>223</v>
      </c>
      <c r="AB14" s="1" t="s">
        <v>223</v>
      </c>
      <c r="AC14" s="1" t="s">
        <v>223</v>
      </c>
      <c r="AD14" s="1" t="s">
        <v>223</v>
      </c>
      <c r="AE14" s="1" t="s">
        <v>223</v>
      </c>
      <c r="AF14" s="1" t="s">
        <v>223</v>
      </c>
      <c r="AG14" s="1" t="s">
        <v>223</v>
      </c>
      <c r="AH14" s="1" t="s">
        <v>223</v>
      </c>
      <c r="AI14" s="1" t="s">
        <v>223</v>
      </c>
      <c r="AJ14" s="1" t="s">
        <v>223</v>
      </c>
      <c r="AK14" s="1" t="s">
        <v>223</v>
      </c>
      <c r="AL14" s="1" t="s">
        <v>223</v>
      </c>
      <c r="AM14" s="7" t="s">
        <v>741</v>
      </c>
      <c r="AN14" s="7" t="s">
        <v>742</v>
      </c>
      <c r="AO14" s="7" t="s">
        <v>743</v>
      </c>
      <c r="AQ14" t="s">
        <v>374</v>
      </c>
      <c r="AS14" s="164">
        <v>13</v>
      </c>
    </row>
    <row r="15" spans="1:85" ht="60" customHeight="1">
      <c r="A15" s="164">
        <v>14</v>
      </c>
      <c r="B15" s="1" t="s">
        <v>223</v>
      </c>
      <c r="C15" s="1" t="s">
        <v>223</v>
      </c>
      <c r="D15" s="1" t="s">
        <v>223</v>
      </c>
      <c r="E15" s="1" t="s">
        <v>223</v>
      </c>
      <c r="F15" s="1" t="s">
        <v>223</v>
      </c>
      <c r="G15" s="1" t="s">
        <v>223</v>
      </c>
      <c r="H15" s="1" t="s">
        <v>223</v>
      </c>
      <c r="I15" s="1" t="s">
        <v>223</v>
      </c>
      <c r="J15" s="1" t="s">
        <v>223</v>
      </c>
      <c r="K15" s="1" t="s">
        <v>223</v>
      </c>
      <c r="L15" s="1" t="s">
        <v>223</v>
      </c>
      <c r="M15" s="1" t="s">
        <v>223</v>
      </c>
      <c r="N15" s="1" t="s">
        <v>223</v>
      </c>
      <c r="O15" s="1" t="s">
        <v>223</v>
      </c>
      <c r="P15" s="1" t="s">
        <v>223</v>
      </c>
      <c r="Q15" s="7" t="s">
        <v>700</v>
      </c>
      <c r="R15" s="1" t="s">
        <v>223</v>
      </c>
      <c r="S15" s="1" t="s">
        <v>223</v>
      </c>
      <c r="T15" s="1" t="s">
        <v>223</v>
      </c>
      <c r="U15" s="1" t="s">
        <v>223</v>
      </c>
      <c r="V15" s="1" t="s">
        <v>223</v>
      </c>
      <c r="W15" s="1" t="s">
        <v>223</v>
      </c>
      <c r="X15" s="1" t="s">
        <v>223</v>
      </c>
      <c r="Y15" s="1" t="s">
        <v>223</v>
      </c>
      <c r="Z15" s="1" t="s">
        <v>223</v>
      </c>
      <c r="AA15" s="1" t="s">
        <v>223</v>
      </c>
      <c r="AB15" s="1" t="s">
        <v>223</v>
      </c>
      <c r="AC15" s="1" t="s">
        <v>223</v>
      </c>
      <c r="AD15" s="1" t="s">
        <v>223</v>
      </c>
      <c r="AE15" s="1" t="s">
        <v>223</v>
      </c>
      <c r="AF15" s="1" t="s">
        <v>223</v>
      </c>
      <c r="AG15" s="1" t="s">
        <v>223</v>
      </c>
      <c r="AH15" s="1" t="s">
        <v>223</v>
      </c>
      <c r="AI15" s="1" t="s">
        <v>223</v>
      </c>
      <c r="AJ15" s="1" t="s">
        <v>223</v>
      </c>
      <c r="AK15" s="1" t="s">
        <v>223</v>
      </c>
      <c r="AL15" s="1" t="s">
        <v>223</v>
      </c>
      <c r="AM15" s="7" t="s">
        <v>744</v>
      </c>
      <c r="AN15" s="1" t="s">
        <v>661</v>
      </c>
      <c r="AO15" s="1" t="s">
        <v>665</v>
      </c>
      <c r="AQ15" t="s">
        <v>375</v>
      </c>
      <c r="AS15" s="164">
        <v>14</v>
      </c>
    </row>
    <row r="16" spans="1:85" ht="60" customHeight="1">
      <c r="A16" s="164">
        <v>15</v>
      </c>
      <c r="B16" s="1" t="s">
        <v>223</v>
      </c>
      <c r="C16" s="1" t="s">
        <v>223</v>
      </c>
      <c r="D16" s="1" t="s">
        <v>223</v>
      </c>
      <c r="E16" s="1" t="s">
        <v>223</v>
      </c>
      <c r="F16" s="1" t="s">
        <v>223</v>
      </c>
      <c r="G16" s="1" t="s">
        <v>223</v>
      </c>
      <c r="H16" s="1" t="s">
        <v>223</v>
      </c>
      <c r="I16" s="1" t="s">
        <v>223</v>
      </c>
      <c r="J16" s="1" t="s">
        <v>223</v>
      </c>
      <c r="K16" s="1" t="s">
        <v>223</v>
      </c>
      <c r="L16" s="1" t="s">
        <v>223</v>
      </c>
      <c r="M16" s="1" t="s">
        <v>223</v>
      </c>
      <c r="N16" s="1" t="s">
        <v>223</v>
      </c>
      <c r="O16" s="1" t="s">
        <v>223</v>
      </c>
      <c r="P16" s="1" t="s">
        <v>223</v>
      </c>
      <c r="Q16" s="7" t="s">
        <v>701</v>
      </c>
      <c r="R16" s="1" t="s">
        <v>223</v>
      </c>
      <c r="S16" s="1" t="s">
        <v>223</v>
      </c>
      <c r="T16" s="1" t="s">
        <v>223</v>
      </c>
      <c r="U16" s="1" t="s">
        <v>223</v>
      </c>
      <c r="V16" s="1" t="s">
        <v>223</v>
      </c>
      <c r="W16" s="1" t="s">
        <v>223</v>
      </c>
      <c r="X16" s="1" t="s">
        <v>223</v>
      </c>
      <c r="Y16" s="1" t="s">
        <v>223</v>
      </c>
      <c r="Z16" s="1" t="s">
        <v>223</v>
      </c>
      <c r="AA16" s="1" t="s">
        <v>223</v>
      </c>
      <c r="AB16" s="1" t="s">
        <v>223</v>
      </c>
      <c r="AC16" s="1" t="s">
        <v>223</v>
      </c>
      <c r="AD16" s="1" t="s">
        <v>223</v>
      </c>
      <c r="AE16" s="1" t="s">
        <v>223</v>
      </c>
      <c r="AF16" s="1" t="s">
        <v>223</v>
      </c>
      <c r="AG16" s="1" t="s">
        <v>223</v>
      </c>
      <c r="AH16" s="1" t="s">
        <v>223</v>
      </c>
      <c r="AI16" s="1" t="s">
        <v>223</v>
      </c>
      <c r="AJ16" s="1" t="s">
        <v>223</v>
      </c>
      <c r="AK16" s="1" t="s">
        <v>223</v>
      </c>
      <c r="AL16" s="1" t="s">
        <v>223</v>
      </c>
      <c r="AM16" s="7" t="s">
        <v>745</v>
      </c>
      <c r="AN16" s="1" t="s">
        <v>223</v>
      </c>
      <c r="AO16" s="7" t="s">
        <v>746</v>
      </c>
      <c r="AQ16" t="s">
        <v>376</v>
      </c>
      <c r="AS16" s="164">
        <v>15</v>
      </c>
    </row>
    <row r="17" spans="1:45" ht="60" customHeight="1">
      <c r="A17" s="164">
        <v>16</v>
      </c>
      <c r="B17" s="1" t="s">
        <v>223</v>
      </c>
      <c r="C17" s="1" t="s">
        <v>223</v>
      </c>
      <c r="D17" s="1" t="s">
        <v>223</v>
      </c>
      <c r="E17" s="1" t="s">
        <v>223</v>
      </c>
      <c r="F17" s="1" t="s">
        <v>223</v>
      </c>
      <c r="G17" s="1" t="s">
        <v>223</v>
      </c>
      <c r="H17" s="1" t="s">
        <v>223</v>
      </c>
      <c r="I17" s="1" t="s">
        <v>223</v>
      </c>
      <c r="J17" s="1" t="s">
        <v>223</v>
      </c>
      <c r="K17" s="1" t="s">
        <v>223</v>
      </c>
      <c r="L17" s="1" t="s">
        <v>223</v>
      </c>
      <c r="M17" s="1" t="s">
        <v>223</v>
      </c>
      <c r="N17" s="1" t="s">
        <v>223</v>
      </c>
      <c r="O17" s="1" t="s">
        <v>223</v>
      </c>
      <c r="P17" s="1" t="s">
        <v>223</v>
      </c>
      <c r="Q17" s="7" t="s">
        <v>702</v>
      </c>
      <c r="R17" s="1" t="s">
        <v>223</v>
      </c>
      <c r="S17" s="1" t="s">
        <v>223</v>
      </c>
      <c r="T17" s="1" t="s">
        <v>223</v>
      </c>
      <c r="U17" s="1" t="s">
        <v>223</v>
      </c>
      <c r="V17" s="1" t="s">
        <v>223</v>
      </c>
      <c r="W17" s="1" t="s">
        <v>223</v>
      </c>
      <c r="X17" s="1" t="s">
        <v>223</v>
      </c>
      <c r="Y17" s="1" t="s">
        <v>223</v>
      </c>
      <c r="Z17" s="1" t="s">
        <v>223</v>
      </c>
      <c r="AA17" s="1" t="s">
        <v>223</v>
      </c>
      <c r="AB17" s="1" t="s">
        <v>223</v>
      </c>
      <c r="AC17" s="1" t="s">
        <v>223</v>
      </c>
      <c r="AD17" s="1" t="s">
        <v>223</v>
      </c>
      <c r="AE17" s="1" t="s">
        <v>223</v>
      </c>
      <c r="AF17" s="1" t="s">
        <v>223</v>
      </c>
      <c r="AG17" s="1" t="s">
        <v>223</v>
      </c>
      <c r="AH17" s="1" t="s">
        <v>223</v>
      </c>
      <c r="AI17" s="1" t="s">
        <v>223</v>
      </c>
      <c r="AJ17" s="1" t="s">
        <v>223</v>
      </c>
      <c r="AK17" s="1" t="s">
        <v>223</v>
      </c>
      <c r="AL17" s="1" t="s">
        <v>223</v>
      </c>
      <c r="AM17" s="7" t="s">
        <v>747</v>
      </c>
      <c r="AN17" s="1" t="s">
        <v>223</v>
      </c>
      <c r="AO17" s="7" t="s">
        <v>748</v>
      </c>
      <c r="AQ17" t="s">
        <v>377</v>
      </c>
      <c r="AS17" s="164">
        <v>16</v>
      </c>
    </row>
    <row r="18" spans="1:45" ht="60" customHeight="1">
      <c r="A18" s="164">
        <v>17</v>
      </c>
      <c r="B18" s="1" t="s">
        <v>223</v>
      </c>
      <c r="C18" s="1" t="s">
        <v>223</v>
      </c>
      <c r="D18" s="1" t="s">
        <v>223</v>
      </c>
      <c r="E18" s="1" t="s">
        <v>223</v>
      </c>
      <c r="F18" s="1" t="s">
        <v>223</v>
      </c>
      <c r="G18" s="1" t="s">
        <v>223</v>
      </c>
      <c r="H18" s="1" t="s">
        <v>223</v>
      </c>
      <c r="I18" s="1" t="s">
        <v>223</v>
      </c>
      <c r="J18" s="1" t="s">
        <v>223</v>
      </c>
      <c r="K18" s="1" t="s">
        <v>223</v>
      </c>
      <c r="L18" s="1" t="s">
        <v>223</v>
      </c>
      <c r="M18" s="1" t="s">
        <v>223</v>
      </c>
      <c r="N18" s="1" t="s">
        <v>223</v>
      </c>
      <c r="O18" s="1" t="s">
        <v>223</v>
      </c>
      <c r="P18" s="1" t="s">
        <v>223</v>
      </c>
      <c r="Q18" s="1" t="s">
        <v>223</v>
      </c>
      <c r="R18" s="1" t="s">
        <v>223</v>
      </c>
      <c r="S18" s="1" t="s">
        <v>223</v>
      </c>
      <c r="T18" s="1" t="s">
        <v>223</v>
      </c>
      <c r="U18" s="1" t="s">
        <v>223</v>
      </c>
      <c r="V18" s="1" t="s">
        <v>223</v>
      </c>
      <c r="W18" s="1" t="s">
        <v>223</v>
      </c>
      <c r="X18" s="1" t="s">
        <v>223</v>
      </c>
      <c r="Y18" s="1" t="s">
        <v>223</v>
      </c>
      <c r="Z18" s="1" t="s">
        <v>223</v>
      </c>
      <c r="AA18" s="1" t="s">
        <v>223</v>
      </c>
      <c r="AB18" s="1" t="s">
        <v>223</v>
      </c>
      <c r="AC18" s="1" t="s">
        <v>223</v>
      </c>
      <c r="AD18" s="1" t="s">
        <v>223</v>
      </c>
      <c r="AE18" s="1" t="s">
        <v>223</v>
      </c>
      <c r="AF18" s="1" t="s">
        <v>223</v>
      </c>
      <c r="AG18" s="1" t="s">
        <v>223</v>
      </c>
      <c r="AH18" s="1" t="s">
        <v>223</v>
      </c>
      <c r="AI18" s="1" t="s">
        <v>223</v>
      </c>
      <c r="AJ18" s="1" t="s">
        <v>223</v>
      </c>
      <c r="AK18" s="1" t="s">
        <v>223</v>
      </c>
      <c r="AL18" s="1" t="s">
        <v>223</v>
      </c>
      <c r="AM18" s="7" t="s">
        <v>749</v>
      </c>
      <c r="AN18" s="1" t="s">
        <v>223</v>
      </c>
      <c r="AO18" s="7" t="s">
        <v>750</v>
      </c>
      <c r="AQ18" t="s">
        <v>378</v>
      </c>
      <c r="AS18" s="164">
        <v>17</v>
      </c>
    </row>
    <row r="19" spans="1:45" ht="60" customHeight="1">
      <c r="A19" s="164">
        <v>18</v>
      </c>
      <c r="B19" s="1" t="s">
        <v>223</v>
      </c>
      <c r="C19" s="1" t="s">
        <v>223</v>
      </c>
      <c r="D19" s="1" t="s">
        <v>223</v>
      </c>
      <c r="E19" s="1" t="s">
        <v>223</v>
      </c>
      <c r="F19" s="1" t="s">
        <v>223</v>
      </c>
      <c r="G19" s="1" t="s">
        <v>223</v>
      </c>
      <c r="H19" s="1" t="s">
        <v>223</v>
      </c>
      <c r="I19" s="1" t="s">
        <v>223</v>
      </c>
      <c r="J19" s="1" t="s">
        <v>223</v>
      </c>
      <c r="K19" s="1" t="s">
        <v>223</v>
      </c>
      <c r="L19" s="1" t="s">
        <v>223</v>
      </c>
      <c r="M19" s="1" t="s">
        <v>223</v>
      </c>
      <c r="N19" s="1" t="s">
        <v>223</v>
      </c>
      <c r="O19" s="1" t="s">
        <v>223</v>
      </c>
      <c r="P19" s="1" t="s">
        <v>223</v>
      </c>
      <c r="Q19" s="1" t="s">
        <v>223</v>
      </c>
      <c r="R19" s="1" t="s">
        <v>223</v>
      </c>
      <c r="S19" s="1" t="s">
        <v>223</v>
      </c>
      <c r="T19" s="1" t="s">
        <v>223</v>
      </c>
      <c r="U19" s="1" t="s">
        <v>223</v>
      </c>
      <c r="V19" s="1" t="s">
        <v>223</v>
      </c>
      <c r="W19" s="1" t="s">
        <v>223</v>
      </c>
      <c r="X19" s="1" t="s">
        <v>223</v>
      </c>
      <c r="Y19" s="1" t="s">
        <v>223</v>
      </c>
      <c r="Z19" s="1" t="s">
        <v>223</v>
      </c>
      <c r="AA19" s="1" t="s">
        <v>223</v>
      </c>
      <c r="AB19" s="1" t="s">
        <v>223</v>
      </c>
      <c r="AC19" s="1" t="s">
        <v>223</v>
      </c>
      <c r="AD19" s="1" t="s">
        <v>223</v>
      </c>
      <c r="AE19" s="1" t="s">
        <v>223</v>
      </c>
      <c r="AF19" s="1" t="s">
        <v>223</v>
      </c>
      <c r="AG19" s="1" t="s">
        <v>223</v>
      </c>
      <c r="AH19" s="1" t="s">
        <v>223</v>
      </c>
      <c r="AI19" s="1" t="s">
        <v>223</v>
      </c>
      <c r="AJ19" s="1" t="s">
        <v>223</v>
      </c>
      <c r="AK19" s="1" t="s">
        <v>223</v>
      </c>
      <c r="AL19" s="1" t="s">
        <v>223</v>
      </c>
      <c r="AM19" s="7" t="s">
        <v>751</v>
      </c>
      <c r="AN19" s="1" t="s">
        <v>223</v>
      </c>
      <c r="AO19" s="7" t="s">
        <v>752</v>
      </c>
      <c r="AQ19" t="s">
        <v>379</v>
      </c>
      <c r="AS19" s="164">
        <v>18</v>
      </c>
    </row>
    <row r="20" spans="1:45" ht="60" customHeight="1">
      <c r="A20" s="164">
        <v>19</v>
      </c>
      <c r="B20" s="1" t="s">
        <v>223</v>
      </c>
      <c r="C20" s="1" t="s">
        <v>223</v>
      </c>
      <c r="D20" s="1" t="s">
        <v>223</v>
      </c>
      <c r="E20" s="1" t="s">
        <v>223</v>
      </c>
      <c r="F20" s="1" t="s">
        <v>223</v>
      </c>
      <c r="G20" s="1" t="s">
        <v>223</v>
      </c>
      <c r="H20" s="1" t="s">
        <v>223</v>
      </c>
      <c r="I20" s="1" t="s">
        <v>223</v>
      </c>
      <c r="J20" s="1" t="s">
        <v>223</v>
      </c>
      <c r="K20" s="1" t="s">
        <v>223</v>
      </c>
      <c r="L20" s="1" t="s">
        <v>223</v>
      </c>
      <c r="M20" s="1" t="s">
        <v>223</v>
      </c>
      <c r="N20" s="1" t="s">
        <v>223</v>
      </c>
      <c r="O20" s="1" t="s">
        <v>223</v>
      </c>
      <c r="P20" s="1" t="s">
        <v>223</v>
      </c>
      <c r="Q20" s="1" t="s">
        <v>223</v>
      </c>
      <c r="R20" s="1" t="s">
        <v>223</v>
      </c>
      <c r="S20" s="1" t="s">
        <v>223</v>
      </c>
      <c r="T20" s="1" t="s">
        <v>223</v>
      </c>
      <c r="U20" s="1" t="s">
        <v>223</v>
      </c>
      <c r="V20" s="1" t="s">
        <v>223</v>
      </c>
      <c r="W20" s="1" t="s">
        <v>223</v>
      </c>
      <c r="X20" s="1" t="s">
        <v>223</v>
      </c>
      <c r="Y20" s="1" t="s">
        <v>223</v>
      </c>
      <c r="Z20" s="1" t="s">
        <v>223</v>
      </c>
      <c r="AA20" s="1" t="s">
        <v>223</v>
      </c>
      <c r="AB20" s="1" t="s">
        <v>223</v>
      </c>
      <c r="AC20" s="1" t="s">
        <v>223</v>
      </c>
      <c r="AD20" s="1" t="s">
        <v>223</v>
      </c>
      <c r="AE20" s="1" t="s">
        <v>223</v>
      </c>
      <c r="AF20" s="1" t="s">
        <v>223</v>
      </c>
      <c r="AG20" s="1" t="s">
        <v>223</v>
      </c>
      <c r="AH20" s="1" t="s">
        <v>223</v>
      </c>
      <c r="AI20" s="1" t="s">
        <v>223</v>
      </c>
      <c r="AJ20" s="1" t="s">
        <v>223</v>
      </c>
      <c r="AK20" s="1" t="s">
        <v>223</v>
      </c>
      <c r="AL20" s="1" t="s">
        <v>223</v>
      </c>
      <c r="AM20" s="7" t="s">
        <v>753</v>
      </c>
      <c r="AN20" s="1" t="s">
        <v>223</v>
      </c>
      <c r="AO20" s="7" t="s">
        <v>754</v>
      </c>
      <c r="AQ20" t="s">
        <v>380</v>
      </c>
      <c r="AS20" s="164">
        <v>19</v>
      </c>
    </row>
    <row r="21" spans="1:45" ht="60" customHeight="1">
      <c r="A21" s="164">
        <v>20</v>
      </c>
      <c r="B21" s="1" t="s">
        <v>223</v>
      </c>
      <c r="C21" s="1" t="s">
        <v>223</v>
      </c>
      <c r="D21" s="1" t="s">
        <v>223</v>
      </c>
      <c r="E21" s="1" t="s">
        <v>223</v>
      </c>
      <c r="F21" s="1" t="s">
        <v>223</v>
      </c>
      <c r="G21" s="1" t="s">
        <v>223</v>
      </c>
      <c r="H21" s="1" t="s">
        <v>223</v>
      </c>
      <c r="I21" s="1" t="s">
        <v>223</v>
      </c>
      <c r="J21" s="1" t="s">
        <v>223</v>
      </c>
      <c r="K21" s="1" t="s">
        <v>223</v>
      </c>
      <c r="L21" s="1" t="s">
        <v>223</v>
      </c>
      <c r="M21" s="1" t="s">
        <v>223</v>
      </c>
      <c r="N21" s="1" t="s">
        <v>223</v>
      </c>
      <c r="O21" s="1" t="s">
        <v>223</v>
      </c>
      <c r="P21" s="1" t="s">
        <v>223</v>
      </c>
      <c r="Q21" s="1" t="s">
        <v>223</v>
      </c>
      <c r="R21" s="1" t="s">
        <v>223</v>
      </c>
      <c r="S21" s="1" t="s">
        <v>223</v>
      </c>
      <c r="T21" s="1" t="s">
        <v>223</v>
      </c>
      <c r="U21" s="1" t="s">
        <v>223</v>
      </c>
      <c r="V21" s="1" t="s">
        <v>223</v>
      </c>
      <c r="W21" s="1" t="s">
        <v>223</v>
      </c>
      <c r="X21" s="1" t="s">
        <v>223</v>
      </c>
      <c r="Y21" s="1" t="s">
        <v>223</v>
      </c>
      <c r="Z21" s="1" t="s">
        <v>223</v>
      </c>
      <c r="AA21" s="1" t="s">
        <v>223</v>
      </c>
      <c r="AB21" s="1" t="s">
        <v>223</v>
      </c>
      <c r="AC21" s="1" t="s">
        <v>223</v>
      </c>
      <c r="AD21" s="1" t="s">
        <v>223</v>
      </c>
      <c r="AE21" s="1" t="s">
        <v>223</v>
      </c>
      <c r="AF21" s="1" t="s">
        <v>223</v>
      </c>
      <c r="AG21" s="1" t="s">
        <v>223</v>
      </c>
      <c r="AH21" s="1" t="s">
        <v>223</v>
      </c>
      <c r="AI21" s="1" t="s">
        <v>223</v>
      </c>
      <c r="AJ21" s="1" t="s">
        <v>223</v>
      </c>
      <c r="AK21" s="1" t="s">
        <v>223</v>
      </c>
      <c r="AL21" s="1" t="s">
        <v>223</v>
      </c>
      <c r="AM21" s="7" t="s">
        <v>755</v>
      </c>
      <c r="AN21" s="1" t="s">
        <v>223</v>
      </c>
      <c r="AO21" s="7" t="s">
        <v>756</v>
      </c>
      <c r="AQ21" t="s">
        <v>381</v>
      </c>
      <c r="AS21" s="164">
        <v>20</v>
      </c>
    </row>
    <row r="22" spans="1:45" ht="60" customHeight="1">
      <c r="A22" s="164">
        <v>21</v>
      </c>
      <c r="B22" s="1" t="s">
        <v>223</v>
      </c>
      <c r="C22" s="1" t="s">
        <v>223</v>
      </c>
      <c r="D22" s="1" t="s">
        <v>223</v>
      </c>
      <c r="E22" s="1" t="s">
        <v>223</v>
      </c>
      <c r="F22" s="1" t="s">
        <v>223</v>
      </c>
      <c r="G22" s="1" t="s">
        <v>223</v>
      </c>
      <c r="H22" s="1" t="s">
        <v>223</v>
      </c>
      <c r="I22" s="1" t="s">
        <v>223</v>
      </c>
      <c r="J22" s="1" t="s">
        <v>223</v>
      </c>
      <c r="K22" s="1" t="s">
        <v>223</v>
      </c>
      <c r="L22" s="1" t="s">
        <v>223</v>
      </c>
      <c r="M22" s="1" t="s">
        <v>223</v>
      </c>
      <c r="N22" s="1" t="s">
        <v>223</v>
      </c>
      <c r="O22" s="1" t="s">
        <v>223</v>
      </c>
      <c r="P22" s="1" t="s">
        <v>223</v>
      </c>
      <c r="Q22" s="1" t="s">
        <v>223</v>
      </c>
      <c r="R22" s="1" t="s">
        <v>223</v>
      </c>
      <c r="S22" s="1" t="s">
        <v>223</v>
      </c>
      <c r="T22" s="1" t="s">
        <v>223</v>
      </c>
      <c r="U22" s="1" t="s">
        <v>223</v>
      </c>
      <c r="V22" s="1" t="s">
        <v>223</v>
      </c>
      <c r="W22" s="1" t="s">
        <v>223</v>
      </c>
      <c r="X22" s="1" t="s">
        <v>223</v>
      </c>
      <c r="Y22" s="1" t="s">
        <v>223</v>
      </c>
      <c r="Z22" s="1" t="s">
        <v>223</v>
      </c>
      <c r="AA22" s="1" t="s">
        <v>223</v>
      </c>
      <c r="AB22" s="1" t="s">
        <v>223</v>
      </c>
      <c r="AC22" s="1" t="s">
        <v>223</v>
      </c>
      <c r="AD22" s="1" t="s">
        <v>223</v>
      </c>
      <c r="AE22" s="1" t="s">
        <v>223</v>
      </c>
      <c r="AF22" s="1" t="s">
        <v>223</v>
      </c>
      <c r="AG22" s="1" t="s">
        <v>223</v>
      </c>
      <c r="AH22" s="1" t="s">
        <v>223</v>
      </c>
      <c r="AI22" s="1" t="s">
        <v>223</v>
      </c>
      <c r="AJ22" s="1" t="s">
        <v>223</v>
      </c>
      <c r="AK22" s="1" t="s">
        <v>223</v>
      </c>
      <c r="AL22" s="1" t="s">
        <v>223</v>
      </c>
      <c r="AM22" s="7" t="s">
        <v>757</v>
      </c>
      <c r="AN22" s="1" t="s">
        <v>223</v>
      </c>
      <c r="AO22" s="7" t="s">
        <v>758</v>
      </c>
      <c r="AQ22" t="s">
        <v>382</v>
      </c>
      <c r="AS22" s="164">
        <v>21</v>
      </c>
    </row>
    <row r="23" spans="1:45" ht="60" customHeight="1">
      <c r="A23" s="164">
        <v>22</v>
      </c>
      <c r="B23" s="1" t="s">
        <v>223</v>
      </c>
      <c r="C23" s="1" t="s">
        <v>223</v>
      </c>
      <c r="D23" s="1" t="s">
        <v>223</v>
      </c>
      <c r="E23" s="1" t="s">
        <v>223</v>
      </c>
      <c r="F23" s="1" t="s">
        <v>223</v>
      </c>
      <c r="G23" s="1" t="s">
        <v>223</v>
      </c>
      <c r="H23" s="1" t="s">
        <v>223</v>
      </c>
      <c r="I23" s="1" t="s">
        <v>223</v>
      </c>
      <c r="J23" s="1" t="s">
        <v>223</v>
      </c>
      <c r="K23" s="1" t="s">
        <v>223</v>
      </c>
      <c r="L23" s="1" t="s">
        <v>223</v>
      </c>
      <c r="M23" s="1" t="s">
        <v>223</v>
      </c>
      <c r="N23" s="1" t="s">
        <v>223</v>
      </c>
      <c r="O23" s="1" t="s">
        <v>223</v>
      </c>
      <c r="P23" s="1" t="s">
        <v>223</v>
      </c>
      <c r="Q23" s="1" t="s">
        <v>223</v>
      </c>
      <c r="R23" s="1" t="s">
        <v>223</v>
      </c>
      <c r="S23" s="1" t="s">
        <v>223</v>
      </c>
      <c r="T23" s="1" t="s">
        <v>223</v>
      </c>
      <c r="U23" s="1" t="s">
        <v>223</v>
      </c>
      <c r="V23" s="1" t="s">
        <v>223</v>
      </c>
      <c r="W23" s="1" t="s">
        <v>223</v>
      </c>
      <c r="X23" s="1" t="s">
        <v>223</v>
      </c>
      <c r="Y23" s="1" t="s">
        <v>223</v>
      </c>
      <c r="Z23" s="1" t="s">
        <v>223</v>
      </c>
      <c r="AA23" s="1" t="s">
        <v>223</v>
      </c>
      <c r="AB23" s="1" t="s">
        <v>223</v>
      </c>
      <c r="AC23" s="1" t="s">
        <v>223</v>
      </c>
      <c r="AD23" s="1" t="s">
        <v>223</v>
      </c>
      <c r="AE23" s="1" t="s">
        <v>223</v>
      </c>
      <c r="AF23" s="1" t="s">
        <v>223</v>
      </c>
      <c r="AG23" s="1" t="s">
        <v>223</v>
      </c>
      <c r="AH23" s="1" t="s">
        <v>223</v>
      </c>
      <c r="AI23" s="1" t="s">
        <v>223</v>
      </c>
      <c r="AJ23" s="1" t="s">
        <v>223</v>
      </c>
      <c r="AK23" s="1" t="s">
        <v>223</v>
      </c>
      <c r="AL23" s="1" t="s">
        <v>223</v>
      </c>
      <c r="AM23" s="7" t="s">
        <v>759</v>
      </c>
      <c r="AN23" s="1" t="s">
        <v>223</v>
      </c>
      <c r="AO23" s="7" t="s">
        <v>760</v>
      </c>
      <c r="AQ23" t="s">
        <v>383</v>
      </c>
      <c r="AS23" s="164">
        <v>22</v>
      </c>
    </row>
    <row r="24" spans="1:45" ht="60" customHeight="1">
      <c r="A24" s="164">
        <v>23</v>
      </c>
      <c r="B24" s="1" t="s">
        <v>223</v>
      </c>
      <c r="C24" s="1" t="s">
        <v>223</v>
      </c>
      <c r="D24" s="1" t="s">
        <v>223</v>
      </c>
      <c r="E24" s="1" t="s">
        <v>223</v>
      </c>
      <c r="F24" s="1" t="s">
        <v>223</v>
      </c>
      <c r="G24" s="1" t="s">
        <v>223</v>
      </c>
      <c r="H24" s="1" t="s">
        <v>223</v>
      </c>
      <c r="I24" s="1" t="s">
        <v>223</v>
      </c>
      <c r="J24" s="1" t="s">
        <v>223</v>
      </c>
      <c r="K24" s="1" t="s">
        <v>223</v>
      </c>
      <c r="L24" s="1" t="s">
        <v>223</v>
      </c>
      <c r="M24" s="1" t="s">
        <v>223</v>
      </c>
      <c r="N24" s="1" t="s">
        <v>223</v>
      </c>
      <c r="O24" s="1" t="s">
        <v>223</v>
      </c>
      <c r="P24" s="1" t="s">
        <v>223</v>
      </c>
      <c r="Q24" s="1" t="s">
        <v>223</v>
      </c>
      <c r="R24" s="1" t="s">
        <v>223</v>
      </c>
      <c r="S24" s="1" t="s">
        <v>223</v>
      </c>
      <c r="T24" s="1" t="s">
        <v>223</v>
      </c>
      <c r="U24" s="1" t="s">
        <v>223</v>
      </c>
      <c r="V24" s="1" t="s">
        <v>223</v>
      </c>
      <c r="W24" s="1" t="s">
        <v>223</v>
      </c>
      <c r="X24" s="1" t="s">
        <v>223</v>
      </c>
      <c r="Y24" s="1" t="s">
        <v>223</v>
      </c>
      <c r="Z24" s="1" t="s">
        <v>223</v>
      </c>
      <c r="AA24" s="1" t="s">
        <v>223</v>
      </c>
      <c r="AB24" s="1" t="s">
        <v>223</v>
      </c>
      <c r="AC24" s="1" t="s">
        <v>223</v>
      </c>
      <c r="AD24" s="1" t="s">
        <v>223</v>
      </c>
      <c r="AE24" s="1" t="s">
        <v>223</v>
      </c>
      <c r="AF24" s="1" t="s">
        <v>223</v>
      </c>
      <c r="AG24" s="1" t="s">
        <v>223</v>
      </c>
      <c r="AH24" s="1" t="s">
        <v>223</v>
      </c>
      <c r="AI24" s="1" t="s">
        <v>223</v>
      </c>
      <c r="AJ24" s="1" t="s">
        <v>223</v>
      </c>
      <c r="AK24" s="1" t="s">
        <v>223</v>
      </c>
      <c r="AL24" s="1" t="s">
        <v>223</v>
      </c>
      <c r="AM24" s="7" t="s">
        <v>761</v>
      </c>
      <c r="AN24" s="1" t="s">
        <v>223</v>
      </c>
      <c r="AO24" s="1" t="s">
        <v>223</v>
      </c>
      <c r="AQ24" t="s">
        <v>384</v>
      </c>
      <c r="AS24" s="164">
        <v>23</v>
      </c>
    </row>
    <row r="25" spans="1:45" ht="60" customHeight="1">
      <c r="A25" s="164">
        <v>24</v>
      </c>
      <c r="B25" s="1" t="s">
        <v>223</v>
      </c>
      <c r="C25" s="1" t="s">
        <v>223</v>
      </c>
      <c r="D25" s="1" t="s">
        <v>223</v>
      </c>
      <c r="E25" s="1" t="s">
        <v>223</v>
      </c>
      <c r="F25" s="1" t="s">
        <v>223</v>
      </c>
      <c r="G25" s="1" t="s">
        <v>223</v>
      </c>
      <c r="H25" s="1" t="s">
        <v>223</v>
      </c>
      <c r="I25" s="1" t="s">
        <v>223</v>
      </c>
      <c r="J25" s="1" t="s">
        <v>223</v>
      </c>
      <c r="K25" s="1" t="s">
        <v>223</v>
      </c>
      <c r="L25" s="1" t="s">
        <v>223</v>
      </c>
      <c r="M25" s="1" t="s">
        <v>223</v>
      </c>
      <c r="N25" s="1" t="s">
        <v>223</v>
      </c>
      <c r="O25" s="1" t="s">
        <v>223</v>
      </c>
      <c r="P25" s="1" t="s">
        <v>223</v>
      </c>
      <c r="Q25" s="1" t="s">
        <v>223</v>
      </c>
      <c r="R25" s="1" t="s">
        <v>223</v>
      </c>
      <c r="S25" s="1" t="s">
        <v>223</v>
      </c>
      <c r="T25" s="1" t="s">
        <v>223</v>
      </c>
      <c r="U25" s="1" t="s">
        <v>223</v>
      </c>
      <c r="V25" s="1" t="s">
        <v>223</v>
      </c>
      <c r="W25" s="1" t="s">
        <v>223</v>
      </c>
      <c r="X25" s="1" t="s">
        <v>223</v>
      </c>
      <c r="Y25" s="1" t="s">
        <v>223</v>
      </c>
      <c r="Z25" s="1" t="s">
        <v>223</v>
      </c>
      <c r="AA25" s="1" t="s">
        <v>223</v>
      </c>
      <c r="AB25" s="1" t="s">
        <v>223</v>
      </c>
      <c r="AC25" s="1" t="s">
        <v>223</v>
      </c>
      <c r="AD25" s="1" t="s">
        <v>223</v>
      </c>
      <c r="AE25" s="1" t="s">
        <v>223</v>
      </c>
      <c r="AF25" s="1" t="s">
        <v>223</v>
      </c>
      <c r="AG25" s="1" t="s">
        <v>223</v>
      </c>
      <c r="AH25" s="1" t="s">
        <v>223</v>
      </c>
      <c r="AI25" s="1" t="s">
        <v>223</v>
      </c>
      <c r="AJ25" s="1" t="s">
        <v>223</v>
      </c>
      <c r="AK25" s="1" t="s">
        <v>223</v>
      </c>
      <c r="AL25" s="1" t="s">
        <v>223</v>
      </c>
      <c r="AM25" s="7" t="s">
        <v>762</v>
      </c>
      <c r="AN25" s="1" t="s">
        <v>223</v>
      </c>
      <c r="AO25" s="1" t="s">
        <v>223</v>
      </c>
      <c r="AQ25" t="s">
        <v>385</v>
      </c>
      <c r="AS25" s="164">
        <v>24</v>
      </c>
    </row>
    <row r="26" spans="1:45" ht="60" customHeight="1">
      <c r="A26" s="164">
        <v>25</v>
      </c>
      <c r="B26" s="1" t="s">
        <v>223</v>
      </c>
      <c r="C26" s="1" t="s">
        <v>223</v>
      </c>
      <c r="D26" s="1" t="s">
        <v>223</v>
      </c>
      <c r="E26" s="1" t="s">
        <v>223</v>
      </c>
      <c r="F26" s="1" t="s">
        <v>223</v>
      </c>
      <c r="G26" s="1" t="s">
        <v>223</v>
      </c>
      <c r="H26" s="1" t="s">
        <v>223</v>
      </c>
      <c r="I26" s="1" t="s">
        <v>223</v>
      </c>
      <c r="J26" s="1" t="s">
        <v>223</v>
      </c>
      <c r="K26" s="1" t="s">
        <v>223</v>
      </c>
      <c r="L26" s="1" t="s">
        <v>223</v>
      </c>
      <c r="M26" s="1" t="s">
        <v>223</v>
      </c>
      <c r="N26" s="1" t="s">
        <v>223</v>
      </c>
      <c r="O26" s="1" t="s">
        <v>223</v>
      </c>
      <c r="P26" s="1" t="s">
        <v>223</v>
      </c>
      <c r="Q26" s="1" t="s">
        <v>223</v>
      </c>
      <c r="R26" s="1" t="s">
        <v>223</v>
      </c>
      <c r="S26" s="1" t="s">
        <v>223</v>
      </c>
      <c r="T26" s="1" t="s">
        <v>223</v>
      </c>
      <c r="U26" s="1" t="s">
        <v>223</v>
      </c>
      <c r="V26" s="1" t="s">
        <v>223</v>
      </c>
      <c r="W26" s="1" t="s">
        <v>223</v>
      </c>
      <c r="X26" s="1" t="s">
        <v>223</v>
      </c>
      <c r="Y26" s="1" t="s">
        <v>223</v>
      </c>
      <c r="Z26" s="1" t="s">
        <v>223</v>
      </c>
      <c r="AA26" s="1" t="s">
        <v>223</v>
      </c>
      <c r="AB26" s="1" t="s">
        <v>223</v>
      </c>
      <c r="AC26" s="1" t="s">
        <v>223</v>
      </c>
      <c r="AD26" s="1" t="s">
        <v>223</v>
      </c>
      <c r="AE26" s="1" t="s">
        <v>223</v>
      </c>
      <c r="AF26" s="1" t="s">
        <v>223</v>
      </c>
      <c r="AG26" s="1" t="s">
        <v>223</v>
      </c>
      <c r="AH26" s="1" t="s">
        <v>223</v>
      </c>
      <c r="AI26" s="1" t="s">
        <v>223</v>
      </c>
      <c r="AJ26" s="1" t="s">
        <v>223</v>
      </c>
      <c r="AK26" s="1" t="s">
        <v>223</v>
      </c>
      <c r="AL26" s="1" t="s">
        <v>223</v>
      </c>
      <c r="AM26" s="7" t="s">
        <v>763</v>
      </c>
      <c r="AN26" s="1" t="s">
        <v>223</v>
      </c>
      <c r="AO26" s="1" t="s">
        <v>223</v>
      </c>
      <c r="AQ26" t="s">
        <v>386</v>
      </c>
      <c r="AS26" s="164">
        <v>25</v>
      </c>
    </row>
    <row r="27" spans="1:45" ht="60" customHeight="1">
      <c r="A27" s="164">
        <v>26</v>
      </c>
      <c r="B27" s="1" t="s">
        <v>223</v>
      </c>
      <c r="C27" s="1" t="s">
        <v>223</v>
      </c>
      <c r="D27" s="1" t="s">
        <v>223</v>
      </c>
      <c r="E27" s="1" t="s">
        <v>223</v>
      </c>
      <c r="F27" s="1" t="s">
        <v>223</v>
      </c>
      <c r="G27" s="1" t="s">
        <v>223</v>
      </c>
      <c r="H27" s="1" t="s">
        <v>223</v>
      </c>
      <c r="I27" s="1" t="s">
        <v>223</v>
      </c>
      <c r="J27" s="1" t="s">
        <v>223</v>
      </c>
      <c r="K27" s="1" t="s">
        <v>223</v>
      </c>
      <c r="L27" s="1" t="s">
        <v>223</v>
      </c>
      <c r="M27" s="1" t="s">
        <v>223</v>
      </c>
      <c r="N27" s="1" t="s">
        <v>223</v>
      </c>
      <c r="O27" s="1" t="s">
        <v>223</v>
      </c>
      <c r="P27" s="1" t="s">
        <v>223</v>
      </c>
      <c r="Q27" s="1" t="s">
        <v>223</v>
      </c>
      <c r="R27" s="1" t="s">
        <v>223</v>
      </c>
      <c r="S27" s="1" t="s">
        <v>223</v>
      </c>
      <c r="T27" s="1" t="s">
        <v>223</v>
      </c>
      <c r="U27" s="1" t="s">
        <v>223</v>
      </c>
      <c r="V27" s="1" t="s">
        <v>223</v>
      </c>
      <c r="W27" s="1" t="s">
        <v>223</v>
      </c>
      <c r="X27" s="1" t="s">
        <v>223</v>
      </c>
      <c r="Y27" s="1" t="s">
        <v>223</v>
      </c>
      <c r="Z27" s="1" t="s">
        <v>223</v>
      </c>
      <c r="AA27" s="1" t="s">
        <v>223</v>
      </c>
      <c r="AB27" s="1" t="s">
        <v>223</v>
      </c>
      <c r="AC27" s="1" t="s">
        <v>223</v>
      </c>
      <c r="AD27" s="1" t="s">
        <v>223</v>
      </c>
      <c r="AE27" s="1" t="s">
        <v>223</v>
      </c>
      <c r="AF27" s="1" t="s">
        <v>223</v>
      </c>
      <c r="AG27" s="1" t="s">
        <v>223</v>
      </c>
      <c r="AH27" s="1" t="s">
        <v>223</v>
      </c>
      <c r="AI27" s="1" t="s">
        <v>223</v>
      </c>
      <c r="AJ27" s="1" t="s">
        <v>223</v>
      </c>
      <c r="AK27" s="1" t="s">
        <v>223</v>
      </c>
      <c r="AL27" s="1" t="s">
        <v>223</v>
      </c>
      <c r="AM27" s="7" t="s">
        <v>764</v>
      </c>
      <c r="AN27" s="1" t="s">
        <v>223</v>
      </c>
      <c r="AO27" s="1" t="s">
        <v>223</v>
      </c>
      <c r="AQ27" t="s">
        <v>387</v>
      </c>
      <c r="AS27" s="164">
        <v>26</v>
      </c>
    </row>
    <row r="28" spans="1:45" ht="60" customHeight="1">
      <c r="A28" s="164">
        <v>27</v>
      </c>
      <c r="B28" s="1" t="s">
        <v>223</v>
      </c>
      <c r="C28" s="1" t="s">
        <v>223</v>
      </c>
      <c r="D28" s="1" t="s">
        <v>223</v>
      </c>
      <c r="E28" s="1" t="s">
        <v>223</v>
      </c>
      <c r="F28" s="1" t="s">
        <v>223</v>
      </c>
      <c r="G28" s="1" t="s">
        <v>223</v>
      </c>
      <c r="H28" s="1" t="s">
        <v>223</v>
      </c>
      <c r="I28" s="1" t="s">
        <v>223</v>
      </c>
      <c r="J28" s="1" t="s">
        <v>223</v>
      </c>
      <c r="K28" s="1" t="s">
        <v>223</v>
      </c>
      <c r="L28" s="1" t="s">
        <v>223</v>
      </c>
      <c r="M28" s="1" t="s">
        <v>223</v>
      </c>
      <c r="N28" s="1" t="s">
        <v>223</v>
      </c>
      <c r="O28" s="1" t="s">
        <v>223</v>
      </c>
      <c r="P28" s="1" t="s">
        <v>223</v>
      </c>
      <c r="Q28" s="1" t="s">
        <v>223</v>
      </c>
      <c r="R28" s="1" t="s">
        <v>223</v>
      </c>
      <c r="S28" s="1" t="s">
        <v>223</v>
      </c>
      <c r="T28" s="1" t="s">
        <v>223</v>
      </c>
      <c r="U28" s="1" t="s">
        <v>223</v>
      </c>
      <c r="V28" s="1" t="s">
        <v>223</v>
      </c>
      <c r="W28" s="1" t="s">
        <v>223</v>
      </c>
      <c r="X28" s="1" t="s">
        <v>223</v>
      </c>
      <c r="Y28" s="1" t="s">
        <v>223</v>
      </c>
      <c r="Z28" s="1" t="s">
        <v>223</v>
      </c>
      <c r="AA28" s="1" t="s">
        <v>223</v>
      </c>
      <c r="AB28" s="1" t="s">
        <v>223</v>
      </c>
      <c r="AC28" s="1" t="s">
        <v>223</v>
      </c>
      <c r="AD28" s="1" t="s">
        <v>223</v>
      </c>
      <c r="AE28" s="1" t="s">
        <v>223</v>
      </c>
      <c r="AF28" s="1" t="s">
        <v>223</v>
      </c>
      <c r="AG28" s="1" t="s">
        <v>223</v>
      </c>
      <c r="AH28" s="1" t="s">
        <v>223</v>
      </c>
      <c r="AI28" s="1" t="s">
        <v>223</v>
      </c>
      <c r="AJ28" s="1" t="s">
        <v>223</v>
      </c>
      <c r="AK28" s="1" t="s">
        <v>223</v>
      </c>
      <c r="AL28" s="1" t="s">
        <v>223</v>
      </c>
      <c r="AM28" s="7" t="s">
        <v>765</v>
      </c>
      <c r="AN28" s="1" t="s">
        <v>223</v>
      </c>
      <c r="AO28" s="1" t="s">
        <v>223</v>
      </c>
      <c r="AQ28" t="s">
        <v>388</v>
      </c>
      <c r="AS28" s="164">
        <v>27</v>
      </c>
    </row>
    <row r="29" spans="1:45" ht="60" customHeight="1">
      <c r="A29" s="164">
        <v>28</v>
      </c>
      <c r="B29" s="1" t="s">
        <v>223</v>
      </c>
      <c r="C29" s="1" t="s">
        <v>223</v>
      </c>
      <c r="D29" s="1" t="s">
        <v>223</v>
      </c>
      <c r="E29" s="1" t="s">
        <v>223</v>
      </c>
      <c r="F29" s="1" t="s">
        <v>223</v>
      </c>
      <c r="G29" s="1" t="s">
        <v>223</v>
      </c>
      <c r="H29" s="1" t="s">
        <v>223</v>
      </c>
      <c r="I29" s="1" t="s">
        <v>223</v>
      </c>
      <c r="J29" s="1" t="s">
        <v>223</v>
      </c>
      <c r="K29" s="1" t="s">
        <v>223</v>
      </c>
      <c r="L29" s="1" t="s">
        <v>223</v>
      </c>
      <c r="M29" s="1" t="s">
        <v>223</v>
      </c>
      <c r="N29" s="1" t="s">
        <v>223</v>
      </c>
      <c r="O29" s="1" t="s">
        <v>223</v>
      </c>
      <c r="P29" s="1" t="s">
        <v>223</v>
      </c>
      <c r="Q29" s="1" t="s">
        <v>223</v>
      </c>
      <c r="R29" s="1" t="s">
        <v>223</v>
      </c>
      <c r="S29" s="1" t="s">
        <v>223</v>
      </c>
      <c r="T29" s="1" t="s">
        <v>223</v>
      </c>
      <c r="U29" s="1" t="s">
        <v>223</v>
      </c>
      <c r="V29" s="1" t="s">
        <v>223</v>
      </c>
      <c r="W29" s="1" t="s">
        <v>223</v>
      </c>
      <c r="X29" s="1" t="s">
        <v>223</v>
      </c>
      <c r="Y29" s="1" t="s">
        <v>223</v>
      </c>
      <c r="Z29" s="1" t="s">
        <v>223</v>
      </c>
      <c r="AA29" s="1" t="s">
        <v>223</v>
      </c>
      <c r="AB29" s="1" t="s">
        <v>223</v>
      </c>
      <c r="AC29" s="1" t="s">
        <v>223</v>
      </c>
      <c r="AD29" s="1" t="s">
        <v>223</v>
      </c>
      <c r="AE29" s="1" t="s">
        <v>223</v>
      </c>
      <c r="AF29" s="1" t="s">
        <v>223</v>
      </c>
      <c r="AG29" s="1" t="s">
        <v>223</v>
      </c>
      <c r="AH29" s="1" t="s">
        <v>223</v>
      </c>
      <c r="AI29" s="1" t="s">
        <v>223</v>
      </c>
      <c r="AJ29" s="1" t="s">
        <v>223</v>
      </c>
      <c r="AK29" s="1" t="s">
        <v>223</v>
      </c>
      <c r="AL29" s="1" t="s">
        <v>223</v>
      </c>
      <c r="AM29" s="7" t="s">
        <v>766</v>
      </c>
      <c r="AN29" s="1" t="s">
        <v>223</v>
      </c>
      <c r="AO29" s="1" t="s">
        <v>223</v>
      </c>
      <c r="AQ29" t="s">
        <v>389</v>
      </c>
      <c r="AS29" s="164">
        <v>28</v>
      </c>
    </row>
    <row r="30" spans="1:45" ht="60" customHeight="1">
      <c r="A30" s="164">
        <v>29</v>
      </c>
      <c r="B30" s="1" t="s">
        <v>223</v>
      </c>
      <c r="C30" s="1" t="s">
        <v>223</v>
      </c>
      <c r="D30" s="1" t="s">
        <v>223</v>
      </c>
      <c r="E30" s="1" t="s">
        <v>223</v>
      </c>
      <c r="F30" s="1" t="s">
        <v>223</v>
      </c>
      <c r="G30" s="1" t="s">
        <v>223</v>
      </c>
      <c r="H30" s="1" t="s">
        <v>223</v>
      </c>
      <c r="I30" s="1" t="s">
        <v>223</v>
      </c>
      <c r="J30" s="1" t="s">
        <v>223</v>
      </c>
      <c r="K30" s="1" t="s">
        <v>223</v>
      </c>
      <c r="L30" s="1" t="s">
        <v>223</v>
      </c>
      <c r="M30" s="1" t="s">
        <v>223</v>
      </c>
      <c r="N30" s="1" t="s">
        <v>223</v>
      </c>
      <c r="O30" s="1" t="s">
        <v>223</v>
      </c>
      <c r="P30" s="1" t="s">
        <v>223</v>
      </c>
      <c r="Q30" s="1" t="s">
        <v>223</v>
      </c>
      <c r="R30" s="1" t="s">
        <v>223</v>
      </c>
      <c r="S30" s="1" t="s">
        <v>223</v>
      </c>
      <c r="T30" s="1" t="s">
        <v>223</v>
      </c>
      <c r="U30" s="1" t="s">
        <v>223</v>
      </c>
      <c r="V30" s="1" t="s">
        <v>223</v>
      </c>
      <c r="W30" s="1" t="s">
        <v>223</v>
      </c>
      <c r="X30" s="1" t="s">
        <v>223</v>
      </c>
      <c r="Y30" s="1" t="s">
        <v>223</v>
      </c>
      <c r="Z30" s="1" t="s">
        <v>223</v>
      </c>
      <c r="AA30" s="1" t="s">
        <v>223</v>
      </c>
      <c r="AB30" s="1" t="s">
        <v>223</v>
      </c>
      <c r="AC30" s="1" t="s">
        <v>223</v>
      </c>
      <c r="AD30" s="1" t="s">
        <v>223</v>
      </c>
      <c r="AE30" s="1" t="s">
        <v>223</v>
      </c>
      <c r="AF30" s="1" t="s">
        <v>223</v>
      </c>
      <c r="AG30" s="1" t="s">
        <v>223</v>
      </c>
      <c r="AH30" s="1" t="s">
        <v>223</v>
      </c>
      <c r="AI30" s="1" t="s">
        <v>223</v>
      </c>
      <c r="AJ30" s="1" t="s">
        <v>223</v>
      </c>
      <c r="AK30" s="1" t="s">
        <v>223</v>
      </c>
      <c r="AL30" s="1" t="s">
        <v>223</v>
      </c>
      <c r="AM30" s="7" t="s">
        <v>767</v>
      </c>
      <c r="AN30" s="1" t="s">
        <v>223</v>
      </c>
      <c r="AO30" s="1" t="s">
        <v>223</v>
      </c>
      <c r="AQ30" t="s">
        <v>390</v>
      </c>
      <c r="AS30" s="164">
        <v>29</v>
      </c>
    </row>
    <row r="31" spans="1:45" ht="60" customHeight="1">
      <c r="A31" s="164">
        <v>30</v>
      </c>
      <c r="B31" s="1" t="s">
        <v>223</v>
      </c>
      <c r="C31" s="1" t="s">
        <v>223</v>
      </c>
      <c r="D31" s="1" t="s">
        <v>223</v>
      </c>
      <c r="E31" s="1" t="s">
        <v>223</v>
      </c>
      <c r="F31" s="1" t="s">
        <v>223</v>
      </c>
      <c r="G31" s="1" t="s">
        <v>223</v>
      </c>
      <c r="H31" s="1" t="s">
        <v>223</v>
      </c>
      <c r="I31" s="1" t="s">
        <v>223</v>
      </c>
      <c r="J31" s="1" t="s">
        <v>223</v>
      </c>
      <c r="K31" s="1" t="s">
        <v>223</v>
      </c>
      <c r="L31" s="1" t="s">
        <v>223</v>
      </c>
      <c r="M31" s="1" t="s">
        <v>223</v>
      </c>
      <c r="N31" s="1" t="s">
        <v>223</v>
      </c>
      <c r="O31" s="1" t="s">
        <v>223</v>
      </c>
      <c r="P31" s="1" t="s">
        <v>223</v>
      </c>
      <c r="Q31" s="1" t="s">
        <v>223</v>
      </c>
      <c r="R31" s="1" t="s">
        <v>223</v>
      </c>
      <c r="S31" s="1" t="s">
        <v>223</v>
      </c>
      <c r="T31" s="1" t="s">
        <v>223</v>
      </c>
      <c r="U31" s="1" t="s">
        <v>223</v>
      </c>
      <c r="V31" s="1" t="s">
        <v>223</v>
      </c>
      <c r="W31" s="1" t="s">
        <v>223</v>
      </c>
      <c r="X31" s="1" t="s">
        <v>223</v>
      </c>
      <c r="Y31" s="1" t="s">
        <v>223</v>
      </c>
      <c r="Z31" s="1" t="s">
        <v>223</v>
      </c>
      <c r="AA31" s="1" t="s">
        <v>223</v>
      </c>
      <c r="AB31" s="1" t="s">
        <v>223</v>
      </c>
      <c r="AC31" s="1" t="s">
        <v>223</v>
      </c>
      <c r="AD31" s="1" t="s">
        <v>223</v>
      </c>
      <c r="AE31" s="1" t="s">
        <v>223</v>
      </c>
      <c r="AF31" s="1" t="s">
        <v>223</v>
      </c>
      <c r="AG31" s="1" t="s">
        <v>223</v>
      </c>
      <c r="AH31" s="1" t="s">
        <v>223</v>
      </c>
      <c r="AI31" s="1" t="s">
        <v>223</v>
      </c>
      <c r="AJ31" s="1" t="s">
        <v>223</v>
      </c>
      <c r="AK31" s="1" t="s">
        <v>223</v>
      </c>
      <c r="AL31" s="1" t="s">
        <v>223</v>
      </c>
      <c r="AM31" s="7" t="s">
        <v>768</v>
      </c>
      <c r="AN31" s="1" t="s">
        <v>223</v>
      </c>
      <c r="AO31" s="1" t="s">
        <v>223</v>
      </c>
      <c r="AQ31" t="s">
        <v>391</v>
      </c>
      <c r="AS31" s="164">
        <v>30</v>
      </c>
    </row>
    <row r="32" spans="1:45" ht="60" customHeight="1">
      <c r="A32" s="164">
        <v>31</v>
      </c>
      <c r="B32" s="1" t="s">
        <v>223</v>
      </c>
      <c r="C32" s="1" t="s">
        <v>223</v>
      </c>
      <c r="D32" s="1" t="s">
        <v>223</v>
      </c>
      <c r="E32" s="1" t="s">
        <v>223</v>
      </c>
      <c r="F32" s="1" t="s">
        <v>223</v>
      </c>
      <c r="G32" s="1" t="s">
        <v>223</v>
      </c>
      <c r="H32" s="1" t="s">
        <v>223</v>
      </c>
      <c r="I32" s="1" t="s">
        <v>223</v>
      </c>
      <c r="J32" s="1" t="s">
        <v>223</v>
      </c>
      <c r="K32" s="1" t="s">
        <v>223</v>
      </c>
      <c r="L32" s="1" t="s">
        <v>223</v>
      </c>
      <c r="M32" s="1" t="s">
        <v>223</v>
      </c>
      <c r="N32" s="1" t="s">
        <v>223</v>
      </c>
      <c r="O32" s="1" t="s">
        <v>223</v>
      </c>
      <c r="P32" s="1" t="s">
        <v>223</v>
      </c>
      <c r="Q32" s="1" t="s">
        <v>223</v>
      </c>
      <c r="R32" s="1" t="s">
        <v>223</v>
      </c>
      <c r="S32" s="1" t="s">
        <v>223</v>
      </c>
      <c r="T32" s="1" t="s">
        <v>223</v>
      </c>
      <c r="U32" s="1" t="s">
        <v>223</v>
      </c>
      <c r="V32" s="1" t="s">
        <v>223</v>
      </c>
      <c r="W32" s="1" t="s">
        <v>223</v>
      </c>
      <c r="X32" s="1" t="s">
        <v>223</v>
      </c>
      <c r="Y32" s="1" t="s">
        <v>223</v>
      </c>
      <c r="Z32" s="1" t="s">
        <v>223</v>
      </c>
      <c r="AA32" s="1" t="s">
        <v>223</v>
      </c>
      <c r="AB32" s="1" t="s">
        <v>223</v>
      </c>
      <c r="AC32" s="1" t="s">
        <v>223</v>
      </c>
      <c r="AD32" s="1" t="s">
        <v>223</v>
      </c>
      <c r="AE32" s="1" t="s">
        <v>223</v>
      </c>
      <c r="AF32" s="1" t="s">
        <v>223</v>
      </c>
      <c r="AG32" s="1" t="s">
        <v>223</v>
      </c>
      <c r="AH32" s="1" t="s">
        <v>223</v>
      </c>
      <c r="AI32" s="1" t="s">
        <v>223</v>
      </c>
      <c r="AJ32" s="1" t="s">
        <v>223</v>
      </c>
      <c r="AK32" s="1" t="s">
        <v>223</v>
      </c>
      <c r="AL32" s="1" t="s">
        <v>223</v>
      </c>
      <c r="AM32" s="7" t="s">
        <v>769</v>
      </c>
      <c r="AN32" s="1" t="s">
        <v>223</v>
      </c>
      <c r="AO32" s="1" t="s">
        <v>223</v>
      </c>
      <c r="AQ32" t="s">
        <v>392</v>
      </c>
      <c r="AS32" s="164">
        <v>31</v>
      </c>
    </row>
    <row r="33" spans="1:45" ht="60" customHeight="1">
      <c r="A33" s="164">
        <v>32</v>
      </c>
      <c r="B33" s="1" t="s">
        <v>223</v>
      </c>
      <c r="C33" s="1" t="s">
        <v>223</v>
      </c>
      <c r="D33" s="1" t="s">
        <v>223</v>
      </c>
      <c r="E33" s="1" t="s">
        <v>223</v>
      </c>
      <c r="F33" s="1" t="s">
        <v>223</v>
      </c>
      <c r="G33" s="1" t="s">
        <v>223</v>
      </c>
      <c r="H33" s="1" t="s">
        <v>223</v>
      </c>
      <c r="I33" s="1" t="s">
        <v>223</v>
      </c>
      <c r="J33" s="1" t="s">
        <v>223</v>
      </c>
      <c r="K33" s="1" t="s">
        <v>223</v>
      </c>
      <c r="L33" s="1" t="s">
        <v>223</v>
      </c>
      <c r="M33" s="1" t="s">
        <v>223</v>
      </c>
      <c r="N33" s="1" t="s">
        <v>223</v>
      </c>
      <c r="O33" s="1" t="s">
        <v>223</v>
      </c>
      <c r="P33" s="1" t="s">
        <v>223</v>
      </c>
      <c r="Q33" s="1" t="s">
        <v>223</v>
      </c>
      <c r="R33" s="1" t="s">
        <v>223</v>
      </c>
      <c r="S33" s="1" t="s">
        <v>223</v>
      </c>
      <c r="T33" s="1" t="s">
        <v>223</v>
      </c>
      <c r="U33" s="1" t="s">
        <v>223</v>
      </c>
      <c r="V33" s="1" t="s">
        <v>223</v>
      </c>
      <c r="W33" s="1" t="s">
        <v>223</v>
      </c>
      <c r="X33" s="1" t="s">
        <v>223</v>
      </c>
      <c r="Y33" s="1" t="s">
        <v>223</v>
      </c>
      <c r="Z33" s="1" t="s">
        <v>223</v>
      </c>
      <c r="AA33" s="1" t="s">
        <v>223</v>
      </c>
      <c r="AB33" s="1" t="s">
        <v>223</v>
      </c>
      <c r="AC33" s="1" t="s">
        <v>223</v>
      </c>
      <c r="AD33" s="1" t="s">
        <v>223</v>
      </c>
      <c r="AE33" s="1" t="s">
        <v>223</v>
      </c>
      <c r="AF33" s="1" t="s">
        <v>223</v>
      </c>
      <c r="AG33" s="1" t="s">
        <v>223</v>
      </c>
      <c r="AH33" s="1" t="s">
        <v>223</v>
      </c>
      <c r="AI33" s="1" t="s">
        <v>223</v>
      </c>
      <c r="AJ33" s="1" t="s">
        <v>223</v>
      </c>
      <c r="AK33" s="1" t="s">
        <v>223</v>
      </c>
      <c r="AL33" s="1" t="s">
        <v>223</v>
      </c>
      <c r="AM33" s="7" t="s">
        <v>770</v>
      </c>
      <c r="AN33" s="1" t="s">
        <v>223</v>
      </c>
      <c r="AO33" s="1" t="s">
        <v>223</v>
      </c>
      <c r="AQ33" t="s">
        <v>393</v>
      </c>
      <c r="AS33" s="164">
        <v>32</v>
      </c>
    </row>
    <row r="34" spans="1:45" ht="60" customHeight="1">
      <c r="A34" s="164">
        <v>33</v>
      </c>
      <c r="B34" s="1" t="s">
        <v>223</v>
      </c>
      <c r="C34" s="1" t="s">
        <v>223</v>
      </c>
      <c r="D34" s="1" t="s">
        <v>223</v>
      </c>
      <c r="E34" s="1" t="s">
        <v>223</v>
      </c>
      <c r="F34" s="1" t="s">
        <v>223</v>
      </c>
      <c r="G34" s="1" t="s">
        <v>223</v>
      </c>
      <c r="H34" s="1" t="s">
        <v>223</v>
      </c>
      <c r="I34" s="1" t="s">
        <v>223</v>
      </c>
      <c r="J34" s="1" t="s">
        <v>223</v>
      </c>
      <c r="K34" s="1" t="s">
        <v>223</v>
      </c>
      <c r="L34" s="1" t="s">
        <v>223</v>
      </c>
      <c r="M34" s="1" t="s">
        <v>223</v>
      </c>
      <c r="N34" s="1" t="s">
        <v>223</v>
      </c>
      <c r="O34" s="1" t="s">
        <v>223</v>
      </c>
      <c r="P34" s="1" t="s">
        <v>223</v>
      </c>
      <c r="Q34" s="1" t="s">
        <v>223</v>
      </c>
      <c r="R34" s="1" t="s">
        <v>223</v>
      </c>
      <c r="S34" s="1" t="s">
        <v>223</v>
      </c>
      <c r="T34" s="1" t="s">
        <v>223</v>
      </c>
      <c r="U34" s="1" t="s">
        <v>223</v>
      </c>
      <c r="V34" s="1" t="s">
        <v>223</v>
      </c>
      <c r="W34" s="1" t="s">
        <v>223</v>
      </c>
      <c r="X34" s="1" t="s">
        <v>223</v>
      </c>
      <c r="Y34" s="1" t="s">
        <v>223</v>
      </c>
      <c r="Z34" s="1" t="s">
        <v>223</v>
      </c>
      <c r="AA34" s="1" t="s">
        <v>223</v>
      </c>
      <c r="AB34" s="1" t="s">
        <v>223</v>
      </c>
      <c r="AC34" s="1" t="s">
        <v>223</v>
      </c>
      <c r="AD34" s="1" t="s">
        <v>223</v>
      </c>
      <c r="AE34" s="1" t="s">
        <v>223</v>
      </c>
      <c r="AF34" s="1" t="s">
        <v>223</v>
      </c>
      <c r="AG34" s="1" t="s">
        <v>223</v>
      </c>
      <c r="AH34" s="1" t="s">
        <v>223</v>
      </c>
      <c r="AI34" s="1" t="s">
        <v>223</v>
      </c>
      <c r="AJ34" s="1" t="s">
        <v>223</v>
      </c>
      <c r="AK34" s="1" t="s">
        <v>223</v>
      </c>
      <c r="AL34" s="1" t="s">
        <v>223</v>
      </c>
      <c r="AM34" s="7" t="s">
        <v>771</v>
      </c>
      <c r="AN34" s="1" t="s">
        <v>223</v>
      </c>
      <c r="AO34" s="1" t="s">
        <v>223</v>
      </c>
      <c r="AQ34" t="s">
        <v>394</v>
      </c>
      <c r="AS34" s="164">
        <v>33</v>
      </c>
    </row>
    <row r="35" spans="1:45" ht="60" customHeight="1">
      <c r="A35" s="164">
        <v>34</v>
      </c>
      <c r="B35" s="1" t="s">
        <v>223</v>
      </c>
      <c r="C35" s="1" t="s">
        <v>223</v>
      </c>
      <c r="D35" s="1" t="s">
        <v>223</v>
      </c>
      <c r="E35" s="1" t="s">
        <v>223</v>
      </c>
      <c r="F35" s="1" t="s">
        <v>223</v>
      </c>
      <c r="G35" s="1" t="s">
        <v>223</v>
      </c>
      <c r="H35" s="1" t="s">
        <v>223</v>
      </c>
      <c r="I35" s="1" t="s">
        <v>223</v>
      </c>
      <c r="J35" s="1" t="s">
        <v>223</v>
      </c>
      <c r="K35" s="1" t="s">
        <v>223</v>
      </c>
      <c r="L35" s="1" t="s">
        <v>223</v>
      </c>
      <c r="M35" s="1" t="s">
        <v>223</v>
      </c>
      <c r="N35" s="1" t="s">
        <v>223</v>
      </c>
      <c r="O35" s="1" t="s">
        <v>223</v>
      </c>
      <c r="P35" s="1" t="s">
        <v>223</v>
      </c>
      <c r="Q35" s="1" t="s">
        <v>223</v>
      </c>
      <c r="R35" s="1" t="s">
        <v>223</v>
      </c>
      <c r="S35" s="1" t="s">
        <v>223</v>
      </c>
      <c r="T35" s="1" t="s">
        <v>223</v>
      </c>
      <c r="U35" s="1" t="s">
        <v>223</v>
      </c>
      <c r="V35" s="1" t="s">
        <v>223</v>
      </c>
      <c r="W35" s="1" t="s">
        <v>223</v>
      </c>
      <c r="X35" s="1" t="s">
        <v>223</v>
      </c>
      <c r="Y35" s="1" t="s">
        <v>223</v>
      </c>
      <c r="Z35" s="1" t="s">
        <v>223</v>
      </c>
      <c r="AA35" s="1" t="s">
        <v>223</v>
      </c>
      <c r="AB35" s="1" t="s">
        <v>223</v>
      </c>
      <c r="AC35" s="1" t="s">
        <v>223</v>
      </c>
      <c r="AD35" s="1" t="s">
        <v>223</v>
      </c>
      <c r="AE35" s="1" t="s">
        <v>223</v>
      </c>
      <c r="AF35" s="1" t="s">
        <v>223</v>
      </c>
      <c r="AG35" s="1" t="s">
        <v>223</v>
      </c>
      <c r="AH35" s="1" t="s">
        <v>223</v>
      </c>
      <c r="AI35" s="1" t="s">
        <v>223</v>
      </c>
      <c r="AJ35" s="1" t="s">
        <v>223</v>
      </c>
      <c r="AK35" s="1" t="s">
        <v>223</v>
      </c>
      <c r="AL35" s="1" t="s">
        <v>223</v>
      </c>
      <c r="AM35" s="7" t="s">
        <v>772</v>
      </c>
      <c r="AN35" s="1" t="s">
        <v>223</v>
      </c>
      <c r="AO35" s="1" t="s">
        <v>223</v>
      </c>
      <c r="AQ35" s="1" t="s">
        <v>1730</v>
      </c>
      <c r="AS35" s="164">
        <v>34</v>
      </c>
    </row>
    <row r="36" spans="1:45" ht="60" customHeight="1">
      <c r="A36" s="164">
        <v>35</v>
      </c>
      <c r="B36" s="1" t="s">
        <v>223</v>
      </c>
      <c r="C36" s="1" t="s">
        <v>223</v>
      </c>
      <c r="D36" s="1" t="s">
        <v>223</v>
      </c>
      <c r="E36" s="1" t="s">
        <v>223</v>
      </c>
      <c r="F36" s="1" t="s">
        <v>223</v>
      </c>
      <c r="G36" s="1" t="s">
        <v>223</v>
      </c>
      <c r="H36" s="1" t="s">
        <v>223</v>
      </c>
      <c r="I36" s="1" t="s">
        <v>223</v>
      </c>
      <c r="J36" s="1" t="s">
        <v>223</v>
      </c>
      <c r="K36" s="1" t="s">
        <v>223</v>
      </c>
      <c r="L36" s="1" t="s">
        <v>223</v>
      </c>
      <c r="M36" s="1" t="s">
        <v>223</v>
      </c>
      <c r="N36" s="1" t="s">
        <v>223</v>
      </c>
      <c r="O36" s="1" t="s">
        <v>223</v>
      </c>
      <c r="P36" s="1" t="s">
        <v>223</v>
      </c>
      <c r="Q36" s="1" t="s">
        <v>223</v>
      </c>
      <c r="R36" s="1" t="s">
        <v>223</v>
      </c>
      <c r="S36" s="1" t="s">
        <v>223</v>
      </c>
      <c r="T36" s="1" t="s">
        <v>223</v>
      </c>
      <c r="U36" s="1" t="s">
        <v>223</v>
      </c>
      <c r="V36" s="1" t="s">
        <v>223</v>
      </c>
      <c r="W36" s="1" t="s">
        <v>223</v>
      </c>
      <c r="X36" s="1" t="s">
        <v>223</v>
      </c>
      <c r="Y36" s="1" t="s">
        <v>223</v>
      </c>
      <c r="Z36" s="1" t="s">
        <v>223</v>
      </c>
      <c r="AA36" s="1" t="s">
        <v>223</v>
      </c>
      <c r="AB36" s="1" t="s">
        <v>223</v>
      </c>
      <c r="AC36" s="1" t="s">
        <v>223</v>
      </c>
      <c r="AD36" s="1" t="s">
        <v>223</v>
      </c>
      <c r="AE36" s="1" t="s">
        <v>223</v>
      </c>
      <c r="AF36" s="1" t="s">
        <v>223</v>
      </c>
      <c r="AG36" s="1" t="s">
        <v>223</v>
      </c>
      <c r="AH36" s="1" t="s">
        <v>223</v>
      </c>
      <c r="AI36" s="1" t="s">
        <v>223</v>
      </c>
      <c r="AJ36" s="1" t="s">
        <v>223</v>
      </c>
      <c r="AK36" s="1" t="s">
        <v>223</v>
      </c>
      <c r="AL36" s="1" t="s">
        <v>223</v>
      </c>
      <c r="AM36" s="7" t="s">
        <v>773</v>
      </c>
      <c r="AN36" s="1" t="s">
        <v>223</v>
      </c>
      <c r="AO36" s="1" t="s">
        <v>223</v>
      </c>
      <c r="AQ36" t="s">
        <v>395</v>
      </c>
      <c r="AS36" s="164">
        <v>35</v>
      </c>
    </row>
    <row r="37" spans="1:45" ht="60" customHeight="1">
      <c r="A37" s="164">
        <v>36</v>
      </c>
      <c r="B37" s="1" t="s">
        <v>223</v>
      </c>
      <c r="C37" s="1" t="s">
        <v>223</v>
      </c>
      <c r="D37" s="1" t="s">
        <v>223</v>
      </c>
      <c r="E37" s="1" t="s">
        <v>223</v>
      </c>
      <c r="F37" s="1" t="s">
        <v>223</v>
      </c>
      <c r="G37" s="1" t="s">
        <v>223</v>
      </c>
      <c r="H37" s="1" t="s">
        <v>223</v>
      </c>
      <c r="I37" s="1" t="s">
        <v>223</v>
      </c>
      <c r="J37" s="1" t="s">
        <v>223</v>
      </c>
      <c r="K37" s="1" t="s">
        <v>223</v>
      </c>
      <c r="L37" s="1" t="s">
        <v>223</v>
      </c>
      <c r="M37" s="1" t="s">
        <v>223</v>
      </c>
      <c r="N37" s="1" t="s">
        <v>223</v>
      </c>
      <c r="O37" s="1" t="s">
        <v>223</v>
      </c>
      <c r="P37" s="1" t="s">
        <v>223</v>
      </c>
      <c r="Q37" s="1" t="s">
        <v>223</v>
      </c>
      <c r="R37" s="1" t="s">
        <v>223</v>
      </c>
      <c r="S37" s="1" t="s">
        <v>223</v>
      </c>
      <c r="T37" s="1" t="s">
        <v>223</v>
      </c>
      <c r="U37" s="1" t="s">
        <v>223</v>
      </c>
      <c r="V37" s="1" t="s">
        <v>223</v>
      </c>
      <c r="W37" s="1" t="s">
        <v>223</v>
      </c>
      <c r="X37" s="1" t="s">
        <v>223</v>
      </c>
      <c r="Y37" s="1" t="s">
        <v>223</v>
      </c>
      <c r="Z37" s="1" t="s">
        <v>223</v>
      </c>
      <c r="AA37" s="1" t="s">
        <v>223</v>
      </c>
      <c r="AB37" s="1" t="s">
        <v>223</v>
      </c>
      <c r="AC37" s="1" t="s">
        <v>223</v>
      </c>
      <c r="AD37" s="1" t="s">
        <v>223</v>
      </c>
      <c r="AE37" s="1" t="s">
        <v>223</v>
      </c>
      <c r="AF37" s="1" t="s">
        <v>223</v>
      </c>
      <c r="AG37" s="1" t="s">
        <v>223</v>
      </c>
      <c r="AH37" s="1" t="s">
        <v>223</v>
      </c>
      <c r="AI37" s="1" t="s">
        <v>223</v>
      </c>
      <c r="AJ37" s="1" t="s">
        <v>223</v>
      </c>
      <c r="AK37" s="1" t="s">
        <v>223</v>
      </c>
      <c r="AL37" s="1" t="s">
        <v>223</v>
      </c>
      <c r="AM37" s="7" t="s">
        <v>774</v>
      </c>
      <c r="AN37" s="1" t="s">
        <v>223</v>
      </c>
      <c r="AO37" s="1" t="s">
        <v>223</v>
      </c>
      <c r="AQ37" t="s">
        <v>398</v>
      </c>
      <c r="AS37" s="164">
        <v>36</v>
      </c>
    </row>
    <row r="38" spans="1:45" ht="60" customHeight="1">
      <c r="A38" s="164">
        <v>37</v>
      </c>
      <c r="B38" s="1" t="s">
        <v>223</v>
      </c>
      <c r="C38" s="1" t="s">
        <v>223</v>
      </c>
      <c r="D38" s="1" t="s">
        <v>223</v>
      </c>
      <c r="E38" s="1" t="s">
        <v>223</v>
      </c>
      <c r="F38" s="1" t="s">
        <v>223</v>
      </c>
      <c r="G38" s="1" t="s">
        <v>223</v>
      </c>
      <c r="H38" s="1" t="s">
        <v>223</v>
      </c>
      <c r="I38" s="1" t="s">
        <v>223</v>
      </c>
      <c r="J38" s="1" t="s">
        <v>223</v>
      </c>
      <c r="K38" s="1" t="s">
        <v>223</v>
      </c>
      <c r="L38" s="1" t="s">
        <v>223</v>
      </c>
      <c r="M38" s="1" t="s">
        <v>223</v>
      </c>
      <c r="N38" s="1" t="s">
        <v>223</v>
      </c>
      <c r="O38" s="1" t="s">
        <v>223</v>
      </c>
      <c r="P38" s="1" t="s">
        <v>223</v>
      </c>
      <c r="Q38" s="1" t="s">
        <v>223</v>
      </c>
      <c r="R38" s="1" t="s">
        <v>223</v>
      </c>
      <c r="S38" s="1" t="s">
        <v>223</v>
      </c>
      <c r="T38" s="1" t="s">
        <v>223</v>
      </c>
      <c r="U38" s="1" t="s">
        <v>223</v>
      </c>
      <c r="V38" s="1" t="s">
        <v>223</v>
      </c>
      <c r="W38" s="1" t="s">
        <v>223</v>
      </c>
      <c r="X38" s="1" t="s">
        <v>223</v>
      </c>
      <c r="Y38" s="1" t="s">
        <v>223</v>
      </c>
      <c r="Z38" s="1" t="s">
        <v>223</v>
      </c>
      <c r="AA38" s="1" t="s">
        <v>223</v>
      </c>
      <c r="AB38" s="1" t="s">
        <v>223</v>
      </c>
      <c r="AC38" s="1" t="s">
        <v>223</v>
      </c>
      <c r="AD38" s="1" t="s">
        <v>223</v>
      </c>
      <c r="AE38" s="1" t="s">
        <v>223</v>
      </c>
      <c r="AF38" s="1" t="s">
        <v>223</v>
      </c>
      <c r="AG38" s="1" t="s">
        <v>223</v>
      </c>
      <c r="AH38" s="1" t="s">
        <v>223</v>
      </c>
      <c r="AI38" s="1" t="s">
        <v>223</v>
      </c>
      <c r="AJ38" s="1" t="s">
        <v>223</v>
      </c>
      <c r="AK38" s="1" t="s">
        <v>223</v>
      </c>
      <c r="AL38" s="1" t="s">
        <v>223</v>
      </c>
      <c r="AM38" s="7" t="s">
        <v>775</v>
      </c>
      <c r="AN38" s="1" t="s">
        <v>223</v>
      </c>
      <c r="AO38" s="1" t="s">
        <v>223</v>
      </c>
      <c r="AQ38" t="s">
        <v>396</v>
      </c>
      <c r="AS38" s="164">
        <v>37</v>
      </c>
    </row>
    <row r="39" spans="1:45" ht="60" customHeight="1">
      <c r="A39" s="164">
        <v>38</v>
      </c>
      <c r="B39" s="1" t="s">
        <v>223</v>
      </c>
      <c r="C39" s="1" t="s">
        <v>223</v>
      </c>
      <c r="D39" s="1" t="s">
        <v>223</v>
      </c>
      <c r="E39" s="1" t="s">
        <v>223</v>
      </c>
      <c r="F39" s="1" t="s">
        <v>223</v>
      </c>
      <c r="G39" s="1" t="s">
        <v>223</v>
      </c>
      <c r="H39" s="1" t="s">
        <v>223</v>
      </c>
      <c r="I39" s="1" t="s">
        <v>223</v>
      </c>
      <c r="J39" s="1" t="s">
        <v>223</v>
      </c>
      <c r="K39" s="1" t="s">
        <v>223</v>
      </c>
      <c r="L39" s="1" t="s">
        <v>223</v>
      </c>
      <c r="M39" s="1" t="s">
        <v>223</v>
      </c>
      <c r="N39" s="1" t="s">
        <v>223</v>
      </c>
      <c r="O39" s="1" t="s">
        <v>223</v>
      </c>
      <c r="P39" s="1" t="s">
        <v>223</v>
      </c>
      <c r="Q39" s="1" t="s">
        <v>223</v>
      </c>
      <c r="R39" s="1" t="s">
        <v>223</v>
      </c>
      <c r="S39" s="1" t="s">
        <v>223</v>
      </c>
      <c r="T39" s="1" t="s">
        <v>223</v>
      </c>
      <c r="U39" s="1" t="s">
        <v>223</v>
      </c>
      <c r="V39" s="1" t="s">
        <v>223</v>
      </c>
      <c r="W39" s="1" t="s">
        <v>223</v>
      </c>
      <c r="X39" s="1" t="s">
        <v>223</v>
      </c>
      <c r="Y39" s="1" t="s">
        <v>223</v>
      </c>
      <c r="Z39" s="1" t="s">
        <v>223</v>
      </c>
      <c r="AA39" s="1" t="s">
        <v>223</v>
      </c>
      <c r="AB39" s="1" t="s">
        <v>223</v>
      </c>
      <c r="AC39" s="1" t="s">
        <v>223</v>
      </c>
      <c r="AD39" s="1" t="s">
        <v>223</v>
      </c>
      <c r="AE39" s="1" t="s">
        <v>223</v>
      </c>
      <c r="AF39" s="1" t="s">
        <v>223</v>
      </c>
      <c r="AG39" s="1" t="s">
        <v>223</v>
      </c>
      <c r="AH39" s="1" t="s">
        <v>223</v>
      </c>
      <c r="AI39" s="1" t="s">
        <v>223</v>
      </c>
      <c r="AJ39" s="1" t="s">
        <v>223</v>
      </c>
      <c r="AK39" s="1" t="s">
        <v>223</v>
      </c>
      <c r="AL39" s="1" t="s">
        <v>223</v>
      </c>
      <c r="AM39" s="7" t="s">
        <v>776</v>
      </c>
      <c r="AN39" s="1" t="s">
        <v>223</v>
      </c>
      <c r="AO39" s="1" t="s">
        <v>223</v>
      </c>
      <c r="AQ39" t="s">
        <v>397</v>
      </c>
      <c r="AS39" s="164">
        <v>38</v>
      </c>
    </row>
  </sheetData>
  <pageMargins left="0.7" right="0.7" top="0.75" bottom="0.75" header="0.3" footer="0.3"/>
  <pageSetup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112</vt:i4>
      </vt:variant>
    </vt:vector>
  </HeadingPairs>
  <TitlesOfParts>
    <vt:vector size="135" baseType="lpstr">
      <vt:lpstr>Project Info</vt:lpstr>
      <vt:lpstr>Instructions</vt:lpstr>
      <vt:lpstr>Checklist(0)</vt:lpstr>
      <vt:lpstr>Spartan 7</vt:lpstr>
      <vt:lpstr>Revision History</vt:lpstr>
      <vt:lpstr>Device_Selection</vt:lpstr>
      <vt:lpstr>Decap</vt:lpstr>
      <vt:lpstr>Migration</vt:lpstr>
      <vt:lpstr>IO_Type</vt:lpstr>
      <vt:lpstr>Checklist_Default</vt:lpstr>
      <vt:lpstr>Configuration</vt:lpstr>
      <vt:lpstr>CFGBVS</vt:lpstr>
      <vt:lpstr>Power</vt:lpstr>
      <vt:lpstr>XADC</vt:lpstr>
      <vt:lpstr>Warning Messages</vt:lpstr>
      <vt:lpstr>GTP</vt:lpstr>
      <vt:lpstr>GTH-GTX</vt:lpstr>
      <vt:lpstr>Other_items</vt:lpstr>
      <vt:lpstr>Zynq</vt:lpstr>
      <vt:lpstr>Bitstream_Length</vt:lpstr>
      <vt:lpstr>GTZ</vt:lpstr>
      <vt:lpstr>MIO Pins</vt:lpstr>
      <vt:lpstr>MIO Interfaces</vt:lpstr>
      <vt:lpstr>AA7A100T</vt:lpstr>
      <vt:lpstr>AA7A12T</vt:lpstr>
      <vt:lpstr>AA7A15T</vt:lpstr>
      <vt:lpstr>AA7A200T</vt:lpstr>
      <vt:lpstr>AA7A25T</vt:lpstr>
      <vt:lpstr>AA7A350T</vt:lpstr>
      <vt:lpstr>AA7A35T</vt:lpstr>
      <vt:lpstr>AA7A50T</vt:lpstr>
      <vt:lpstr>AA7A75T</vt:lpstr>
      <vt:lpstr>AA7K160T</vt:lpstr>
      <vt:lpstr>AA7K325T</vt:lpstr>
      <vt:lpstr>AA7K355T</vt:lpstr>
      <vt:lpstr>AA7K410T</vt:lpstr>
      <vt:lpstr>AA7K420T</vt:lpstr>
      <vt:lpstr>AA7K480T</vt:lpstr>
      <vt:lpstr>AA7K70T</vt:lpstr>
      <vt:lpstr>AA7S100</vt:lpstr>
      <vt:lpstr>AA7S15</vt:lpstr>
      <vt:lpstr>AA7S25</vt:lpstr>
      <vt:lpstr>AA7S50</vt:lpstr>
      <vt:lpstr>AA7S6</vt:lpstr>
      <vt:lpstr>AA7S75</vt:lpstr>
      <vt:lpstr>AA7V1500T</vt:lpstr>
      <vt:lpstr>AA7V2000T</vt:lpstr>
      <vt:lpstr>AA7V585T</vt:lpstr>
      <vt:lpstr>AA7VH580T</vt:lpstr>
      <vt:lpstr>AA7VH870T</vt:lpstr>
      <vt:lpstr>AA7VX1140T</vt:lpstr>
      <vt:lpstr>AA7VX330T</vt:lpstr>
      <vt:lpstr>AA7VX415T</vt:lpstr>
      <vt:lpstr>AA7VX485T</vt:lpstr>
      <vt:lpstr>AA7VX550T</vt:lpstr>
      <vt:lpstr>AA7VX690T</vt:lpstr>
      <vt:lpstr>AA7VX980T</vt:lpstr>
      <vt:lpstr>AA7Z007S</vt:lpstr>
      <vt:lpstr>AA7Z010</vt:lpstr>
      <vt:lpstr>AA7Z012S</vt:lpstr>
      <vt:lpstr>AA7Z014S</vt:lpstr>
      <vt:lpstr>AA7Z015</vt:lpstr>
      <vt:lpstr>AA7Z020</vt:lpstr>
      <vt:lpstr>AA7Z030</vt:lpstr>
      <vt:lpstr>AA7Z035</vt:lpstr>
      <vt:lpstr>AA7Z045</vt:lpstr>
      <vt:lpstr>AA7Z100</vt:lpstr>
      <vt:lpstr>Artix7</vt:lpstr>
      <vt:lpstr>bank0</vt:lpstr>
      <vt:lpstr>Bank14Artix7</vt:lpstr>
      <vt:lpstr>bank14Kintex7</vt:lpstr>
      <vt:lpstr>Bank14Spartan7</vt:lpstr>
      <vt:lpstr>bank14Virtex7</vt:lpstr>
      <vt:lpstr>bank15Artix7</vt:lpstr>
      <vt:lpstr>bank15Kintex7</vt:lpstr>
      <vt:lpstr>Bank15Spartan7</vt:lpstr>
      <vt:lpstr>bank15Virtex7</vt:lpstr>
      <vt:lpstr>Bitstream_Length</vt:lpstr>
      <vt:lpstr>CFGBVS_Lookup</vt:lpstr>
      <vt:lpstr>Config_lookup</vt:lpstr>
      <vt:lpstr>Config_Mode</vt:lpstr>
      <vt:lpstr>Config_Mode_Zynq</vt:lpstr>
      <vt:lpstr>Decap_Artix</vt:lpstr>
      <vt:lpstr>Decap_KV</vt:lpstr>
      <vt:lpstr>Decap_Total</vt:lpstr>
      <vt:lpstr>IO_Type_Lookup</vt:lpstr>
      <vt:lpstr>Kintex7</vt:lpstr>
      <vt:lpstr>Migration_table</vt:lpstr>
      <vt:lpstr>MIOCAN0</vt:lpstr>
      <vt:lpstr>MIOCAN0CLK</vt:lpstr>
      <vt:lpstr>MIOCAN1</vt:lpstr>
      <vt:lpstr>MIOCAN1CLK</vt:lpstr>
      <vt:lpstr>MIOETHERNET0</vt:lpstr>
      <vt:lpstr>MIOETHERNET1</vt:lpstr>
      <vt:lpstr>MIOETHERNETMDIO</vt:lpstr>
      <vt:lpstr>MIOIIC0</vt:lpstr>
      <vt:lpstr>MIOIIC1</vt:lpstr>
      <vt:lpstr>MIONAND16</vt:lpstr>
      <vt:lpstr>MIONAND8</vt:lpstr>
      <vt:lpstr>MIONORSRAM</vt:lpstr>
      <vt:lpstr>MIOPJTAG</vt:lpstr>
      <vt:lpstr>MIOQSPI01BIT</vt:lpstr>
      <vt:lpstr>MIOQSPI02BIT</vt:lpstr>
      <vt:lpstr>MIOQSPI04BIT</vt:lpstr>
      <vt:lpstr>MIOQSPI11BIT</vt:lpstr>
      <vt:lpstr>MIOQSPI12BIT</vt:lpstr>
      <vt:lpstr>MIOQSPI14BIT</vt:lpstr>
      <vt:lpstr>MIOQSPICS</vt:lpstr>
      <vt:lpstr>MIOQSPIFEEDBACKCLK</vt:lpstr>
      <vt:lpstr>MIOSDIO0</vt:lpstr>
      <vt:lpstr>MIOSDIO0CD</vt:lpstr>
      <vt:lpstr>MIOSDIO0POWER</vt:lpstr>
      <vt:lpstr>MIOSDIO0WP</vt:lpstr>
      <vt:lpstr>MIOSDIO1</vt:lpstr>
      <vt:lpstr>MIOSDIO1CD</vt:lpstr>
      <vt:lpstr>MIOSDIO1POWER</vt:lpstr>
      <vt:lpstr>MIOSDIO1WP</vt:lpstr>
      <vt:lpstr>MIOSPI0</vt:lpstr>
      <vt:lpstr>MIOSPI1</vt:lpstr>
      <vt:lpstr>MIOSWDT</vt:lpstr>
      <vt:lpstr>MIOTRACE</vt:lpstr>
      <vt:lpstr>MIOTRACECTRL</vt:lpstr>
      <vt:lpstr>MIOTTC0</vt:lpstr>
      <vt:lpstr>MIOTTC1</vt:lpstr>
      <vt:lpstr>MIOUART0</vt:lpstr>
      <vt:lpstr>MIOUART1</vt:lpstr>
      <vt:lpstr>MIOUSB0</vt:lpstr>
      <vt:lpstr>MIOUSB1</vt:lpstr>
      <vt:lpstr>Checklist_Default!OLE_LINK1</vt:lpstr>
      <vt:lpstr>'Spartan 7'!OLE_LINK1</vt:lpstr>
      <vt:lpstr>SFamily</vt:lpstr>
      <vt:lpstr>Spartan7</vt:lpstr>
      <vt:lpstr>Status</vt:lpstr>
      <vt:lpstr>Virtex7</vt:lpstr>
      <vt:lpstr>Zynq7</vt:lpstr>
    </vt:vector>
  </TitlesOfParts>
  <Company>xilinx</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No Markings</cp:keywords>
  <cp:lastModifiedBy>Maxwell</cp:lastModifiedBy>
  <cp:lastPrinted>2011-04-05T21:32:40Z</cp:lastPrinted>
  <dcterms:created xsi:type="dcterms:W3CDTF">2011-04-05T18:08:53Z</dcterms:created>
  <dcterms:modified xsi:type="dcterms:W3CDTF">2022-03-14T03:16:55Z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abb108dc-c501-4eae-868f-fcb442163721</vt:lpwstr>
  </property>
  <property fmtid="{D5CDD505-2E9C-101B-9397-08002B2CF9AE}" pid="3" name="XilinxClassification">
    <vt:lpwstr>No Markings</vt:lpwstr>
  </property>
</Properties>
</file>